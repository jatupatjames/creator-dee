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stProgress" sheetId="1" r:id="rId4"/>
    <sheet state="visible" name="Summary" sheetId="2" r:id="rId5"/>
    <sheet state="visible" name="Creator_Dee" sheetId="3" r:id="rId6"/>
    <sheet state="visible" name="เอกสาร" sheetId="4" r:id="rId7"/>
    <sheet state="hidden" name="ชีต5" sheetId="5" r:id="rId8"/>
    <sheet state="visible" name="Create_content" sheetId="6" r:id="rId9"/>
    <sheet state="visible" name="Business_Profile" sheetId="7" r:id="rId10"/>
    <sheet state="visible" name="User_Package" sheetId="8" r:id="rId11"/>
    <sheet state="visible" name="Calendar" sheetId="9" r:id="rId12"/>
    <sheet state="visible" name="Team" sheetId="10" r:id="rId13"/>
    <sheet state="visible" name="Content_Mockup" sheetId="11" r:id="rId14"/>
    <sheet state="visible" name="Income_Summary" sheetId="12" r:id="rId15"/>
    <sheet state="visible" name="Defect_List" sheetId="13" r:id="rId16"/>
    <sheet state="visible" name="Document" sheetId="14" r:id="rId17"/>
    <sheet state="visible" name="Note&amp;Question" sheetId="15" r:id="rId18"/>
  </sheets>
  <definedNames/>
  <calcPr/>
  <extLst>
    <ext uri="GoogleSheetsCustomDataVersion2">
      <go:sheetsCustomData xmlns:go="http://customooxmlschemas.google.com/" r:id="rId19" roundtripDataChecksum="EWCNJRghDkSA8aTJNJrmEDzmXpFec90HdCiV0IB28S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ID#AAAB_EhKErc
tc={7C34CA53-7089-4068-9BDD-F60BA8D57443}    (2026-07-03 08:55:38)
[Threaded comment]
Your version of Excel allows you to read this threaded comment; however, any edits to it will get removed if the file is opened in a newer version of Excel. Learn more: https://go.microsoft.com/fwlink/?linkid=870924
Comment:
    Srikuw, Yuthana:
fields log_processed.timestamp,kubernetes.container_name, log_processed.message, log_processed.header, log_processed.body, log_processed.topic, @message 
|filter kubernetes.container_name="payment-atm-card-deposit-service" 
or kubernetes.container_name="payment-atm-common-deposit-dcb-adapter" 
|filter @message like /"x-ref-id":"29f32e7c-de0b-4291-9b4c-747ae4a82a48"/
| sort log_processed.timestamp asc</t>
      </text>
    </comment>
  </commentList>
  <extLst>
    <ext uri="GoogleSheetsCustomDataVersion2">
      <go:sheetsCustomData xmlns:go="http://customooxmlschemas.google.com/" r:id="rId1" roundtripDataSignature="AMtx7mgZp0INncUiX15hooSRlPSdxgh6dQ=="/>
    </ext>
  </extLst>
</comments>
</file>

<file path=xl/sharedStrings.xml><?xml version="1.0" encoding="utf-8"?>
<sst xmlns="http://schemas.openxmlformats.org/spreadsheetml/2006/main" count="3850" uniqueCount="1281">
  <si>
    <t>All</t>
  </si>
  <si>
    <t>No</t>
  </si>
  <si>
    <t>Module Name</t>
  </si>
  <si>
    <t>Planned Execution</t>
  </si>
  <si>
    <t xml:space="preserve">Status </t>
  </si>
  <si>
    <t>Actual Execution</t>
  </si>
  <si>
    <t>TCs 
Generated</t>
  </si>
  <si>
    <t xml:space="preserve"> Test Progress</t>
  </si>
  <si>
    <t>Test Progress (%)</t>
  </si>
  <si>
    <t>TCs Executed</t>
  </si>
  <si>
    <t>TCs Pending</t>
  </si>
  <si>
    <t>TCs Deferred</t>
  </si>
  <si>
    <t>Not Start</t>
  </si>
  <si>
    <t>TCs Not Applicable</t>
  </si>
  <si>
    <t>TCs Pass</t>
  </si>
  <si>
    <t>TCs Fail</t>
  </si>
  <si>
    <t>Achieved %</t>
  </si>
  <si>
    <t>Total TC.</t>
  </si>
  <si>
    <t>Pass %</t>
  </si>
  <si>
    <t>TCs Left</t>
  </si>
  <si>
    <t>Module 
Progress</t>
  </si>
  <si>
    <t>Upload Test Result ลง GG Drive</t>
  </si>
  <si>
    <t>PASS</t>
  </si>
  <si>
    <t>Create TC by</t>
  </si>
  <si>
    <t>Execute by</t>
  </si>
  <si>
    <t>Remark</t>
  </si>
  <si>
    <t>Test Cases ID</t>
  </si>
  <si>
    <t>Test Case Description</t>
  </si>
  <si>
    <t>Pre-Conditions</t>
  </si>
  <si>
    <t>Start</t>
  </si>
  <si>
    <t>Test Step</t>
  </si>
  <si>
    <t>End</t>
  </si>
  <si>
    <t>FAIL</t>
  </si>
  <si>
    <t xml:space="preserve"> Expected Result</t>
  </si>
  <si>
    <t>Positive/Negative</t>
  </si>
  <si>
    <t>Priority</t>
  </si>
  <si>
    <t>Test Data</t>
  </si>
  <si>
    <t>Tester</t>
  </si>
  <si>
    <t>Execution Plan</t>
  </si>
  <si>
    <t>Execution date</t>
  </si>
  <si>
    <t>Test Result</t>
  </si>
  <si>
    <t>Dashboard + Deal</t>
  </si>
  <si>
    <t>BLOCKED</t>
  </si>
  <si>
    <t>In Progress</t>
  </si>
  <si>
    <t>Deferred</t>
  </si>
  <si>
    <t xml:space="preserve">Scenario : Case validations : เมนู "ใบเสนอราคา"                                                                                                                                                        </t>
  </si>
  <si>
    <t>CreatorDee</t>
  </si>
  <si>
    <t>N/A</t>
  </si>
  <si>
    <t>Scenario : Case validations : เมนู "หลัก"</t>
  </si>
  <si>
    <t>Total</t>
  </si>
  <si>
    <t>Calendar</t>
  </si>
  <si>
    <t>Execution Progress</t>
  </si>
  <si>
    <t>User Package</t>
  </si>
  <si>
    <r>
      <rPr>
        <rFont val="Tahoma"/>
        <color rgb="FF000000"/>
        <sz val="10.0"/>
      </rPr>
      <t xml:space="preserve">ตรวจสอบเมนู : หน้าหลัก </t>
    </r>
    <r>
      <rPr>
        <rFont val="Tahoma"/>
        <b/>
        <color rgb="FF1155CC"/>
        <sz val="10.0"/>
      </rPr>
      <t xml:space="preserve">กรณี : บัญชีที่ยังไม่มีข้อมูลดีลเลย
ระบบแสดงตัวเลข 0 ในทุกกล่อง summary </t>
    </r>
    <r>
      <rPr>
        <rFont val="Tahoma"/>
        <color rgb="FF000000"/>
        <sz val="10.0"/>
      </rPr>
      <t xml:space="preserve">ระบบแสเดงหน้าจอถูกต้อง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-กดเมนู : หน้าหลัก (บัญชีใหม่ ไม่มีดีล)</t>
    </r>
  </si>
  <si>
    <r>
      <rPr>
        <rFont val="Tahoma"/>
        <color rgb="FF000000"/>
        <sz val="10.0"/>
      </rPr>
      <t xml:space="preserve">ตรวจสอบเมนู : หน้าหลัก </t>
    </r>
    <r>
      <rPr>
        <rFont val="Tahoma"/>
        <b/>
        <color rgb="FF1155CC"/>
        <sz val="10.0"/>
      </rPr>
      <t xml:space="preserve">กรณี : บัญชีที่ยังไม่มีข้อมูลดีลเลย
ระบบแสดงตัวเลข 0 ในทุกกล่อง summary </t>
    </r>
    <r>
      <rPr>
        <rFont val="Tahoma"/>
        <color rgb="FF000000"/>
        <sz val="10.0"/>
      </rPr>
      <t xml:space="preserve">ระบบแสเดงหน้าจอถูกต้อง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-กดเมนู : หน้าหลัก (บัญชีใหม่ ไม่มีดีล)</t>
    </r>
  </si>
  <si>
    <t>-ระบบแสดงหน้า หลัก โดยยังไม่มีรายการ ดีล 
- ระบบแสดงตัวเลข 0 ในกล่อง summar  รายได้เดือนนี้ / เงินค้าง / ดีลที่กำลังทำอยู่</t>
  </si>
  <si>
    <t>Positive</t>
  </si>
  <si>
    <t>Medium</t>
  </si>
  <si>
    <t>Garfield</t>
  </si>
  <si>
    <t>Business_Profile</t>
  </si>
  <si>
    <t>Not Start + Execution Progress = 100</t>
  </si>
  <si>
    <r>
      <rPr>
        <rFont val="Tahoma"/>
        <color rgb="FF000000"/>
        <sz val="10.0"/>
      </rPr>
      <t xml:space="preserve">ตรวจสอบเมนู : หน้าหลัก </t>
    </r>
    <r>
      <rPr>
        <rFont val="Tahoma"/>
        <b/>
        <color rgb="FF1155CC"/>
        <sz val="10.0"/>
      </rPr>
      <t>กรณี : กด กล่อง summary "รายได้เดือนนี้"</t>
    </r>
    <r>
      <rPr>
        <rFont val="Tahoma"/>
        <color rgb="FF000000"/>
        <sz val="10.0"/>
      </rPr>
      <t xml:space="preserve">
ระบบแสดงหน้าจอถูกต้อง (ยอดรวมดีลที่กดรับเงินแล้วในเดือนปัจจุบัน)
เงื่อนไข
-กดเมนู : หน้าหลัก
-กด : "รายได้เดือนนี้"</t>
    </r>
  </si>
  <si>
    <r>
      <rPr>
        <rFont val="Tahoma"/>
        <color rgb="FF000000"/>
        <sz val="10.0"/>
      </rPr>
      <t xml:space="preserve">ตรวจสอบเมนู : หน้าหลัก </t>
    </r>
    <r>
      <rPr>
        <rFont val="Tahoma"/>
        <b/>
        <color rgb="FF1155CC"/>
        <sz val="10.0"/>
      </rPr>
      <t>กรณี : กด กล่อง summary "รายได้เดือนนี้"</t>
    </r>
    <r>
      <rPr>
        <rFont val="Tahoma"/>
        <color rgb="FF000000"/>
        <sz val="10.0"/>
      </rPr>
      <t xml:space="preserve">
ระบบแสดงหน้าจอถูกต้อง (ยอดรวมดีลที่กดรับเงินแล้วในเดือนปัจจุบัน)
เงื่อนไข
-กดเมนู : หน้าหลัก
-กด : "รายได้เดือนนี้"</t>
    </r>
  </si>
  <si>
    <t>Pass to Deferred = 100</t>
  </si>
  <si>
    <t xml:space="preserve">- ระบบแสดงพาไปหน้า สรุปการเงิน แสดงรายละเอียดถูกต้อง 
- ระบบแสดงกล่อง ยอดเงินเข้าจริง (หลังหัก ณ ที่จ่าย)/ ยอดเงินค้างรับรวม /หัก ณ ที่จ่ายสะสม
- ระบบแสดง เครื่องมือภาษี ใบ 50 ทวิ/ รายจ่าย / เตรียมยื่นภาษี </t>
  </si>
  <si>
    <t>ทุกอย่าง/Execution Progress ยกเว้น Not Start/Total</t>
  </si>
  <si>
    <t>Create_content</t>
  </si>
  <si>
    <r>
      <rPr>
        <rFont val="Tahoma"/>
        <color rgb="FF000000"/>
        <sz val="10.0"/>
      </rPr>
      <t>ตรวจสอบเมนู : หน้าหลัก</t>
    </r>
    <r>
      <rPr>
        <rFont val="Tahoma"/>
        <b/>
        <color rgb="FF1155CC"/>
        <sz val="10.0"/>
      </rPr>
      <t xml:space="preserve"> กรณี : กดกล่อง summary "เงินค้างรับ"</t>
    </r>
    <r>
      <rPr>
        <rFont val="Tahoma"/>
        <color rgb="FF000000"/>
        <sz val="10.0"/>
      </rPr>
      <t xml:space="preserve">
ระบบแสดงหน้าจอถูกต้อง (ยอดรวมดีลสถานะรอรับเงินทั้งหมด)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-กดเมนู : หน้าหลัก
-กด : "เงินค้างรับ"</t>
    </r>
  </si>
  <si>
    <t xml:space="preserve">Pre-Conditions
</t>
  </si>
  <si>
    <r>
      <rPr>
        <rFont val="Tahoma"/>
        <color rgb="FF000000"/>
        <sz val="10.0"/>
      </rPr>
      <t>ตรวจสอบเมนู : หน้าหลัก</t>
    </r>
    <r>
      <rPr>
        <rFont val="Tahoma"/>
        <b/>
        <color rgb="FF1155CC"/>
        <sz val="10.0"/>
      </rPr>
      <t xml:space="preserve"> กรณี : กดกล่อง summary "เงินค้างรับ"</t>
    </r>
    <r>
      <rPr>
        <rFont val="Tahoma"/>
        <color rgb="FF000000"/>
        <sz val="10.0"/>
      </rPr>
      <t xml:space="preserve">
ระบบแสดงหน้าจอถูกต้อง (ยอดรวมดีลสถานะรอรับเงินทั้งหมด)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-กดเมนู : หน้าหลัก
-กด : "เงินค้างรับ"</t>
    </r>
  </si>
  <si>
    <t xml:space="preserve">- ระบบแสดงพาไปหน้า ดีล แสดงรายละเอียดถูกต้อง 
- ระบบแสดงรายการ ดีล สถานะ "รอจ่าย"  ของแต่ละเดือน </t>
  </si>
  <si>
    <t>N/A ไม่เอามานับรวม</t>
  </si>
  <si>
    <r>
      <rPr>
        <rFont val="Tahoma"/>
        <color rgb="FF000000"/>
        <sz val="10.0"/>
      </rPr>
      <t xml:space="preserve">ตรวจสอบเมนู : หน้าหลัก </t>
    </r>
    <r>
      <rPr>
        <rFont val="Tahoma"/>
        <b/>
        <color rgb="FF1155CC"/>
        <sz val="10.0"/>
      </rPr>
      <t>กรณี : กดกล่อง summary "ดีลที่กำลังทำ"</t>
    </r>
    <r>
      <rPr>
        <rFont val="Tahoma"/>
        <color rgb="FF000000"/>
        <sz val="10.0"/>
      </rPr>
      <t xml:space="preserve">
ระบบแสดงจำนวนดีลในสถานะกำลังทำงานถูกต้อง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-กดเมนู : หน้าหลัก
-กด : "ดีลที่กำลังทำ"</t>
    </r>
  </si>
  <si>
    <t xml:space="preserve">- ระบบแสดงพาไปหน้า ดีลทั้งหมดที่แสดงรายละเอียดถูกต้อง 
</t>
  </si>
  <si>
    <r>
      <rPr>
        <rFont val="Tahoma"/>
        <color rgb="FF000000"/>
        <sz val="10.0"/>
      </rPr>
      <t xml:space="preserve">ตรวจสอบเมนู : หน้าหลัก </t>
    </r>
    <r>
      <rPr>
        <rFont val="Tahoma"/>
        <b/>
        <color rgb="FF1155CC"/>
        <sz val="10.0"/>
      </rPr>
      <t>กรณี : กดกล่อง summary "ดีลที่กำลังทำ"</t>
    </r>
    <r>
      <rPr>
        <rFont val="Tahoma"/>
        <color rgb="FF000000"/>
        <sz val="10.0"/>
      </rPr>
      <t xml:space="preserve">
ระบบแสดงจำนวนดีลในสถานะกำลังทำงานถูกต้อง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-กดเมนู : หน้าหลัก
-กด : "ดีลที่กำลังทำ"</t>
    </r>
  </si>
  <si>
    <r>
      <rPr>
        <rFont val="Tahoma"/>
        <color rgb="FF000000"/>
        <sz val="10.0"/>
      </rPr>
      <t>ตรวจสอบเมนู :  หน้าหลัก</t>
    </r>
    <r>
      <rPr>
        <rFont val="Tahoma"/>
        <b/>
        <color rgb="FF093D93"/>
        <sz val="10.0"/>
      </rPr>
      <t xml:space="preserve"> สิ่งที่ควรจัดการ กรณี มีรายการ  ดีล &gt; 3 รายการ </t>
    </r>
    <r>
      <rPr>
        <rFont val="Tahoma"/>
        <color rgb="FF000000"/>
        <sz val="10.0"/>
      </rPr>
      <t xml:space="preserve">โดยมีมรายละเอียดดังนี้  ระบบแสดงหน้าจอถูกต้อง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-กดเมนู : หน้าหลัก
-มีรายการ ดีล : ใกล้ / เลยนัดส่งสคริป์ต 1 รายการ
-มีรายการ ดีล : ใกล้ / เลย นัดส่ง draft &gt; 1 รายการ
-มีรายการ ดีล : อยู่ในช่วง เตือน Exclusivity 2 รายการ 
-มีรายการ ดีล : จ่ายเงินแล้ว แต่ยังไม่ออกเอกสาร</t>
    </r>
  </si>
  <si>
    <t>- ระบบแสดงรายการ  ดีล แต่ละหัวข้อได้ถูกต้อง</t>
  </si>
  <si>
    <t>Total Progress</t>
  </si>
  <si>
    <r>
      <rPr>
        <rFont val="Tahoma"/>
        <color rgb="FF000000"/>
        <sz val="10.0"/>
      </rPr>
      <t>ตรวจสอบเมนู :  หน้าหลัก</t>
    </r>
    <r>
      <rPr>
        <rFont val="Tahoma"/>
        <b/>
        <color rgb="FF093D93"/>
        <sz val="10.0"/>
      </rPr>
      <t xml:space="preserve"> สิ่งที่ควรจัดการ กรณี มีรายการ  ดีล &gt; 3 รายการ </t>
    </r>
    <r>
      <rPr>
        <rFont val="Tahoma"/>
        <color rgb="FF000000"/>
        <sz val="10.0"/>
      </rPr>
      <t xml:space="preserve">โดยมีมรายละเอียดดังนี้  ระบบแสดงหน้าจอถูกต้อง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-กดเมนู : หน้าหลัก
-มีรายการ ดีล : ใกล้ / เลยนัดส่งสคริป์ต 1 รายการ
-มีรายการ ดีล : ใกล้ / เลย นัดส่ง draft &gt; 1 รายการ
-มีรายการ ดีล : อยู่ในช่วง เตือน Exclusivity 2 รายการ 
-มีรายการ ดีล : จ่ายเงินแล้ว แต่ยังไม่ออกเอกสาร</t>
    </r>
  </si>
  <si>
    <r>
      <rPr>
        <rFont val="Tahoma"/>
        <color rgb="FF000000"/>
        <sz val="10.0"/>
      </rPr>
      <t>ตรวจสอบเมนู :  หน้าหลัก มีรายการ "สิ่งที่ควรจัดการ" สถานะ "ด่วนมาก"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 กรณี กดที่ ปุ่ม : "ดูดีล"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-กดเมนู : หน้าหลัก
-กดปุ่ม : ดูดีล</t>
    </r>
  </si>
  <si>
    <t xml:space="preserve">-ระบบพาไปหน้าเมนู : ดีล แสดงรายละเอียด ดีล ทั้งหมดถูกต้อง </t>
  </si>
  <si>
    <r>
      <rPr>
        <rFont val="Tahoma"/>
        <color rgb="FF000000"/>
        <sz val="10.0"/>
      </rPr>
      <t xml:space="preserve">ตรวจสอบเมนู :  หน้าหลัก มีรายการ "สิ่งที่ควรจัดการ" สถานะ "ด่วนมาก" </t>
    </r>
    <r>
      <rPr>
        <rFont val="Tahoma"/>
        <color rgb="FF093D93"/>
        <sz val="10.0"/>
      </rPr>
      <t xml:space="preserve"> </t>
    </r>
    <r>
      <rPr>
        <rFont val="Tahoma"/>
        <b/>
        <color rgb="FF093D93"/>
        <sz val="10.0"/>
      </rPr>
      <t xml:space="preserve">กรณี กดที่ ปุ่ม : "เลื่อนเตือน อีก 3 วัน "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-กดเมนู : หน้าหลัก
-กดปุ่ม :เลื่อนเตือน 
-popup : เลือก อีก 3 วัน  
-กดปุ่ม : เลื่อน </t>
    </r>
  </si>
  <si>
    <r>
      <rPr>
        <rFont val="Tahoma"/>
        <color rgb="FF000000"/>
        <sz val="10.0"/>
      </rPr>
      <t>ตรวจสอบเมนู :  หน้าหลัก มีรายการ "สิ่งที่ควรจัดการ" สถานะ "ด่วนมาก"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 กรณี กดที่ ปุ่ม : "ดูดีล"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-กดเมนู : หน้าหลัก
-กดปุ่ม : ดูดีล</t>
    </r>
  </si>
  <si>
    <t>-ระบบแสดง popup : เลื่อนเตือน "ซ่อนรายการนี้ไว้ก่อน แล้วเตือนอีกครั้งใน" 
-แสดงปุ่ม : ยกเลิก , เลื่อน
- รายการ ดีล "ดีลด่วน" หายไปจากหน้า หลัก</t>
  </si>
  <si>
    <t>กางเคสระยะเวลาที่จะตกแต่ละสถานะ</t>
  </si>
  <si>
    <r>
      <rPr>
        <rFont val="Tahoma"/>
        <color rgb="FF000000"/>
        <sz val="10.0"/>
      </rPr>
      <t xml:space="preserve">ตรวจสอบเมนู :  หน้าหลัก มีรายการ "สิ่งที่ควรจัดการ" สถานะ "ด่วนมาก" </t>
    </r>
    <r>
      <rPr>
        <rFont val="Tahoma"/>
        <color rgb="FF093D93"/>
        <sz val="10.0"/>
      </rPr>
      <t xml:space="preserve"> </t>
    </r>
    <r>
      <rPr>
        <rFont val="Tahoma"/>
        <b/>
        <color rgb="FF093D93"/>
        <sz val="10.0"/>
      </rPr>
      <t xml:space="preserve">กรณี กดที่ ปุ่ม : "หลังคบกำหนด ลื่อนเตือน 3 วัน แล้ว "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-กดเมนู : หน้าหลัก
</t>
    </r>
  </si>
  <si>
    <t xml:space="preserve">-ระบบแสดง รายการ ดีล "ดีลด่วน"  ที่เลื่อนเตือนไปแสดงรายการดีลถูกต้อง </t>
  </si>
  <si>
    <r>
      <rPr>
        <rFont val="Tahoma"/>
        <color rgb="FF000000"/>
        <sz val="10.0"/>
      </rPr>
      <t xml:space="preserve">ตรวจสอบเมนู :  หน้าหลัก มีรายการ "สิ่งที่ควรจัดการ" สถานะ "ด่วนมาก" </t>
    </r>
    <r>
      <rPr>
        <rFont val="Tahoma"/>
        <color rgb="FF093D93"/>
        <sz val="10.0"/>
      </rPr>
      <t xml:space="preserve"> </t>
    </r>
    <r>
      <rPr>
        <rFont val="Tahoma"/>
        <b/>
        <color rgb="FF093D93"/>
        <sz val="10.0"/>
      </rPr>
      <t xml:space="preserve">กรณี กดที่ ปุ่ม : "เลื่อนเตือน อีก 3 วัน "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-กดเมนู : หน้าหลัก
-กดปุ่ม :เลื่อนเตือน 
-popup : เลือก อีก 3 วัน  
-กดปุ่ม : เลื่อน </t>
    </r>
  </si>
  <si>
    <r>
      <rPr>
        <rFont val="Calibri, sans-serif"/>
        <color rgb="FF000000"/>
        <sz val="11.0"/>
      </rPr>
      <t xml:space="preserve">ตรวจสอบเมนู : หน้าหลัก </t>
    </r>
    <r>
      <rPr>
        <rFont val="Calibri, sans-serif"/>
        <b/>
        <color rgb="FF1155CC"/>
        <sz val="11.0"/>
      </rPr>
      <t xml:space="preserve">กรณี : มีดีลรับเงินคาบเกี่ยวช่วงเปลี่ยนเดือน (ปลายเดือน/
ต้นเดือนถัดไป)  </t>
    </r>
    <r>
      <rPr>
        <rFont val="Calibri, sans-serif"/>
        <color rgb="FF000000"/>
        <sz val="11.0"/>
      </rPr>
      <t xml:space="preserve">ระบบตัดยอด "รายได้เดือนนี้" ตามรอบเดือนปฏิทิน 
อิงเขตเวลาไทย (GMT+7) ถูกต้อง
</t>
    </r>
    <r>
      <rPr>
        <rFont val="Calibri, sans-serif"/>
        <b/>
        <color rgb="FF000000"/>
        <sz val="11.0"/>
      </rPr>
      <t>เงื่อนไข</t>
    </r>
    <r>
      <rPr>
        <rFont val="Calibri, sans-serif"/>
        <color rgb="FF000000"/>
        <sz val="11.0"/>
      </rPr>
      <t xml:space="preserve">
-มีดีลที่รับเงินวันสุดท้ายของเดือน และวันแรกของเดือนถัดไป
-กดเมนู : หน้าหลัก</t>
    </r>
  </si>
  <si>
    <t>Figma</t>
  </si>
  <si>
    <r>
      <rPr>
        <rFont val="Tahoma"/>
        <color rgb="FF000000"/>
        <sz val="10.0"/>
      </rPr>
      <t xml:space="preserve">ตรวจสอบเมนู :  หน้าหลัก มีรายการ "สิ่งที่ควรจัดการ" </t>
    </r>
    <r>
      <rPr>
        <rFont val="Tahoma"/>
        <color rgb="FF093D93"/>
        <sz val="10.0"/>
      </rPr>
      <t xml:space="preserve"> </t>
    </r>
    <r>
      <rPr>
        <rFont val="Tahoma"/>
        <b/>
        <color rgb="FF093D93"/>
        <sz val="10.0"/>
      </rPr>
      <t xml:space="preserve">กรณี กดที่ ปุ่ม :  "รับทราบ"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-กดเมนู : หน้าหลัก
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</si>
  <si>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</si>
  <si>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Tahoma"/>
        <color rgb="FF000000"/>
        <sz val="10.0"/>
      </rPr>
      <t xml:space="preserve">ตรวจสอบเมนู :  หน้าหลัก มีรายการ "สิ่งที่ควรจัดการ" </t>
    </r>
    <r>
      <rPr>
        <rFont val="Tahoma"/>
        <color rgb="FF093D93"/>
        <sz val="10.0"/>
      </rPr>
      <t xml:space="preserve"> </t>
    </r>
    <r>
      <rPr>
        <rFont val="Tahoma"/>
        <b/>
        <color rgb="FF093D93"/>
        <sz val="10.0"/>
      </rPr>
      <t xml:space="preserve">กรณี กดที่ ปุ่ม :  "รับทราบ"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-กดเมนู : หน้าหลัก
</t>
    </r>
  </si>
  <si>
    <t>Scenario : Case validations : เมนู "ดีล"</t>
  </si>
  <si>
    <t>Design Case</t>
  </si>
  <si>
    <t>บันทึกดีลเข้าระบบ</t>
  </si>
  <si>
    <t>CW</t>
  </si>
  <si>
    <r>
      <rPr>
        <rFont val="Tahoma"/>
        <color rgb="FF292A2E"/>
        <sz val="10.0"/>
      </rPr>
      <t>ตรวจสอบเมนู :  ดีล</t>
    </r>
    <r>
      <rPr>
        <rFont val="Tahoma"/>
        <b/>
        <color rgb="FF093D93"/>
        <sz val="10.0"/>
      </rPr>
      <t xml:space="preserve"> กรณี "ยังไม่มีรายการดีล"  </t>
    </r>
    <r>
      <rPr>
        <rFont val="Tahoma"/>
        <color rgb="FF000000"/>
        <sz val="10.0"/>
      </rPr>
      <t xml:space="preserve">ระบบและแสดงรายการทั้งหมดถูกต้อง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- กดเมนู : ดีล  </t>
    </r>
  </si>
  <si>
    <t>FSD</t>
  </si>
  <si>
    <r>
      <rPr>
        <rFont val="Tahoma"/>
        <color rgb="FF292A2E"/>
        <sz val="10.0"/>
      </rPr>
      <t>ตรวจสอบเมนู :  ดีล</t>
    </r>
    <r>
      <rPr>
        <rFont val="Tahoma"/>
        <b/>
        <color rgb="FF093D93"/>
        <sz val="10.0"/>
      </rPr>
      <t xml:space="preserve"> กรณี "ยังไม่มีรายการดีล"  </t>
    </r>
    <r>
      <rPr>
        <rFont val="Tahoma"/>
        <color rgb="FF000000"/>
        <sz val="10.0"/>
      </rPr>
      <t xml:space="preserve">ระบบและแสดงรายการทั้งหมดถูกต้อง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- กดเมนู : ดีล  </t>
    </r>
  </si>
  <si>
    <t xml:space="preserve">-ระบบแสดงหน้า ดีล ถูกต้อง โดยแสดงช่อง คเนหาชื่อประเภทแบรน์ด / drop down
ปี / drop down หมวดหมู่สิ้นค้า / drop down สถานะ 
- แสดงปุ่ม "ล้าง" 
-แสดงปุ่ม  "Export"
-แสดงปุ่ม "เพิ่มดิล"
 </t>
  </si>
  <si>
    <t>High</t>
  </si>
  <si>
    <t>Defect</t>
  </si>
  <si>
    <r>
      <rPr>
        <rFont val="Tahoma"/>
        <color rgb="FF292A2E"/>
        <sz val="10.0"/>
      </rPr>
      <t>ตรวจสอบเมนู :  ดีล</t>
    </r>
    <r>
      <rPr>
        <rFont val="Tahoma"/>
        <b/>
        <color rgb="FF093D93"/>
        <sz val="10.0"/>
      </rPr>
      <t xml:space="preserve"> กรณี กดปุ่ม "เพิ่มดีล" User กรอกข้อมูลครบทุก Field และ ไม่กด "ช่วยคิดเรต"   </t>
    </r>
    <r>
      <rPr>
        <rFont val="Tahoma"/>
        <color rgb="FF000000"/>
        <sz val="10.0"/>
      </rPr>
      <t xml:space="preserve">ระบบสร้างดีลสำเร็จ และแสดงรายการทั้งหมดถูกต้อง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กรอกข้อมูลครบทุก Field  : กด "เพิ่มดีล"</t>
    </r>
  </si>
  <si>
    <t xml:space="preserve">-ระบบสร้างดีลสำเร็จรายการแสดงที่หน้า "ดีล" 
-ระบบแสดงสถานะ "ทาบทาม"  ถูกต้อง </t>
  </si>
  <si>
    <r>
      <rPr>
        <rFont val="Tahoma"/>
        <color rgb="FF292A2E"/>
        <sz val="10.0"/>
      </rPr>
      <t>ตรวจสอบเมนู :  ดีล</t>
    </r>
    <r>
      <rPr>
        <rFont val="Tahoma"/>
        <b/>
        <color rgb="FF093D93"/>
        <sz val="10.0"/>
      </rPr>
      <t xml:space="preserve"> กดปุ่ม "เพิ่มดีล"  User สร้างดีล กรอกข้อมูลครบทุก Field  กรณี : "วันที่นัดส่งสคริปต์ให้แบรนด์รีวิว / วันนัดส่ง draft/งาน  &gt; (Current date = 3 วัน) ไม่กด "ช่วยคิดเรต"   </t>
    </r>
    <r>
      <rPr>
        <rFont val="Tahoma"/>
        <color rgb="FF000000"/>
        <sz val="10.0"/>
      </rPr>
      <t xml:space="preserve">ระบบสร้างดีลสำเร็จ และแสดงรายการทั้งหมดถูกต้อง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All Field : กรอกข้อมูลครบทุก
- Field :  วันที่นัดส่งสคริปต์ให้แบรนด์รีวิว / วันนัดส่ง draft/งาน  &gt; (Current date = 3 วัน)
- กด :  "เพิ่มดีล"</t>
    </r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</si>
  <si>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ใกล้นัดส่ง สคริปต์ · test  สถานะ : ด่วน
-ระบบแสดงรายการดีล ใกล้นัดส่ง draft/งาน · test  สถานะ : ด่วน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-ระบบแสดงรายละเอียดที่หน้า ดีล ถูกต้อง โดยแสดง หมายเหตุ : ใกล้ deadline 
</t>
    </r>
  </si>
  <si>
    <r>
      <rPr>
        <rFont val="Tahoma"/>
        <color rgb="FF000000"/>
        <sz val="10.0"/>
      </rPr>
      <t>ตรวจสอบเมนู :  ดีล กดปุ่ม  "เพิ่มดีล"</t>
    </r>
    <r>
      <rPr>
        <rFont val="Tahoma"/>
        <b/>
        <color rgb="FF000000"/>
        <sz val="10.0"/>
      </rPr>
      <t xml:space="preserve"> </t>
    </r>
    <r>
      <rPr>
        <rFont val="Tahoma"/>
        <b/>
        <color rgb="FFFF0000"/>
        <sz val="10.0"/>
      </rPr>
      <t xml:space="preserve"> กรณี User ไม่กรอกชื่อแบรนด์  และกดปุ่ม "เพิ่มดีล" </t>
    </r>
    <r>
      <rPr>
        <rFont val="Tahoma"/>
        <color rgb="FF000000"/>
        <sz val="10.0"/>
      </rPr>
      <t xml:space="preserve">ระบบ error ถูกต้อง 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Field ชื่อแบรนด์ : ไม่กรอกข้อมูล  
- กด "เพิ่มดีล"</t>
    </r>
  </si>
  <si>
    <t xml:space="preserve">-ระบบแสดง error : " ใส่ชื่อแบรนด์" ใต้ Field  ถูกต้อง </t>
  </si>
  <si>
    <t>Negative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</si>
  <si>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color rgb="FF093D93"/>
        <sz val="10.0"/>
      </rPr>
      <t xml:space="preserve"> </t>
    </r>
    <r>
      <rPr>
        <rFont val="Tahoma"/>
        <b/>
        <color rgb="FF093D93"/>
        <sz val="10.0"/>
      </rPr>
      <t xml:space="preserve"> </t>
    </r>
    <r>
      <rPr>
        <rFont val="Tahoma"/>
        <b/>
        <color rgb="FFFF0000"/>
        <sz val="10.0"/>
      </rPr>
      <t>กรณี ไม่กรอกประเภทงาน และกดปุ่ม "เพิ่มดีล"</t>
    </r>
    <r>
      <rPr>
        <rFont val="Tahoma"/>
        <b/>
        <color rgb="FF093D93"/>
        <sz val="10.0"/>
      </rPr>
      <t xml:space="preserve"> </t>
    </r>
    <r>
      <rPr>
        <rFont val="Tahoma"/>
        <color rgb="FF000000"/>
        <sz val="10.0"/>
      </rPr>
      <t xml:space="preserve">ระบบ error ถูกต้อง 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Field ประเภทงาน :  ไม่กรอกข้อมูล 
- กด "เพิ่มดีล"</t>
    </r>
  </si>
  <si>
    <r>
      <rPr>
        <rFont val="Tahoma"/>
        <color rgb="FF000000"/>
        <sz val="10.0"/>
      </rPr>
      <t>ตรวจสอบเมนู :  ดีล กดปุ่ม  "เพิ่มดีล"</t>
    </r>
    <r>
      <rPr>
        <rFont val="Tahoma"/>
        <b/>
        <color rgb="FF000000"/>
        <sz val="10.0"/>
      </rPr>
      <t xml:space="preserve"> </t>
    </r>
    <r>
      <rPr>
        <rFont val="Tahoma"/>
        <b/>
        <color rgb="FFFF0000"/>
        <sz val="10.0"/>
      </rPr>
      <t xml:space="preserve"> กรณี User สร้างดีล  โดย "ไม่กรอกชื่อแบรนด์ /  ไม่กรอกประเภทงาน" และกดปุ่ม "เพิ่มดีล" </t>
    </r>
    <r>
      <rPr>
        <rFont val="Tahoma"/>
        <color rgb="FF000000"/>
        <sz val="10.0"/>
      </rPr>
      <t xml:space="preserve">ระบบ error ถูกต้อง 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Field ชื่อแบรนด์ / ประเภทงาน : ไม่กรอกข้อมูล  
- Other field : กรอกข้อมูลครบ
- กด "เพิ่มดีล"</t>
    </r>
  </si>
  <si>
    <t xml:space="preserve">-ระบบแสดง error : " ใส่ประเภทงาน" ใต้ Field  ถูกต้อง </t>
  </si>
  <si>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>-ระบบแสดง error : " ใส่ชื่อแบรนด์" ใต้ Field  ถูกต้อง 
-ระบบแสดง error : " ใส่ประเภทงาน" ใต้ Field  ถูกต้อง 
-ไม่สามารถสร้างดีลได้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</si>
  <si>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color rgb="FF093D93"/>
        <sz val="10.0"/>
      </rPr>
      <t xml:space="preserve"> </t>
    </r>
    <r>
      <rPr>
        <rFont val="Tahoma"/>
        <b/>
        <color rgb="FF1155CC"/>
        <sz val="10.0"/>
      </rPr>
      <t xml:space="preserve"> กรณี ไม่กรอก Field  "ข้อมูลผู้ติดต่อ /หมวดสินค้า" และกดปุ่ม "เพิ่มดีล"</t>
    </r>
    <r>
      <rPr>
        <rFont val="Tahoma"/>
        <b/>
        <color rgb="FF093D93"/>
        <sz val="10.0"/>
      </rPr>
      <t xml:space="preserve"> </t>
    </r>
    <r>
      <rPr>
        <rFont val="Tahoma"/>
        <color rgb="FF000000"/>
        <sz val="10.0"/>
      </rPr>
      <t xml:space="preserve">ระบบ error ถูกต้อง 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Field  "ข้อมูลผู้ติดต่อ /หมวดสินค้า"  : ไม่กรอก
- กด "เพิ่มดีล"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</si>
  <si>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color rgb="FF093D93"/>
        <sz val="10.0"/>
      </rPr>
      <t xml:space="preserve"> </t>
    </r>
    <r>
      <rPr>
        <rFont val="Tahoma"/>
        <b/>
        <color rgb="FF093D93"/>
        <sz val="10.0"/>
      </rPr>
      <t xml:space="preserve"> กรณี  User สร้างดีลชื่อแบรนด์ซ้ำ  "เพิ่มดีล" สามารถทำการสร้างดีลได้สำเร็จ</t>
    </r>
    <r>
      <rPr>
        <rFont val="Tahoma"/>
        <color rgb="FF000000"/>
        <sz val="10.0"/>
      </rPr>
      <t xml:space="preserve">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Field ชื่อแบรนด์ : กรอกชื่อแบรนด์ซ้ำ
- กด "เพิ่มดีล"</t>
    </r>
  </si>
  <si>
    <r>
      <rPr>
        <rFont val="Tahoma"/>
        <b/>
        <color rgb="FF000000"/>
        <sz val="10.0"/>
      </rPr>
      <t>หน้าดีล</t>
    </r>
    <r>
      <rPr>
        <rFont val="Tahoma"/>
        <color rgb="FF000000"/>
        <sz val="10.0"/>
      </rPr>
      <t xml:space="preserve">
-ระบบแสดงรายละเอียดที่หน้า ดีล ถูกต้อง โดยแสดงชื่อแบรนด์ถูกต้อง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</si>
  <si>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color rgb="FF093D93"/>
        <sz val="10.0"/>
      </rPr>
      <t xml:space="preserve"> </t>
    </r>
    <r>
      <rPr>
        <rFont val="Tahoma"/>
        <b/>
        <color rgb="FF093D93"/>
        <sz val="10.0"/>
      </rPr>
      <t xml:space="preserve"> กรณี  User สร้างดีลชื่อแบรนด์ซ้ำ  "เพิ่มดีล" </t>
    </r>
    <r>
      <rPr>
        <rFont val="Tahoma"/>
        <color rgb="FF000000"/>
        <sz val="10.0"/>
      </rPr>
      <t xml:space="preserve">ระบบ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Field ชื่อแบรนด์ : กรอกชื่อแบรนด์ซ้ำ
- กด "เพิ่มดีล"</t>
    </r>
  </si>
  <si>
    <t>-ระบบสร้างชื่อแบร์นดซ้ำได้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</si>
  <si>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 </t>
    </r>
    <r>
      <rPr>
        <rFont val="Tahoma"/>
        <b/>
        <color rgb="FF093D93"/>
        <sz val="10.0"/>
      </rPr>
      <t xml:space="preserve">กรณีกรอกข้อมูล Field  : ชื่อแบรนด์ * / 
ประเภทงาน * / ช่องทางที่ติดต่อ / ราคา (บาท) ครบถ้วน และกด เมนู "ช่วยคิดเรต" </t>
    </r>
    <r>
      <rPr>
        <rFont val="Tahoma"/>
        <color rgb="FF000000"/>
        <sz val="10.0"/>
      </rPr>
      <t xml:space="preserve">ระบบหน้าจอถูกต้อง 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 All field  : กรอกข้อมูลครบทุก 
- กด : "ช่วยคิดเรต"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</si>
  <si>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color rgb="FF093D93"/>
        <sz val="10.0"/>
      </rPr>
      <t xml:space="preserve"> </t>
    </r>
    <r>
      <rPr>
        <rFont val="Tahoma"/>
        <b/>
        <color rgb="FF093D93"/>
        <sz val="10.0"/>
      </rPr>
      <t xml:space="preserve"> กรณี ปิดหน้า "เพิ่มดีล" กลางคันระหว่างกรอก  </t>
    </r>
    <r>
      <rPr>
        <rFont val="Tahoma"/>
        <color rgb="FF000000"/>
        <sz val="10.0"/>
      </rPr>
      <t xml:space="preserve">ระบบแสดงหน้าจอถูกต้อง 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 All field  : กรอกข้อมูลครบทุก 
- กด : "X"</t>
    </r>
  </si>
  <si>
    <t xml:space="preserve">-ระบบพาไปหน้า "ประเมินราคางานที่ควรเสนอ" ถูกต้อง </t>
  </si>
  <si>
    <t xml:space="preserve">-ระบบสร้างดีลไม่สำเร็จและไม่มีรายการใหม่แสดงที่หน้า "ดีล" 
 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</si>
  <si>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 </t>
    </r>
    <r>
      <rPr>
        <rFont val="Tahoma"/>
        <b/>
        <color rgb="FFFF0000"/>
        <sz val="10.0"/>
      </rPr>
      <t>กรณี  User ไม่กรอกข้อมูล Field ทั้งหมด และกดปุ่ม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 ระบบหน้าจอถูกต้อง 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 All field  : ไม่กรอกข้อมูล
- กด : "ช่วยคิดเรต"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</si>
  <si>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 </t>
    </r>
    <r>
      <rPr>
        <rFont val="Tahoma"/>
        <b/>
        <color rgb="FF093D93"/>
        <sz val="10.0"/>
      </rPr>
      <t xml:space="preserve">กรณีกรอกข้อมูล Field  : ชื่อแบรนด์ * / 
ประเภทงาน * / ช่องทางที่ติดต่อ / ราคา (บาท) ครบถ้วน และกด เมนู "ช่วยคิดเรต" </t>
    </r>
    <r>
      <rPr>
        <rFont val="Tahoma"/>
        <color rgb="FF000000"/>
        <sz val="10.0"/>
      </rPr>
      <t xml:space="preserve">ระบบหน้าจอถูกต้อง  
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กดเมนู : ดีล 
- กดปุ่ม : เพิ่มดีล
-  All field  : กรอกข้อมูลครบทุก 
- กด : "ช่วยคิดเรต"</t>
    </r>
  </si>
  <si>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 error : "กรอกจำนวนผู้ติดตาม หรือยอดวิวเฉลี่ยอย่างน้อยหนึ่งค่า" ถูกต้อง 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</si>
  <si>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 </t>
    </r>
    <r>
      <rPr>
        <rFont val="Tahoma"/>
        <b/>
        <color rgb="FFFF0000"/>
        <sz val="10.0"/>
      </rPr>
      <t>กรณี ไม่กรอกข้อมูล Field ทั้งหมด และกดปุ่ม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 ระบบหน้าจอถูกต้อง 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  All field  : ไม่กรอกข้อมูล
- กด : "ช่วยคิดเรต"</t>
    </r>
  </si>
  <si>
    <r>
      <rPr>
        <rFont val="Tahoma"/>
        <color rgb="FF000000"/>
        <sz val="10.0"/>
      </rPr>
      <t xml:space="preserve">ตรวจสอบเมนู : ดีล กดปุ่ม "เพิ่มดีล"  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วันที่นัดส่งสคริปต์ให้แบรนด์รีวิว และยังห่างจากวันปัจจุบันเกิน 3 วัน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 วันที่นัดส่งสคริปต์ให้แบรนด์รีวิว &gt; (Current date + 3 วัน)</t>
    </r>
  </si>
  <si>
    <t xml:space="preserve">-ระบบแสดง error : "กรอกจำนวนผู้ติดตาม หรือยอดวิวเฉลี่ยอย่างน้อยหนึ่งค่า" ถูกต้อง </t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</si>
  <si>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ใกล้นัดส่ง สคริปต์  สถานะ : </t>
    </r>
    <r>
      <rPr>
        <rFont val="Tahoma"/>
        <b/>
        <color rgb="FF000000"/>
        <sz val="10.0"/>
      </rPr>
      <t>ด่วน</t>
    </r>
    <r>
      <rPr>
        <rFont val="Tahoma"/>
        <color rgb="FF000000"/>
        <sz val="10.0"/>
      </rPr>
      <t xml:space="preserve">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-ระบบแสดงรายละเอียดที่หน้า ดีล ถูกต้อง โดยแสดง หมายเหตุ : </t>
    </r>
    <r>
      <rPr>
        <rFont val="Tahoma"/>
        <b/>
        <color rgb="FFFFE599"/>
        <sz val="10.0"/>
      </rPr>
      <t xml:space="preserve">ใกล้ deadline </t>
    </r>
    <r>
      <rPr>
        <rFont val="Tahoma"/>
        <color rgb="FF000000"/>
        <sz val="10.0"/>
      </rPr>
      <t xml:space="preserve">
</t>
    </r>
  </si>
  <si>
    <r>
      <rPr>
        <rFont val="Tahoma"/>
        <color rgb="FF000000"/>
        <sz val="10.0"/>
      </rPr>
      <t xml:space="preserve">ตรวจสอบเมนู : ดีล กดปุ่ม "เพิ่มดีล"  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วันที่นัดส่งสคริปต์ให้แบรนด์รีวิว และยังห่างจากวันปัจจุบันเกิน 3 วัน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 วันที่นัดส่งสคริปต์ให้แบรนด์รีวิว &gt; (Current date + 3 วัน)</t>
    </r>
  </si>
  <si>
    <t xml:space="preserve">TC_Calendar_2 </t>
  </si>
  <si>
    <r>
      <rPr>
        <rFont val="Tahoma"/>
        <color rgb="FF000000"/>
        <sz val="10.0"/>
      </rPr>
      <t xml:space="preserve">ตรวจสอบเมนู : ดีล กดปุ่ม "เพิ่มดีล"  
</t>
    </r>
    <r>
      <rPr>
        <rFont val="Tahoma"/>
        <b/>
        <color rgb="FF1155CC"/>
        <sz val="10.0"/>
      </rPr>
      <t xml:space="preserve">กรณี : สร้างดีลโดยมีเพียง วันที่นัดส่งสคริปต์ให้แบรนด์รีวิว และเกือบจะถึง deadline แล้ว (= 3 วัน)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 วันที่นัดส่งสคริปต์ให้แบรนด์รีวิว = (Current date ) แต่ไม่ต่ำกว่า Current Date</t>
    </r>
  </si>
  <si>
    <r>
      <rPr>
        <rFont val="Tahoma"/>
        <color rgb="FF000000"/>
        <sz val="10.0"/>
      </rPr>
      <t xml:space="preserve">ตรวจสอบเมนู : ดีล กดปุ่ม "เพิ่มดีล"  
</t>
    </r>
    <r>
      <rPr>
        <rFont val="Tahoma"/>
        <b/>
        <color rgb="FF1155CC"/>
        <sz val="10.0"/>
      </rPr>
      <t xml:space="preserve">กรณี : สร้างดีลโดยมีเพียง วันที่นัดส่งสคริปต์ให้แบรนด์รีวิว และเกือบจะถึง deadline แล้ว (&lt;= 3 วัน)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 วันที่นัดส่งสคริปต์ให้แบรนด์รีวิว &lt;= (Current date + 3 วัน) แต่ไม่ต่ำกว่า Current Date</t>
    </r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</si>
  <si>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ใกล้นัดส่ง สคริปต์  สถานะ : </t>
    </r>
    <r>
      <rPr>
        <rFont val="Tahoma"/>
        <b/>
        <color rgb="FF000000"/>
        <sz val="10.0"/>
      </rPr>
      <t>ด่วน</t>
    </r>
    <r>
      <rPr>
        <rFont val="Tahoma"/>
        <color rgb="FF000000"/>
        <sz val="10.0"/>
      </rPr>
      <t xml:space="preserve">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-ระบบแสดงรายละเอียดที่หน้า ดีล ถูกต้อง โดยแสดง หมายเหตุ : </t>
    </r>
    <r>
      <rPr>
        <rFont val="Tahoma"/>
        <b/>
        <color rgb="FFFFE599"/>
        <sz val="10.0"/>
      </rPr>
      <t xml:space="preserve">ใกล้ deadline </t>
    </r>
    <r>
      <rPr>
        <rFont val="Tahoma"/>
        <color rgb="FF000000"/>
        <sz val="10.0"/>
      </rPr>
      <t xml:space="preserve">
</t>
    </r>
  </si>
  <si>
    <t>TC_Calendar_3</t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</si>
  <si>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สร้างดีลโดยมีเพียง วันที่นัดส่งสคริปต์ให้แบรนด์รีวิว แต่เลย deadline แล้ว (&lt; Current date)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 วันที่นัดส่งสคริปต์ให้แบรนด์รีวิว &lt; (Current date)</t>
    </r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</si>
  <si>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สร้างดีลโดยมีเพียง วันที่นัดส่งสคริปต์ให้แบรนด์รีวิว แต่เลย deadline แล้ว (&lt; Current date)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สถานะดีล : ทาบทาม</t>
    </r>
    <r>
      <rPr>
        <rFont val="Tahoma"/>
        <b/>
        <color rgb="FF000000"/>
        <sz val="10.0"/>
      </rPr>
      <t xml:space="preserve">
</t>
    </r>
    <r>
      <rPr>
        <rFont val="Tahoma"/>
        <color rgb="FF000000"/>
        <sz val="10.0"/>
      </rPr>
      <t>-  วันที่นัดส่งสคริปต์ให้แบรนด์รีวิว &lt; (Current date)</t>
    </r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</si>
  <si>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เลยนัดส่ง สคริปต์   สถานะ : ด่วนมาก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-ระบบแสดงรายละเอียดที่หน้า ดีล ถูกต้อง โดยแสดง หมายเหตุ : </t>
    </r>
    <r>
      <rPr>
        <rFont val="Tahoma"/>
        <b/>
        <color rgb="FFFF0000"/>
        <sz val="10.0"/>
      </rPr>
      <t>เลย deadline</t>
    </r>
    <r>
      <rPr>
        <rFont val="Tahoma"/>
        <color rgb="FF000000"/>
        <sz val="10.0"/>
      </rPr>
      <t xml:space="preserve">
</t>
    </r>
  </si>
  <si>
    <t>TC_Calendar_4</t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</si>
  <si>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สร้างดีลโดยมีเพียง วันที่นัดส่ง draft / งาน และยังห่างจากวันปัจจุบันเกิน 3 วัน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 วันที่นัดส่ง draft / งาน &gt; (Current date + 3 วัน)</t>
    </r>
  </si>
  <si>
    <t>status</t>
  </si>
  <si>
    <t>แก้ไขดีล</t>
  </si>
  <si>
    <t>ปฎิทิน</t>
  </si>
  <si>
    <t xml:space="preserve">status หน้า ดีล </t>
  </si>
  <si>
    <t>TC_Calendar_5</t>
  </si>
  <si>
    <t>หน้าหลัก</t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</si>
  <si>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สร้างดีลโดยมีเพียง วันที่นัดส่ง draft / งาน และยังห่างจากวันปัจจุบันเกิน 3 วัน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สถานะดีล : ทาบทาม</t>
    </r>
    <r>
      <rPr>
        <rFont val="Tahoma"/>
        <b/>
        <color rgb="FF000000"/>
        <sz val="10.0"/>
      </rPr>
      <t xml:space="preserve">
</t>
    </r>
    <r>
      <rPr>
        <rFont val="Tahoma"/>
        <color rgb="FF000000"/>
        <sz val="10.0"/>
      </rPr>
      <t>-  วันที่นัดส่ง draft / งาน &gt; (Current date + 3 วัน)</t>
    </r>
  </si>
  <si>
    <t>ทาบทาม</t>
  </si>
  <si>
    <t>Field : วันที่นัดส่ง draft / งาน</t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</si>
  <si>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สร้างดีลโดยมีเพียง วันที่นัดส่ง draft / งาน และเกือบจะถึง deadline แล้ว (&lt;= 3 วัน)
</t>
    </r>
    <r>
      <rPr>
        <rFont val="Tahoma"/>
        <color rgb="FF000000"/>
        <sz val="10.0"/>
      </rPr>
      <t>-  วันที่นัดส่ง draft / งาน &lt;= (Current date + 3 วัน) แต่ไม่ต่ำกว่า Current Date</t>
    </r>
  </si>
  <si>
    <t xml:space="preserve">= Current date </t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</si>
  <si>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ใกล้นัดส่ง draft/งาน สถานะ : </t>
    </r>
    <r>
      <rPr>
        <rFont val="Tahoma"/>
        <b/>
        <color rgb="FF000000"/>
        <sz val="10.0"/>
      </rPr>
      <t>ด่วน</t>
    </r>
    <r>
      <rPr>
        <rFont val="Tahoma"/>
        <color rgb="FF000000"/>
        <sz val="10.0"/>
      </rPr>
      <t xml:space="preserve">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-ระบบแสดงรายละเอียดที่หน้า ดีล ถูกต้อง โดยแสดง หมายเหตุ : </t>
    </r>
    <r>
      <rPr>
        <rFont val="Tahoma"/>
        <b/>
        <color rgb="FFFFE599"/>
        <sz val="10.0"/>
      </rPr>
      <t xml:space="preserve">ใกล้ deadline </t>
    </r>
    <r>
      <rPr>
        <rFont val="Tahoma"/>
        <color rgb="FF000000"/>
        <sz val="10.0"/>
      </rPr>
      <t xml:space="preserve">
</t>
    </r>
  </si>
  <si>
    <t>ใกล้ deadline</t>
  </si>
  <si>
    <t>ด่วนมาก</t>
  </si>
  <si>
    <t>"Mac</t>
  </si>
  <si>
    <t>&gt; Current date  3 day</t>
  </si>
  <si>
    <t>"น้ำหอม</t>
  </si>
  <si>
    <t>&lt; Current date  7 day</t>
  </si>
  <si>
    <t>Null</t>
  </si>
  <si>
    <t xml:space="preserve">"น้ำหอม. แก้ไข field &gt;&gt; วันที่นัดส่งสคริปต์ให้แบรนด์รีวิว  </t>
  </si>
  <si>
    <t>TC_Calendar_6</t>
  </si>
  <si>
    <t>&gt; Current date  7 day</t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</si>
  <si>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 draft / งาน แต่เลย deadline แล้ว (&lt; Current date)
</t>
    </r>
    <r>
      <rPr>
        <rFont val="Tahoma"/>
        <color rgb="FF000000"/>
        <sz val="10.0"/>
      </rPr>
      <t>-  วันที่นัดส่ง draft / งาน &lt; (Current date)</t>
    </r>
  </si>
  <si>
    <t>กำลังทำงาน = Facebook  กรอกแค่ "กำหนดจ่ายเงิน"</t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</si>
  <si>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สร้างดีลโดยมีเพียง วันที่นัดส่ง draft / งาน และเกือบจะถึง deadline แล้ว (&lt;= 3 วัน)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สถานะดีล : ทาบทาม</t>
    </r>
    <r>
      <rPr>
        <rFont val="Tahoma"/>
        <b/>
        <color rgb="FF000000"/>
        <sz val="10.0"/>
      </rPr>
      <t xml:space="preserve">
</t>
    </r>
    <r>
      <rPr>
        <rFont val="Tahoma"/>
        <color rgb="FF000000"/>
        <sz val="10.0"/>
      </rPr>
      <t>-  วันที่นัดส่ง draft / งาน &lt;= (Current date + 3 วัน) แต่ไม่ต่ำกว่า Current Date</t>
    </r>
  </si>
  <si>
    <t xml:space="preserve">แสดงหับข้อ ไม่ระบุเดือน
</t>
  </si>
  <si>
    <t>กำลังทำงาน = Mac  กรอกแค่ "วันที่นัดส่งสคริปต์ให้แบรนด์รีวิว"</t>
  </si>
  <si>
    <t>TC_Calendar_7</t>
  </si>
  <si>
    <t xml:space="preserve">
test = วันลงงาน / เผยแพร่</t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</si>
  <si>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ใกล้นัดส่ง draft/งาน สถานะ : </t>
    </r>
    <r>
      <rPr>
        <rFont val="Tahoma"/>
        <b/>
        <color rgb="FF000000"/>
        <sz val="10.0"/>
      </rPr>
      <t>ด่วน</t>
    </r>
    <r>
      <rPr>
        <rFont val="Tahoma"/>
        <color rgb="FF000000"/>
        <sz val="10.0"/>
      </rPr>
      <t xml:space="preserve">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-ระบบแสดงรายละเอียดที่หน้า ดีล ถูกต้อง โดยแสดง หมายเหตุ : </t>
    </r>
    <r>
      <rPr>
        <rFont val="Tahoma"/>
        <b/>
        <color rgb="FFFFE599"/>
        <sz val="10.0"/>
      </rPr>
      <t xml:space="preserve">ใกล้ deadline </t>
    </r>
    <r>
      <rPr>
        <rFont val="Tahoma"/>
        <color rgb="FF000000"/>
        <sz val="10.0"/>
      </rPr>
      <t xml:space="preserve">
</t>
    </r>
  </si>
  <si>
    <t>ปรากฎเดือนปกติ</t>
  </si>
  <si>
    <t>status : ตกลงราคา  -----&gt; จับแท้ก status จาก Field : วันที่นัดส่ง draft / งาน</t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</si>
  <si>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User มีการสร้างดีลโดยมีเพียง วันลงงาน / เผยแพร่ และยังห่างจากวันปัจจุบันเกิน 3 วัน
</t>
    </r>
    <r>
      <rPr>
        <rFont val="Tahoma"/>
        <color rgb="FF000000"/>
        <sz val="10.0"/>
      </rPr>
      <t>-  วันที่นัดส่ง draft / งาน &gt; (Current date + 3 วัน)</t>
    </r>
  </si>
  <si>
    <t>status : รอจ่าย -----&gt; จับแท้ก status จาก Field : กำหนดจ่ายเงิน</t>
  </si>
  <si>
    <t>TC_Calendar_8</t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</si>
  <si>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 draft / งาน แต่เลย deadline แล้ว (&lt; Current date)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สถานะดีล : ทาบทาม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 วันที่นัดส่ง draft / งาน &lt; (Current date)</t>
    </r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</si>
  <si>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เลยนัดส่ง draft/งาน   สถานะ : ด่วนมาก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-ระบบแสดงรายละเอียดที่หน้า ดีล ถูกต้อง โดยแสดง หมายเหตุ : </t>
    </r>
    <r>
      <rPr>
        <rFont val="Tahoma"/>
        <b/>
        <color rgb="FFFF0000"/>
        <sz val="10.0"/>
      </rPr>
      <t>เลย deadline</t>
    </r>
    <r>
      <rPr>
        <rFont val="Tahoma"/>
        <color rgb="FF000000"/>
        <sz val="10.0"/>
      </rPr>
      <t xml:space="preserve">
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</si>
  <si>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00000"/>
        <sz val="10.0"/>
      </rPr>
      <t xml:space="preserve">ห้ามรับคู่แข่ง (Exclusivity)
</t>
    </r>
    <r>
      <rPr>
        <rFont val="Tahoma"/>
        <b/>
        <color rgb="FF093D93"/>
        <sz val="10.0"/>
      </rPr>
      <t>กรณี แก้ไข "วันที่นัดส่ง draft / งาน" ของดีล A ให้ตรงกับช่วง Exclusivity ของดีลอื่น (หมวดเดียวกัน) โดยแก้ไขสถานะ "ทามทาม ---&gt; "ตกลงราคา"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-เปลี่ยนสถานะดีล A จาก "ทาบทาม" → "ตกลงราคา"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-เปิดรายละเอียดดีล A
-แก้ไข "วันที่นัดส่ง draft / งาน " ให้ตกอยู่ในช่วง Exclusivity ของดีล B ( &gt; Current date 3 วัน))
-กดบันทึก</t>
    </r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</si>
  <si>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User มีการสร้างดีลโดยมีเพียง วันลงงาน / เผยแพร่ และเกือบจะถึง deadline แล้ว (&lt;= 3 วัน)
</t>
    </r>
    <r>
      <rPr>
        <rFont val="Tahoma"/>
        <color rgb="FF000000"/>
        <sz val="10.0"/>
      </rPr>
      <t>-  วันลงงาน / เผยแพร่ &lt;= (Current date + 3 วัน) แต่ไม่ต่ำกว่า Current Date</t>
    </r>
  </si>
  <si>
    <r>
      <rPr>
        <rFont val="Tahoma"/>
        <color rgb="FF000000"/>
        <sz val="10.0"/>
      </rPr>
      <t xml:space="preserve">-ระบบแสดง popup : </t>
    </r>
    <r>
      <rPr>
        <rFont val="Tahoma"/>
        <b/>
        <color rgb="FF000000"/>
        <sz val="10.0"/>
      </rPr>
      <t>Exclusivity ชนกัน</t>
    </r>
    <r>
      <rPr>
        <rFont val="Tahoma"/>
        <color rgb="FF000000"/>
        <sz val="10.0"/>
      </rPr>
      <t xml:space="preserve">
-ดีลนี้ชนเงื่อนไขห้ามรับคู่แข่งของดีลเดิม:
-XX · หมวดเดียวกัน · ช่วงห้าม 2026-07-XX – 2026-07-XX
-ระบบแสดงปุ่ม : ยกเลิก
-ระบบแสดงปุ่ม : รับต่อ (รับทราบความเสี่ยง)
-ระบบแสดงรายการดีลถูกต้อง และแสดง หมายเหตุ :</t>
    </r>
    <r>
      <rPr>
        <rFont val="Tahoma"/>
        <color rgb="FFCC0000"/>
        <sz val="10.0"/>
      </rPr>
      <t xml:space="preserve"> รับทราบเสี่ยง </t>
    </r>
    <r>
      <rPr>
        <rFont val="Tahoma"/>
        <color rgb="FF000000"/>
        <sz val="10.0"/>
      </rPr>
      <t xml:space="preserve">ดีลใหม่ที่เพิ่งสร้าง 
</t>
    </r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</si>
  <si>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User มีการสร้างดีลโดยมีเพียง วันลงงาน / เผยแพร่ และยังห่างจากวันปัจจุบันเกิน 3 วัน
</t>
    </r>
    <r>
      <rPr>
        <rFont val="Tahoma"/>
        <b/>
        <color rgb="FF000000"/>
        <sz val="10.0"/>
      </rPr>
      <t xml:space="preserve">
เงื่อนไข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สถานะดีล : ทาบทาม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 วันลงงาน / เผยแพร่ &gt; (Current date + 3 วัน)</t>
    </r>
  </si>
  <si>
    <t>TC_Calendar_9</t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</si>
  <si>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อยู่ในหมวดหมู่ "ดีลที่ยังไม่ได้นัดวัน"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>-ระบบแสดงรายละเอียดที่หน้า ดีล ถูกต้อง โดยแสดง ไม่แสดงแจ้งเตือน หมายเหตุ</t>
    </r>
  </si>
  <si>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-ระบบแสดงรายการ : สิ่งที่ควรจัดการ  ใกล้นัดส่ง สคริปต์ ·  status : ด่วน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-ระบบแสดงรายการสถานะ ดีล ที่หน้า ดีลถูกต้อง 
-แสดงรายการ ดีล อยุ่ใน หมวด :  ระบุเดือน  
-โดยแสดง หมายเหตุ : รอส่ง Draft
</t>
    </r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</si>
  <si>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User มีการสร้างดีลโดยมีเพียง วันลงงาน / เผยแพร่ แต่เลย deadline แล้ว (&lt; Current date)
</t>
    </r>
    <r>
      <rPr>
        <rFont val="Tahoma"/>
        <color rgb="FF000000"/>
        <sz val="10.0"/>
      </rPr>
      <t>-  วันลงงาน / เผยแพร่ &lt; (Current date)</t>
    </r>
  </si>
  <si>
    <t>TC_Calendar_10</t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</si>
  <si>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User มีการสร้างดีลโดยมีเพียง วันลงงาน / เผยแพร่ และเกือบจะถึง deadline แล้ว (&lt;= 3 วัน)
</t>
    </r>
    <r>
      <rPr>
        <rFont val="Tahoma"/>
        <b/>
        <color rgb="FF000000"/>
        <sz val="10.0"/>
      </rPr>
      <t xml:space="preserve">
เงื่อนไข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สถานะดีล : ทาบทาม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 วันลงงาน / เผยแพร่ &lt;= (Current date + 3 วัน) แต่ไม่ต่ำกว่า Current Date</t>
    </r>
  </si>
  <si>
    <r>
      <rPr>
        <rFont val="Tahoma"/>
        <color rgb="FF000000"/>
        <sz val="10.0"/>
      </rPr>
      <t xml:space="preserve">ตรวจสอบเมนู :  ดีล  </t>
    </r>
    <r>
      <rPr>
        <rFont val="Tahoma"/>
        <b/>
        <color rgb="FF000000"/>
        <sz val="10.0"/>
      </rPr>
      <t xml:space="preserve"> Field "วันที่นัดส่งสคริปต์ให้แบรนด์รีวิว"</t>
    </r>
    <r>
      <rPr>
        <rFont val="Tahoma"/>
        <b/>
        <color rgb="FF1155CC"/>
        <sz val="10.0"/>
      </rPr>
      <t xml:space="preserve"> เกรณี กรอกข้อมูล   "ปีย้อนหลัง" และกดปุ่ม "เพิ่มดิล</t>
    </r>
    <r>
      <rPr>
        <rFont val="Tahoma"/>
        <color rgb="FF1155CC"/>
        <sz val="10.0"/>
      </rPr>
      <t xml:space="preserve">" 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-Field วันที่นัดส่งสคริปต์ให้แบรนด์รีวิว :  ปี (2568)</t>
    </r>
  </si>
  <si>
    <r>
      <rPr>
        <rFont val="Tahoma"/>
        <color rgb="FF000000"/>
        <sz val="10.0"/>
      </rPr>
      <t>ตรวจสอบเมนู :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3C78D8"/>
        <sz val="10.0"/>
      </rPr>
      <t xml:space="preserve"> </t>
    </r>
    <r>
      <rPr>
        <rFont val="Tahoma"/>
        <b/>
        <color rgb="FF1155CC"/>
        <sz val="10.0"/>
      </rPr>
      <t xml:space="preserve">User : แก้ไข  วันที่นัดส่ง draft / งาน &lt; (Current date  3 วัน) แต่เลย deadline แล้ว 
โดย กดเปลี่ยน status : "ทาบทาม" ---&gt;  "ตกลงราคา" </t>
    </r>
    <r>
      <rPr>
        <rFont val="Tahoma"/>
        <color rgb="FF000000"/>
        <sz val="10.0"/>
      </rPr>
      <t xml:space="preserve">
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 วันที่นัดส่ง draft / งาน  : &lt; (Current date  3 วัน)  เลย deadline แล้ว 
- กดเปลี่ยนสถานะดีล : "ตกลงราคา" ---&gt;  "อยู่ในระหว่างทำงาน" 
</t>
    </r>
    <r>
      <rPr>
        <rFont val="Tahoma"/>
        <color rgb="FFFF0000"/>
        <sz val="10.0"/>
      </rPr>
      <t>FYI : ใช้ข้อมูลแก้ไขจากข้อม 53</t>
    </r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</si>
  <si>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อยู่ในหมวดหมู่ "ดีลที่ยังไม่ได้นัดวัน"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>-ระบบแสดงรายละเอียดที่หน้า ดีล ถูกต้อง โดยแสดง ไม่แสดงแจ้งเตือน หมายเหตุ</t>
    </r>
  </si>
  <si>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-ระบบแสดงรายการ : สิ่งที่ควรจัดการ  ใกล้นัดส่ง สคริปต์ ·  status : ด่วนมาก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-ระบบแสดงรายการสถานะ ดีล ที่หน้า ดีลถูกต้อง 
-แสดงรายการ ดีล อยุ่ใน หมวด :  ระบุเดือน  
-โดยแสดง หมายเหตุ : เลยกำหนดส่งงาน , รอส่ง Draft
</t>
    </r>
  </si>
  <si>
    <r>
      <rPr>
        <rFont val="Tahoma"/>
        <color rgb="FF000000"/>
        <sz val="10.0"/>
      </rPr>
      <t>ตรวจสอบเมนู :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3C78D8"/>
        <sz val="10.0"/>
      </rPr>
      <t xml:space="preserve"> </t>
    </r>
    <r>
      <rPr>
        <rFont val="Tahoma"/>
        <b/>
        <color rgb="FF1155CC"/>
        <sz val="10.0"/>
      </rPr>
      <t xml:space="preserve">User : แก้ไข  กำหนดจ่ายเงิน &gt; (Current date  3 วัน) แต่เลย deadline แล้ว 
โดย กดเปลี่ยน status : "ตกลงราคา" ---&gt;  "รอจ่าย" </t>
    </r>
    <r>
      <rPr>
        <rFont val="Tahoma"/>
        <color rgb="FF000000"/>
        <sz val="10.0"/>
      </rPr>
      <t xml:space="preserve">
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กำหนดจ่ายเงิน &gt; (Current date  3 วัน)
- กดเปลี่ยนสถานะดีล : "ตกลงราคา" ---&gt;  "รอจ่าย" 
</t>
    </r>
    <r>
      <rPr>
        <rFont val="Tahoma"/>
        <color rgb="FFFF0000"/>
        <sz val="10.0"/>
      </rPr>
      <t>FYI : ใช้ข้อมูลแก้ไขจากข้อม 54</t>
    </r>
  </si>
  <si>
    <r>
      <rPr>
        <rFont val="Tahoma"/>
        <color rgb="FF000000"/>
        <sz val="10.0"/>
      </rPr>
      <t xml:space="preserve">ตรวจสอบเมนู :  ดีล กดปุ่ม "เพิ่มดีล"  
</t>
    </r>
    <r>
      <rPr>
        <rFont val="Tahoma"/>
        <b/>
        <color rgb="FF1155CC"/>
        <sz val="10.0"/>
      </rPr>
      <t xml:space="preserve">กรณี : User มีการสร้างดีลโดยมีเพียง วันลงงาน / เผยแพร่ แต่เลย deadline แล้ว (&lt; Current date)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สถานะดีล : ทาบทาม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 วันลงงาน / เผยแพร่ &lt; (Current date)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</si>
  <si>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 </t>
    </r>
    <r>
      <rPr>
        <rFont val="Tahoma"/>
        <b/>
        <color rgb="FF000000"/>
        <sz val="10.0"/>
      </rPr>
      <t xml:space="preserve"> Field "วันที่นัดส่ง draft / งาน" </t>
    </r>
    <r>
      <rPr>
        <rFont val="Tahoma"/>
        <b/>
        <color rgb="FF1155CC"/>
        <sz val="10.0"/>
      </rPr>
      <t xml:space="preserve"> กรณี กรอกข้อมูล "เดือนไม่ใช่เดือนปุจจุบัน" และกดปุ่ม "เพิ่มดิล</t>
    </r>
    <r>
      <rPr>
        <rFont val="Tahoma"/>
        <color rgb="FF1155CC"/>
        <sz val="10.0"/>
      </rPr>
      <t xml:space="preserve">" 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-Field วันที่นัดส่ง draft / งาน  : เดือนไม่ใช่เดือนปุจจุบัน </t>
    </r>
  </si>
  <si>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-ระบบแสดงรายการ : เงินที่ควรติดตาม · status : ปานกลาง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-ระบบแสดงรายการสถานะ ดีล ที่หน้า ดีลถูกต้อง 
-แสดงรายการ ดีล อยุ่ใน หมวด :  ระบุเดือน  
-โดยแสดง หมายเหตุ : เลยกำหนดส่งงาน , รอส่ง Draft
</t>
    </r>
  </si>
  <si>
    <r>
      <rPr>
        <rFont val="Tahoma"/>
        <b/>
        <color rgb="FF000000"/>
        <sz val="10.0"/>
      </rPr>
      <t xml:space="preserve">หน้าหลัก 
</t>
    </r>
    <r>
      <rPr>
        <rFont val="Tahoma"/>
        <color rgb="FF000000"/>
        <sz val="10.0"/>
      </rPr>
      <t xml:space="preserve">-ระบบแสดงรายการ ดีล อยู่ในหมวดหมู่ "ดีลที่ยังไม่ได้นัดวัน"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-ระบบแสดงรายละเอียดที่หน้า ดีล ถูกต้อง โดยแสดง หมายเหตุ : </t>
    </r>
    <r>
      <rPr>
        <rFont val="Tahoma"/>
        <b/>
        <color rgb="FFFF0000"/>
        <sz val="10.0"/>
      </rPr>
      <t xml:space="preserve">เลยวันลง
</t>
    </r>
    <r>
      <rPr>
        <rFont val="Tahoma"/>
        <b/>
        <color rgb="FFE06666"/>
        <sz val="10.0"/>
      </rPr>
      <t>FYI : ระบบต้องแจ้งเตือนที่หน้าหลัก สถานะ "ด่วนมาก" ?</t>
    </r>
    <r>
      <rPr>
        <rFont val="Tahoma"/>
        <color rgb="FF000000"/>
        <sz val="10.0"/>
      </rPr>
      <t xml:space="preserve">
</t>
    </r>
  </si>
  <si>
    <r>
      <rPr>
        <rFont val="Tahoma"/>
        <color rgb="FF000000"/>
        <sz val="10.0"/>
      </rPr>
      <t>ตรวจสอบเมนู :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3C78D8"/>
        <sz val="10.0"/>
      </rPr>
      <t xml:space="preserve"> </t>
    </r>
    <r>
      <rPr>
        <rFont val="Tahoma"/>
        <b/>
        <color rgb="FF1155CC"/>
        <sz val="10.0"/>
      </rPr>
      <t xml:space="preserve">User : แก้ไข  โดย กดเปลี่ยน status : "รอจ่าย" ---&gt;  "รับเงิน" </t>
    </r>
    <r>
      <rPr>
        <rFont val="Tahoma"/>
        <color rgb="FF000000"/>
        <sz val="10.0"/>
      </rPr>
      <t xml:space="preserve">
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>เงื่อนไข</t>
    </r>
    <r>
      <rPr>
        <rFont val="Tahoma"/>
        <color rgb="FF000000"/>
        <sz val="10.0"/>
      </rPr>
      <t xml:space="preserve">
- กดเปลี่ยนสถานะดีล :  "รอจ่าย" ---&gt;  "รับเงิน" 
- รับเงินเติมจำนวน 
- ไม่หัก 
- กดปุ่ม "บันทึกรับเงิน"
</t>
    </r>
    <r>
      <rPr>
        <rFont val="Tahoma"/>
        <color rgb="FFFF0000"/>
        <sz val="10.0"/>
      </rPr>
      <t>FYI : ใช้ข้อมูลแก้ไขจากข้อม 55</t>
    </r>
  </si>
  <si>
    <t>-ระบบแสดง popup : ออกใบเสร็จ?
บันทึกรับเงินแล้ว — ออกใบเสร็จรับเงิน ฿10000 ให้แบรนด์เลยไหม?
-แสดงปุ่ม : ยกเลิก
-แสดงปุ่ม : ออกใบเสร็จ
-ระบบพาไปหน้า "ใบเสร็จรับเงิน"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</si>
  <si>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กำหนดการ &amp; การจ่ายเงิน  Field "วันลงงาน / เผยแพร่" </t>
    </r>
    <r>
      <rPr>
        <rFont val="Tahoma"/>
        <b/>
        <color rgb="FF1155CC"/>
        <sz val="10.0"/>
      </rPr>
      <t>กรณี  กรอกข้อมูล "วันที่ย้อนหลัง" "เพิ่มดิล</t>
    </r>
    <r>
      <rPr>
        <rFont val="Tahoma"/>
        <color rgb="FF1155CC"/>
        <sz val="10.0"/>
      </rPr>
      <t xml:space="preserve">"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-Field วันลงงาน / เผยแพร่  :"วันที่ย้อนหลัง"</t>
    </r>
  </si>
  <si>
    <r>
      <rPr>
        <rFont val="Tahoma"/>
        <color rgb="FF000000"/>
        <sz val="10.0"/>
      </rPr>
      <t xml:space="preserve">ตรวจสอบเมนู :  ดีล  </t>
    </r>
    <r>
      <rPr>
        <rFont val="Tahoma"/>
        <b/>
        <color rgb="FF000000"/>
        <sz val="10.0"/>
      </rPr>
      <t xml:space="preserve"> Field "วันที่นัดส่งสคริปต์ให้แบรนด์รีวิว"</t>
    </r>
    <r>
      <rPr>
        <rFont val="Tahoma"/>
        <b/>
        <color rgb="FF1155CC"/>
        <sz val="10.0"/>
      </rPr>
      <t xml:space="preserve"> กรณี  User กรอกข้อมูล   "ปีย้อนหลัง = 2568" และกดปุ่ม "เพิ่มดิล</t>
    </r>
    <r>
      <rPr>
        <rFont val="Tahoma"/>
        <color rgb="FF1155CC"/>
        <sz val="10.0"/>
      </rPr>
      <t xml:space="preserve">" 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  <u/>
      </rPr>
      <t xml:space="preserve"> 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-Field วันที่นัดส่งสคริปต์ให้แบรนด์รีวิว :  1 ก.ค. ปี (2568)</t>
    </r>
  </si>
  <si>
    <r>
      <rPr>
        <rFont val="Tahoma"/>
        <b/>
        <color rgb="FF000000"/>
        <sz val="10.0"/>
      </rPr>
      <t xml:space="preserve">หน้าหลัก </t>
    </r>
    <r>
      <rPr>
        <rFont val="Tahoma"/>
        <color rgb="FF000000"/>
        <sz val="10.0"/>
      </rPr>
      <t xml:space="preserve">
-ระบบแสดงรายการ ดีล อยู่ในหมวดหมู่ "ดีลที่ยังไม่ได้นัดวัน"
</t>
    </r>
    <r>
      <rPr>
        <rFont val="Tahoma"/>
        <b/>
        <color rgb="FF000000"/>
        <sz val="10.0"/>
      </rPr>
      <t>หน้าดีล</t>
    </r>
    <r>
      <rPr>
        <rFont val="Tahoma"/>
        <color rgb="FF000000"/>
        <sz val="10.0"/>
      </rPr>
      <t xml:space="preserve">
-ระบบแสดงรายการ ดีล อยู่ในหมวดหมู่ "กรกฎาคม 2568".  แสดงรายละเอียดที่หน้า ดีล ถูกต้อง โดยแสดง หมายเหตุ : เลยวันลง
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</si>
  <si>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กำหนดการ &amp; การจ่ายเงิน  Field "กำหนดจ่ายเงิน"</t>
    </r>
    <r>
      <rPr>
        <rFont val="Tahoma"/>
        <b/>
        <color rgb="FF1155CC"/>
        <sz val="10.0"/>
      </rPr>
      <t xml:space="preserve"> กรณี  กรอกข้อมูล "ปีย้อนหลัง" และกดปุ่ม "เพิ่มดิล</t>
    </r>
    <r>
      <rPr>
        <rFont val="Tahoma"/>
        <color rgb="FF1155CC"/>
        <sz val="10.0"/>
      </rPr>
      <t>"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-Field "กำหนดจ่ายเงิน" : วันที่/เดือน/ ปี ย้อนหลัง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</si>
  <si>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 </t>
    </r>
    <r>
      <rPr>
        <rFont val="Tahoma"/>
        <b/>
        <color rgb="FF000000"/>
        <sz val="10.0"/>
      </rPr>
      <t xml:space="preserve"> Field "วันที่นัดส่ง draft / งาน" </t>
    </r>
    <r>
      <rPr>
        <rFont val="Tahoma"/>
        <b/>
        <color rgb="FF1155CC"/>
        <sz val="10.0"/>
      </rPr>
      <t xml:space="preserve"> กรณี User กรอกข้อมูล "เดือน = มิถุนายน" และกดปุ่ม "เพิ่มดิล</t>
    </r>
    <r>
      <rPr>
        <rFont val="Tahoma"/>
        <color rgb="FF1155CC"/>
        <sz val="10.0"/>
      </rPr>
      <t xml:space="preserve">" 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-Field วันที่นัดส่ง draft / งาน  : "เดือน = มิถุนายน"</t>
    </r>
  </si>
  <si>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>-ระบบแสดงรายการ ดีล เลยนัดส่ง draft/งาน   สถานะ : ด่วนมาก</t>
    </r>
    <r>
      <rPr>
        <rFont val="Tahoma"/>
        <b/>
        <color rgb="FF000000"/>
        <sz val="10.0"/>
      </rPr>
      <t xml:space="preserve">
หน้าดีล
</t>
    </r>
    <r>
      <rPr>
        <rFont val="Tahoma"/>
        <color rgb="FF000000"/>
        <sz val="10.0"/>
      </rPr>
      <t xml:space="preserve">-ระบบสร้างดีลของเดือน "มิถุยนายน" สำเร็จ รายการแสดงที่หน้า "ดีล" 
-ระบบแสดงสถานะ "ทาบทาม"  ถูกต้อง </t>
    </r>
  </si>
  <si>
    <r>
      <rPr>
        <rFont val="Tahoma"/>
        <color rgb="FF000000"/>
        <sz val="10.0"/>
      </rPr>
      <t>ตรวจสอบเมนู : เพิ่มดีล และ 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>กรณี กรอกยอด  Engagement  ทั้งหมด แล้วกด "คำนวณเรต"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ไลก์ : 5,000
- Field คอมเมนต์  : 100
- Field เซฟ : 1,000
- Filed แชร์ : 550
- กดปุ่ม : "คำนวณเรต"  
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</si>
  <si>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กำหนดการ &amp; การจ่ายเงิน  Field "กำหนดจ่ายเงิน"</t>
    </r>
    <r>
      <rPr>
        <rFont val="Tahoma"/>
        <b/>
        <color rgb="FF1155CC"/>
        <sz val="10.0"/>
      </rPr>
      <t xml:space="preserve"> กรณี  กรอกข้อมูล "ปีย้อนหลัง = 2568" และกดปุ่ม "เพิ่มดิล</t>
    </r>
    <r>
      <rPr>
        <rFont val="Tahoma"/>
        <color rgb="FF1155CC"/>
        <sz val="10.0"/>
      </rPr>
      <t>"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00000"/>
        <sz val="10.0"/>
      </rPr>
      <t xml:space="preserve"> 
เงื่อนไข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-Field "กำหนดจ่ายเงิน" : "  5 ก.ค. ปี (2568)</t>
    </r>
  </si>
  <si>
    <t xml:space="preserve">-ระบบคำนวณคิดเรตงานจากยอด  Engagement  ได้ถูกต้อง
-ระบบแสดงยอด ราคาที่แนะนำ 3 ราคามาให้เลือก : Low/Market / Premium
</t>
  </si>
  <si>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-ระบบแสดงรายการ ดีล ข้อมูลยังไม่ครบ 
</t>
    </r>
    <r>
      <rPr>
        <rFont val="Tahoma"/>
        <b/>
        <color rgb="FF000000"/>
        <sz val="10.0"/>
      </rPr>
      <t xml:space="preserve">
หน้าดีล
</t>
    </r>
    <r>
      <rPr>
        <rFont val="Tahoma"/>
        <color rgb="FF000000"/>
        <sz val="10.0"/>
      </rPr>
      <t xml:space="preserve">-ระบบสร้างดีล ฮยู่ในหมวด "ไม่ระบุเดือน" สำเร็จ รายการแสดงที่หน้า "ดีล" 
-ระบบแสดงสถานะ "ทาบทาม"  ถูกต้อง </t>
    </r>
  </si>
  <si>
    <r>
      <rPr>
        <rFont val="Tahoma"/>
        <color rgb="FF000000"/>
        <sz val="10.0"/>
      </rPr>
      <t>ตรวจสอบเมนู : เพิ่มดีล และ 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User กรอกยอด  Engagement  ทั้งหมด แล้วกด "คำนวณเรต" </t>
    </r>
    <r>
      <rPr>
        <rFont val="Tahoma"/>
        <color rgb="FF000000"/>
        <sz val="10.0"/>
      </rPr>
      <t xml:space="preserve">โดยมีรายละเอียด 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ไลก์ : 5,000
- Field คอมเมนต์  : 100
- Field เซฟ : 1,000
- Filed แชร์ : 550
- กดปุ่ม : "คำนวณเรต"  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</si>
  <si>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 </t>
    </r>
    <r>
      <rPr>
        <rFont val="Tahoma"/>
        <b/>
        <color rgb="FF1155CC"/>
        <sz val="10.0"/>
      </rPr>
      <t xml:space="preserve">กรณี แก้ไข  ยอดไลก์  = 20,000 แล้วกด "คำนวณเรต" อีกครั้ง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ไลก์ :  20,000 
- กดปุ่ม : "คำนวณเรต"  
</t>
    </r>
    <r>
      <rPr>
        <rFont val="Tahoma"/>
        <b/>
        <color rgb="FFFF0000"/>
        <sz val="10.0"/>
      </rPr>
      <t xml:space="preserve">FYI : ใช้ข้อมูลจากข้อ 32 </t>
    </r>
  </si>
  <si>
    <t xml:space="preserve">-ระบบคำนวณคิดเรตราคาแนะนำให้ใหม่ได้ถูกต้อง จากยอด  Engagement  ที่แก้ไขไป
-ระบบแสดงยอด ราคาที่แนะนำ 3 ราคามาให้เลือก : Low/Market / Premium
</t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</si>
  <si>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>กรณี ไม่กรอกยอด  Engagement  ทั้งหมด แล้วกด "คำนวณเรต"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All Field : ไม่กรอกข้อมูล
- กดปุ่ม : "คำนวณเรต"  
</t>
    </r>
  </si>
  <si>
    <t>-ระบบแสดง error "กรอกจำนวนผู้ติดตาม หรือยอดวิวเฉลี่ยอย่างน้อยหนึ่งค่า"</t>
  </si>
  <si>
    <t>Low</t>
  </si>
  <si>
    <r>
      <rPr>
        <rFont val="Tahoma"/>
        <color rgb="FF000000"/>
        <sz val="10.0"/>
      </rPr>
      <t xml:space="preserve">ตรวจสอบเมนู :  ดีล กดปุ่ม "ช่วยคิดเรต </t>
    </r>
    <r>
      <rPr>
        <rFont val="Tahoma"/>
        <b/>
        <color rgb="FF1155CC"/>
        <sz val="10.0"/>
      </rPr>
      <t xml:space="preserve"> Field : ผู้ติดตาม / ยอดวิวเฉลี่ย/คลิป กรณี  "ไม่กรอกข้อมูล" คำนวณเรต" อีกครั้ง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: Field : ผู้ติดตาม / ยอดวิวเฉลี่ย/คลิป กรณี : "ไม่กรอกข้อมูล"
- กดปุ่ม : "คำนวณเรต"  
</t>
    </r>
    <r>
      <rPr>
        <rFont val="Tahoma"/>
        <b/>
        <color rgb="FFFF0000"/>
        <sz val="10.0"/>
      </rPr>
      <t>FYI : ใช้ข้อมูลจากข้อ 33</t>
    </r>
  </si>
  <si>
    <t>เตือน Exclusivity ชนกัน</t>
  </si>
  <si>
    <r>
      <rPr>
        <rFont val="Tahoma"/>
        <color rgb="FF000000"/>
        <sz val="10.0"/>
      </rPr>
      <t xml:space="preserve">ตรวจสอบเมนู :  ดีล กดปุ่ม "ช่วยคิดเรต </t>
    </r>
    <r>
      <rPr>
        <rFont val="Tahoma"/>
        <b/>
        <color rgb="FF1155CC"/>
        <sz val="10.0"/>
      </rPr>
      <t xml:space="preserve"> Field : ผู้ติดตาม / ยอดวิวเฉลี่ย/คลิป กรณี  "กรอกข้อมูล"  แต่ไม่กรอก ข้อมูล "Engagement ทั้งหมด" และ กด "คำนวณเรต" อีกครั้ง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: Field : ผู้ติดตาม / ยอดวิวเฉลี่ย/คลิป กรณี : "กรอกข้อมูล"
- All Field  Engagement : ไม่กรอกข้อมูล
- กดปุ่ม : "คำนวณเรต"  
</t>
    </r>
    <r>
      <rPr>
        <rFont val="Tahoma"/>
        <b/>
        <color rgb="FFFF0000"/>
        <sz val="10.0"/>
      </rPr>
      <t>FYI : ใช้ข้อมูลจากข้อ 33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</si>
  <si>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00000"/>
        <sz val="10.0"/>
      </rPr>
      <t xml:space="preserve">ห้ามรับคู่แข่ง (Exclusivity)
</t>
    </r>
    <r>
      <rPr>
        <rFont val="Tahoma"/>
        <b/>
        <color rgb="FF1155CC"/>
        <sz val="10.0"/>
      </rPr>
      <t xml:space="preserve"> Field "ตั้งแต่" กรณี User เลือก  "ปี ย้อนหลัง" แต่ Field "ถึง" เลือก "ปี ปัจจุบัน" และกดปุ่ม "เพิ่มดิล</t>
    </r>
    <r>
      <rPr>
        <rFont val="Tahoma"/>
        <color rgb="FF1155CC"/>
        <sz val="10.0"/>
      </rPr>
      <t xml:space="preserve">" </t>
    </r>
    <r>
      <rPr>
        <rFont val="Tahoma"/>
        <color rgb="FF000000"/>
        <sz val="10.0"/>
      </rPr>
      <t xml:space="preserve">ระบบแสดงหน้าจอถูกต้อง  
 </t>
    </r>
    <r>
      <rPr>
        <rFont val="Tahoma"/>
        <b/>
        <color rgb="FF1155CC"/>
        <sz val="10.0"/>
      </rPr>
      <t xml:space="preserve">
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Field "ตั้งแต่" : เลือก  "ปี ย้อนหลัง"
- Field "ถึง"  : เลือก "ปี ปัจจุบัน" 
- กดปุ่ม :  "เพิ่มดิล" </t>
    </r>
  </si>
  <si>
    <t>-ระบบสร้างดีลสำเร็จรายการแสดงที่หน้า "ดีล"  ถูกต้อง และแสดง หมายเหตุ : exclusivity</t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</si>
  <si>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>กรณี ไม่กรอกยอด  Engagement  ทั้งหมด แล้วกด "คำนวณเรต"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All Field : ไม่กรอกข้อมูล
- กดปุ่ม : "คำนวณเรต"  
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</si>
  <si>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00000"/>
        <sz val="10.0"/>
      </rPr>
      <t xml:space="preserve">ห้ามรับคู่แข่ง (Exclusivity)
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FF0000"/>
        <sz val="10.0"/>
      </rPr>
      <t xml:space="preserve"> ดีลใหม่ชนกับดีลเดิม  และแบรนด์เดียวกัน ช่วงเวลาลงงานชนกับช่วงห้ามรับคู่แข่ง (Exclusivity)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 error 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-สร้างดีลใหม่หมวด "สกินแคร์" 
-วันลงงาน / เผยแพร่  : 20 ก.ค 2569
-ห้ามรับคู่แข่ง (Exclusivity) : ไม่ใส่
</t>
    </r>
  </si>
  <si>
    <t xml:space="preserve">-ระบบสร้างดีลใหม่สำเร็จ
-แสดงรายการดีลถูกต้อง และแสดง หมายเหตุ : exclusivity </t>
  </si>
  <si>
    <t>ค้นหา / กรอง / ดูภาพรวมดีล</t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</si>
  <si>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00000"/>
        <sz val="10.0"/>
      </rPr>
      <t xml:space="preserve">ห้ามรับคู่แข่ง (Exclusivity)
</t>
    </r>
    <r>
      <rPr>
        <rFont val="Tahoma"/>
        <b/>
        <color rgb="FF1155CC"/>
        <sz val="10.0"/>
      </rPr>
      <t xml:space="preserve">กรณี เป็นสินค้าคนละแบรนด์ แต่หมวดสินค้าเดียวกัน แต่ช่วงเวลาลงงานตรงกับช่วงห้ามรับคู่แข่ง (Exclusivity) ดีลเดิม </t>
    </r>
    <r>
      <rPr>
        <rFont val="Tahoma"/>
        <color rgb="FF1155CC"/>
        <sz val="10.0"/>
      </rPr>
      <t>ร</t>
    </r>
    <r>
      <rPr>
        <rFont val="Tahoma"/>
        <color rgb="FF000000"/>
        <sz val="10.0"/>
      </rPr>
      <t>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-ดีลเดิมช่วง หมวดหมู่ แฟชั่น (Exclusivity)  : 15 ก.ค 2569 - 22 ก.ค 2569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-ดีลใหม่   หมวดหมู่  แฟชั่น :  วันลงงาน 20 ก.ค 2569
-ดีลใหม่ไม่กำหนด   (Exclusivity) </t>
    </r>
  </si>
  <si>
    <r>
      <rPr>
        <rFont val="Tahoma"/>
        <color rgb="FF000000"/>
        <sz val="10.0"/>
      </rPr>
      <t xml:space="preserve">-ระบบแสดง popup : </t>
    </r>
    <r>
      <rPr>
        <rFont val="Tahoma"/>
        <b/>
        <color rgb="FF000000"/>
        <sz val="10.0"/>
      </rPr>
      <t>Exclusivity ชนกัน</t>
    </r>
    <r>
      <rPr>
        <rFont val="Tahoma"/>
        <color rgb="FF000000"/>
        <sz val="10.0"/>
      </rPr>
      <t xml:space="preserve">
-ดีลนี้ชนเงื่อนไขห้ามรับคู่แข่งของดีลเดิม:
-XX · หมวดเดียวกัน · ช่วงห้าม 2026-07-XX – 2026-07-XX
-ระบบแสดงปุ่ม : ยกเลิก
-ระบบแสดงปุ่ม : รับต่อ (รับทราบความเสี่ยง)
-ระบบแสดงรายการดีลถูกต้อง และแสดง หมายเหตุ :</t>
    </r>
    <r>
      <rPr>
        <rFont val="Tahoma"/>
        <color rgb="FFCC0000"/>
        <sz val="10.0"/>
      </rPr>
      <t xml:space="preserve"> รับทราบเสี่ยง </t>
    </r>
    <r>
      <rPr>
        <rFont val="Tahoma"/>
        <color rgb="FF000000"/>
        <sz val="10.0"/>
      </rPr>
      <t xml:space="preserve">ดีลใหม่ที่เพิ่งสร้าง 
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</si>
  <si>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 xml:space="preserve">  "ค้นหาด้วยชื่อแบรนด์ " กรณี มีการเพิ่มดีล "Adidas" ก่อนหน้า  </t>
    </r>
    <r>
      <rPr>
        <rFont val="Tahoma"/>
        <color rgb="FF000000"/>
        <sz val="10.0"/>
      </rPr>
      <t xml:space="preserve">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ค้นหาด้วยชื่อแบรนด์ :  Adidas</t>
    </r>
  </si>
  <si>
    <t xml:space="preserve">-ระบบสร้างดีลสำเร็จรายการแสดงที่หน้า "ดีล"  ถูกต้อง </t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</si>
  <si>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093D93"/>
        <sz val="10.0"/>
      </rPr>
      <t xml:space="preserve">กรณี ไม่ได้ระบุหมวดสินค้า สร้างดีลใหม่ ระบุหมวด "แฟชั่น" ช่วงเวลา (Exclusivity) ทับกันบางส่วน (วันสุดท้ายพอดี)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-ดีล หมวด "ไม่ระบุ" exclusivity : 22ก.ค 2569 - 28 ก.ค 2569
-สร้างดีลใหม่ : หมวด "แฟชั่น" 
- ช่วงเวลา exclusivity  : 28 ก.ค 2569 -3 ส.ค 2569</t>
    </r>
  </si>
  <si>
    <t xml:space="preserve">-ไม่สามารถทำรายการได้ ระบบแสดง error ระบุ "เลือกหมวดที่ห้ามชน"  </t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</si>
  <si>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 xml:space="preserve">กรณี  "กรองสถานะดีลหลายตัวกรองพร้อมกัน" </t>
    </r>
    <r>
      <rPr>
        <rFont val="Tahoma"/>
        <color rgb="FF000000"/>
        <sz val="10.0"/>
      </rPr>
      <t>โดยมีรายละเอียดดังนี้</t>
    </r>
    <r>
      <rPr>
        <rFont val="Tahoma"/>
        <b/>
        <color rgb="FF1155CC"/>
        <sz val="10.0"/>
      </rPr>
      <t xml:space="preserve"> </t>
    </r>
    <r>
      <rPr>
        <rFont val="Tahoma"/>
        <color rgb="FF000000"/>
        <sz val="10.0"/>
      </rPr>
      <t xml:space="preserve">แสดงรายการทั้งหมดถูกต้อง 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 drop down ปี : 2568 
- drop down  สถานะ : จ่ายเงินแล้ว
- drop down หมวดหมู่  : อาหาร / แฟชั่น
</t>
    </r>
  </si>
  <si>
    <t xml:space="preserve">-ระบบแสดงรายการ  "ดีล"  ถูกต้อง  รายการที่ตัวเลือกคัดกรอง </t>
  </si>
  <si>
    <r>
      <rPr>
        <rFont val="Tahoma"/>
        <color rgb="FF000000"/>
        <sz val="10.0"/>
      </rPr>
      <t xml:space="preserve">ตรวจสอบเมนู :  </t>
    </r>
    <r>
      <rPr>
        <rFont val="Tahoma"/>
        <b/>
        <color rgb="FF000000"/>
        <sz val="10.0"/>
      </rPr>
      <t xml:space="preserve">ห้ามรับคู่แข่ง (Exclusivity)
</t>
    </r>
    <r>
      <rPr>
        <rFont val="Tahoma"/>
        <b/>
        <color rgb="FF093D93"/>
        <sz val="10.0"/>
      </rPr>
      <t xml:space="preserve">กรณี ดีล exclusivity เดิมถูกยกเลิกไปแล้ว และ สร้างดีลใหม่หมวดเดียวกัน ช่วงทับกัน คนละแบรนด์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-สร้างดีลใหม่หมวดเดียวกัน ช่วงทับกัน คนละแบรนด์ 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</si>
  <si>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>กรณี  กรองจากหมวดหมู "ทุกหมวด"</t>
    </r>
    <r>
      <rPr>
        <rFont val="Tahoma"/>
        <color rgb="FF000000"/>
        <sz val="10.0"/>
      </rPr>
      <t xml:space="preserve"> ระบบแสดงรายการทั้งหมดถูกต้อง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drop down หมวดหมู่  : เลือกทุกหมวหมู่</t>
    </r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</si>
  <si>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093D93"/>
        <sz val="10.0"/>
      </rPr>
      <t xml:space="preserve">กรณี แก้ไขวันลงงานไปชนดีลอื่น หมวดหมู่เดียวกัน "สกินแคร์"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-แบรนด์ A  : แก้วันลงงานของดีล ให้ตรงเวลา exclusivity แบรนด์ B 
-แบรนด์ A ไม่ระบุเวลา exclusivity</t>
    </r>
  </si>
  <si>
    <r>
      <rPr>
        <rFont val="Tahoma"/>
        <color rgb="FF000000"/>
        <sz val="10.0"/>
      </rPr>
      <t xml:space="preserve">-ระบบแสดง popup : </t>
    </r>
    <r>
      <rPr>
        <rFont val="Tahoma"/>
        <b/>
        <color rgb="FF000000"/>
        <sz val="10.0"/>
      </rPr>
      <t>Exclusivity ชนกัน</t>
    </r>
    <r>
      <rPr>
        <rFont val="Tahoma"/>
        <color rgb="FF000000"/>
        <sz val="10.0"/>
      </rPr>
      <t xml:space="preserve">
-ดีลนี้ชนเงื่อนไขห้ามรับคู่แข่งของดีลเดิม:
-XX · หมวดเดียวกัน · ช่วงห้าม 2026-07-XX – 2026-07-XX
-ระบบแสดงปุ่ม : ยกเลิก
-ระบบแสดงปุ่ม : รับต่อ (รับทราบความเสี่ยง)
-ระบบแสดงรายการดีลถูกต้อง และแสดง หมายเหตุ :</t>
    </r>
    <r>
      <rPr>
        <rFont val="Tahoma"/>
        <color rgb="FFCC0000"/>
        <sz val="10.0"/>
      </rPr>
      <t xml:space="preserve"> รับทราบเสี่ยง </t>
    </r>
    <r>
      <rPr>
        <rFont val="Tahoma"/>
        <color rgb="FF000000"/>
        <sz val="10.0"/>
      </rPr>
      <t xml:space="preserve">ดีลใหม่ที่เพิ่งสร้าง 
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</si>
  <si>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 xml:space="preserve">กรณี  กรองจากหมวด "แกดเจ็ต/ไอที" </t>
    </r>
    <r>
      <rPr>
        <rFont val="Tahoma"/>
        <color rgb="FF000000"/>
        <sz val="10.0"/>
      </rPr>
      <t xml:space="preserve"> ระบบแสดงรายการทั้งหมดถูกต้อง
เงื่อนไข
- drop down หมวดหมู่  : แกดเจ็ต/ไอที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</si>
  <si>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 xml:space="preserve">กรณี  "ค้นหาชื่อที่ไม่มีในระบบ" </t>
    </r>
    <r>
      <rPr>
        <rFont val="Tahoma"/>
        <color rgb="FF000000"/>
        <sz val="10.0"/>
      </rPr>
      <t xml:space="preserve"> ระบบแสดงรายการทั้งหมดถูกต้อง
เงื่อนไข
- ช่องค้นหา : รายการดีลที่ไม่มีในระบบ </t>
    </r>
  </si>
  <si>
    <t>-ระบบแสดงข้อความ "ยังไม่มีดีลที่ตรงเงื่อนไข — กด "เพิ่มดีล" เพื่อเริ่ม"</t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</si>
  <si>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 xml:space="preserve">  "ค้นหาด้วยชื่อแบรนด์ " กรณี User มีการเพิ่มดีล "Adidas" ก่อนหน้า  </t>
    </r>
    <r>
      <rPr>
        <rFont val="Tahoma"/>
        <color rgb="FF000000"/>
        <sz val="10.0"/>
      </rPr>
      <t xml:space="preserve">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ค้นหาด้วยชื่อแบรนด์ :  Adidas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</si>
  <si>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FF0000"/>
        <sz val="10.0"/>
      </rPr>
      <t>กรณี  "ค้นหาด้วยอักขระพิเศษ" และกดปุ่ม "ล้าง"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ระบบแสดงรายการทั้งหมดถูกต้อง
เงื่อนไข
- ช่องค้นหา :  *))$((##))@_%%#)#
- กดปุ่ม "ล้าง"</t>
    </r>
  </si>
  <si>
    <t xml:space="preserve">- ระบบแสดงข้อความ "ยังไม่มีดีลที่ตรงเงื่อนไข — กด "เพิ่มดีล" เพื่อเริ่ม"
- เมื่อกดปุ่ม "ล้าง" ระบบแสดงรายการ ดีล ทั้งหมดที่มีอยู่ในระบบถูกต้อง </t>
  </si>
  <si>
    <t xml:space="preserve">Scenario : Case validations สร้างคอนเทนต์ </t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</si>
  <si>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 xml:space="preserve">กรณี  User "กรองสถานะดีลหลายตัวกรองพร้อมกัน" </t>
    </r>
    <r>
      <rPr>
        <rFont val="Tahoma"/>
        <color rgb="FF000000"/>
        <sz val="10.0"/>
      </rPr>
      <t>โดยมีรายละเอียดดังนี้</t>
    </r>
    <r>
      <rPr>
        <rFont val="Tahoma"/>
        <b/>
        <color rgb="FF1155CC"/>
        <sz val="10.0"/>
      </rPr>
      <t xml:space="preserve"> </t>
    </r>
    <r>
      <rPr>
        <rFont val="Tahoma"/>
        <color rgb="FF000000"/>
        <sz val="10.0"/>
      </rPr>
      <t xml:space="preserve">แสดงรายการทั้งหมดถูกต้อง 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 drop down ปี : 2568 
- drop down  สถานะ : จ่ายเงินแล้ว
- drop down หมวดหมู่  : อาหาร / แฟชั่น
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</si>
  <si>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>กรณี  User  กรองจากสถานะ "ทุกสถานะ"</t>
    </r>
    <r>
      <rPr>
        <rFont val="Tahoma"/>
        <color rgb="FF000000"/>
        <sz val="10.0"/>
      </rPr>
      <t xml:space="preserve"> ระบบแสดงรายการทั้งหมดถูกต้อง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drop down สถานะ : เลือกทุกสถานะ</t>
    </r>
  </si>
  <si>
    <r>
      <rPr>
        <rFont val="Tahoma"/>
        <color rgb="FF000000"/>
        <sz val="10.0"/>
      </rPr>
      <t xml:space="preserve">ตรวจสอบเมนู : สร้างคอนเทนต์  </t>
    </r>
    <r>
      <rPr>
        <rFont val="Tahoma"/>
        <b/>
        <color rgb="FF1155CC"/>
        <sz val="10.0"/>
      </rPr>
      <t xml:space="preserve">กรณี "ตรวจสอบหน้าจอและเมนูทั้งหมด"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</t>
    </r>
  </si>
  <si>
    <t>-ระบบแสดงรายการ  "ดีล"  ถูกต้อง  จากทุกสถานะ โดยมีรายการจากสถานะ ดังนี้
-ทาบทาม
-ตกลงราคา
-กำลังทำงาน
-รอจ่าย
-จ่ายแล้ว
-ยกเลิก</t>
  </si>
  <si>
    <t>- ระบบแสดง เมนู : คลังไวรัล , สร้างคลิป , บอร์ดคอนเทนต์ , สไตล์คุณ
- แท็บ "คลังไวรัล" ถูกไฮไลต์ (สีน้ำเงิน) เป็นค่าเริ่มต้น
- ระบบแสดงช่อง "ค้นหา" ถูกต้อง รองรับ ภาษาไทยและ ภาษาอังกฤษ
- ระบบแสดง drop down ให้เลือกดังนี้
  - วิวมากสุด
  - ไลก์มากสุด
  - คอมเมนต์มากสุด
  - เซฟมากสุด 
  - เอนเกจสูงสุด
  - Outlier สูงสุด
  - ใหม่สุด
  - สั้นสุด</t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</si>
  <si>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>กรณี  User กรองจากสถานะ "ทาบทาม"</t>
    </r>
    <r>
      <rPr>
        <rFont val="Tahoma"/>
        <color rgb="FF000000"/>
        <sz val="10.0"/>
      </rPr>
      <t xml:space="preserve"> ระบบแสดงรายการทั้งหมดถูกต้อง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drop down สถานะ : เลือก "ทาบทาม"</t>
    </r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</si>
  <si>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>ช่อง Sarch : คอนเทนต์ ด้วยแคปชัน เช่น "millionaire"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ช่อง Sarch : "millionaire"</t>
    </r>
  </si>
  <si>
    <t>-ระบบแสดงรายการ  "ดีล"  ถูกต้อง  จากทุกสถานะ  "ทาบทาม" และแสดงรายละเอียดรายการถูกต้อง</t>
  </si>
  <si>
    <t>- ระบบแสดงคลิปคอนเทนต์ที่มีคำนั้นในแคปชันเท่านั้น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</si>
  <si>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1155CC"/>
        <sz val="10.0"/>
      </rPr>
      <t>กรณี  กรอกข้อมูล Field "ถึง" เป็น วันที่/เดือน / ปี ย้อนหลัง และกดปุ่ม "เพิ่มดิล</t>
    </r>
    <r>
      <rPr>
        <rFont val="Tahoma"/>
        <color rgb="FF1155CC"/>
        <sz val="10.0"/>
      </rPr>
      <t xml:space="preserve">" </t>
    </r>
    <r>
      <rPr>
        <rFont val="Tahoma"/>
        <color rgb="FF000000"/>
        <sz val="10.0"/>
      </rPr>
      <t xml:space="preserve">ระบบแสดงหน้าจอถูกต้อง  
 </t>
    </r>
    <r>
      <rPr>
        <rFont val="Tahoma"/>
        <b/>
        <color rgb="FF1155CC"/>
        <sz val="10.0"/>
      </rPr>
      <t xml:space="preserve">
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Field "ถึง" :  วันที่/เดือน /ปี ย้อนหลัง </t>
    </r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</si>
  <si>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>ช่อง Sarch : ค้นหาด้วยชื่อช่อง  "@brittanyybowen"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ช่อง Sarch : @brittanyybowen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</si>
  <si>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>กรณี  User กรองจากสถานะ "ตกลงราคา"</t>
    </r>
    <r>
      <rPr>
        <rFont val="Tahoma"/>
        <color rgb="FF000000"/>
        <sz val="10.0"/>
      </rPr>
      <t xml:space="preserve"> ระบบแสดงรายการทั้งหมดถูกต้อง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drop down สถานะ : เลือก "ตกลงราคา"</t>
    </r>
  </si>
  <si>
    <t>- ระบบแสดงคลิปคอนเทนต์ของครีเอเตอร์นั้นเท่านั้น</t>
  </si>
  <si>
    <t>-ระบบแสดงรายการ  "ดีล"  ถูกต้อง  จากทุกสถานะ  "ตกลงราคา" และแสดงรายละเอียดรายการถูกต้อง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</si>
  <si>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FF0000"/>
        <sz val="10.0"/>
      </rPr>
      <t xml:space="preserve"> ดีลใหม่ชนกับดีลเดิม สกินแคร์ "ช่วง 1–30 มิ.ย. แบรนด์ A"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 error 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-สร้างดีลใหม่หมวด "สกินแคร์" 
-วันลงงาน 15 มิ.ย. 
</t>
    </r>
  </si>
  <si>
    <t>-ระบบเตือนทันทีตอนบันทึก ระบุดีลที่ชน หมวด และช่วงเวลาที่ทับกัน</t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</si>
  <si>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>ช่อง Sarch : คอนเทนต์ "ภาษาไทย " ด้วยหมวดหมู่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ช่อง Sarch : ความสวยความงาม</t>
    </r>
  </si>
  <si>
    <t>- ระบบแสดงคลิปคอนเทนต์จากหมวดหมู่ที่ค้นหาเท่านั้น</t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</si>
  <si>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>กรณี  User กรองจากสถานะ "กำลังทำงาน"</t>
    </r>
    <r>
      <rPr>
        <rFont val="Tahoma"/>
        <color rgb="FF000000"/>
        <sz val="10.0"/>
      </rPr>
      <t xml:space="preserve"> ระบบแสดงรายการทั้งหมดถูกต้อง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drop down สถานะ : เลือก "กำลังทำงาน"</t>
    </r>
  </si>
  <si>
    <t>-ระบบแสดงรายการ  "ดีล"  ถูกต้อง  จากทุกสถานะ  "กำลังทำงาน" และแสดงรายละเอียดรายการถูกต้อง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</si>
  <si>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1155CC"/>
        <sz val="10.0"/>
      </rPr>
      <t xml:space="preserve">กรณี เป็นสินค้าคนละหมวดสินค้าแต่ช่วงเวลาทับกัน   </t>
    </r>
    <r>
      <rPr>
        <rFont val="Tahoma"/>
        <color rgb="FF1155CC"/>
        <sz val="10.0"/>
      </rPr>
      <t>ร</t>
    </r>
    <r>
      <rPr>
        <rFont val="Tahoma"/>
        <color rgb="FF000000"/>
        <sz val="10.0"/>
      </rPr>
      <t>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-ดีลเดิมช่วง 1–15 มิ.ย.</t>
    </r>
    <r>
      <rPr>
        <rFont val="Tahoma"/>
        <b/>
        <color rgb="FF093D93"/>
        <sz val="10.0"/>
        <u/>
      </rPr>
      <t xml:space="preserve">
</t>
    </r>
    <r>
      <rPr>
        <rFont val="Tahoma"/>
        <color rgb="FF000000"/>
        <sz val="10.0"/>
      </rPr>
      <t>-ดีลใหม่หมวดเดียวกัน คนละแบรนด์ วันลงงาน 15 มิ.ย.</t>
    </r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</si>
  <si>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>ช่อง Sarch : คอนเทนต์ "ผลลัพธ์พิมพ์คำที่ไม่มีในระบบ" ด้วยหมวดหมู่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ช่อง Sarch : สกินแคร์</t>
    </r>
  </si>
  <si>
    <t xml:space="preserve">-ระบบแสดงข้อความ "ไม่พบคลิปที่ตรงกับ XXX" </t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</si>
  <si>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>กรณี  User กรองจากสถานะ "จ่ายแล้ว"</t>
    </r>
    <r>
      <rPr>
        <rFont val="Tahoma"/>
        <color rgb="FF000000"/>
        <sz val="10.0"/>
      </rPr>
      <t xml:space="preserve"> ระบบแสดงรายการทั้งหมดถูกต้อง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drop down สถานะ : เลือก "จ่ายแล้ว"</t>
    </r>
  </si>
  <si>
    <t>-ระบบแสดงรายการ  "ดีล"  ถูกต้อง  จากทุกสถานะ  "จ่ายแล้ว" และแสดงรายละเอียดรายการถูกต้อง</t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</si>
  <si>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 xml:space="preserve">กรณี drop down "แชร์มากสุด" + Sarch 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สร้างคอนเทนต์
- ช่อง Sarch : การเงิน + drop down "แชร์มากสุด"
 </t>
    </r>
  </si>
  <si>
    <t>-ระบบแสดงผลลัพธ์ถูกกรองและเรียงลำดับถูกต้องพร้อมกันทั้งสองเงื่อนไข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</si>
  <si>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093D93"/>
        <sz val="10.0"/>
      </rPr>
      <t xml:space="preserve">กรณี ดีลใหม่แบรนด์เดียวกับดีลเดิม  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-ดีล exclusivity  : หมวด "สกินแคร์" แบรนด์ A
-สร้างดีลใหม่หมวด "สกินแคร์" แบรนด์ A เดิม ช่วงทับกัน
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</si>
  <si>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>กรณี  User กรองจากสถานะ "รอจ่าย , ตกลงราคา"</t>
    </r>
    <r>
      <rPr>
        <rFont val="Tahoma"/>
        <color rgb="FF000000"/>
        <sz val="10.0"/>
      </rPr>
      <t xml:space="preserve"> ระบบแสดงรายการทั้งหมดถูกต้อง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drop down สถานะ : เลือก "รอจ่าย , ตกลงราคา"</t>
    </r>
  </si>
  <si>
    <t>-ระบบแสดงรายการ  "ดีล"  ถูกต้อง  จากทุกสถานะ  "รอจ่าย , ตกลงราคา" และแสดงรายละเอียดรายการถูกต้อง</t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</si>
  <si>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>กรณี คลิกปุ่ม "ที่บันทึกไว้ 0" (ยังไม่มีการบันทึก)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กดปุ่ม "ที่บันทึกไว้"</t>
    </r>
  </si>
  <si>
    <t>-ระบบแสดง empty state เนื่องจากยังไม่มีคลิปที่บันทึก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</si>
  <si>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093D93"/>
        <sz val="10.0"/>
      </rPr>
      <t xml:space="preserve">กรณี ไม่ได้ระบุหมวดสินค้า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-มีดีล exclusivity หมวด "สกินแคร์"
-สร้างดีลใหม่หมวด "มือถือ" ช่วงเวลาทับกัน</t>
    </r>
  </si>
  <si>
    <t>-ระบบไม่เตือน บันทึกปกติ</t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</si>
  <si>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>กรณี  User กรองจากสถานะ "ยกเลิก"</t>
    </r>
    <r>
      <rPr>
        <rFont val="Tahoma"/>
        <color rgb="FF000000"/>
        <sz val="10.0"/>
      </rPr>
      <t xml:space="preserve"> ระบบแสดงรายการทั้งหมดถูกต้อง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drop down สถานะ : เลือก "ยกเลิก"</t>
    </r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</si>
  <si>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>กรณี คลิกปุ่ม "บันทึกคลิปแล้วเช็คจำนวน"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-กดปุ่ม "กดไอคอนหัวใจที่การ์ดคลิป"
- กดปุ่ม "ที่บันทึกไว้"</t>
    </r>
  </si>
  <si>
    <t>-ตัวเลขเพิ่มขึ้น 1 และคลิปที่กดปรากฏในแท็บนี้</t>
  </si>
  <si>
    <t>-ระบบแสดงรายการ  "ดีล"  ถูกต้อง  จากทุกสถานะ  "ยกเลิก" และแสดงรายละเอียดรายการถูกต้อง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</si>
  <si>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093D93"/>
        <sz val="10.0"/>
      </rPr>
      <t xml:space="preserve">กรณี ช่วงเวลาทับกันบางส่วน (วันสุดท้ายพอดี)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</si>
  <si>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>กรณี คลิกปุ่ม "ยกเลิกบันทึก (unfavorite)"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สร้างคอนเทนต์
-กดปุ่ม "กดหัวใจซ้ำที่คลิปที่บันทึกไว้แล้ว"
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</si>
  <si>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>กรณี  User  กรองจากหมวดหมู "ทุกหมวด"</t>
    </r>
    <r>
      <rPr>
        <rFont val="Tahoma"/>
        <color rgb="FF000000"/>
        <sz val="10.0"/>
      </rPr>
      <t xml:space="preserve"> ระบบแสดงรายการทั้งหมดถูกต้อง 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drop down หมวดหมู่  : เลือกทุกหมวหมู่</t>
    </r>
  </si>
  <si>
    <t xml:space="preserve">-ระบบแสดงรายการ  "ดีล"  ถูกต้อง โดยดึงข้อมูล ดีล ทุกหมวดหมู่มากแสดงถูกต้อง </t>
  </si>
  <si>
    <t>-คลิปหายไปจากแท็บ "ที่บันทึกไว้" และตัวเลขลดลง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</si>
  <si>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093D93"/>
        <sz val="10.0"/>
      </rPr>
      <t xml:space="preserve">กรณี ดีล exclusivity เดิมถูกยกเลิกไปแล้ว และ สร้างดีลใหม่หมวดเดียวกัน ช่วงทับกัน คนละแบรนด์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-สร้างดีลใหม่หมวดเดียวกัน ช่วงทับกัน คนละแบรนด์ </t>
    </r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</si>
  <si>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>กรณี "กดที่พื้นที่ว่างในคลิป"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กด : พื้นที่ว่างในคลิป</t>
    </r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</si>
  <si>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 xml:space="preserve">กรณี  User  กรองจากหมวด "แกดเจ็ต/ไอที , เครื่องสำอาง" </t>
    </r>
    <r>
      <rPr>
        <rFont val="Tahoma"/>
        <color rgb="FF000000"/>
        <sz val="10.0"/>
      </rPr>
      <t xml:space="preserve"> ระบบแสดงรายการทั้งหมดถูกต้อง
เงื่อนไข
- drop down หมวดหมู่  : "แกดเจ็ต/ไอที , เครื่องสำอาง" </t>
    </r>
  </si>
  <si>
    <t>- ระบบแสดงคลิปคอนเทนต์ popup ขึ้นมา แสดงชื่อ account , ปุ่ม "ปิด",ปุ่ม "นำไปสร้าง"ปุ่ม : "ดูคลิปต้นทาง"</t>
  </si>
  <si>
    <t xml:space="preserve">-ระบบแสดงรายการ  "ดีล"  ถูกต้อง โดยดึงข้อมูล ดีล จากหมวดหมู่ "แกดเจ็ต/ไอที , เครื่องสำอาง"  มาแสดงถูกต้อง </t>
  </si>
  <si>
    <r>
      <rPr>
        <rFont val="Tahoma"/>
        <color rgb="FF000000"/>
        <sz val="10.0"/>
      </rPr>
      <t>ตรวจสอบเมนู :  ดีล กดปุ่ม "เพิ่มดีล"</t>
    </r>
    <r>
      <rPr>
        <rFont val="Tahoma"/>
        <b/>
        <color rgb="FF000000"/>
        <sz val="10.0"/>
      </rPr>
      <t xml:space="preserve"> ห้ามรับคู่แข่ง (Exclusivity)
</t>
    </r>
    <r>
      <rPr>
        <rFont val="Tahoma"/>
        <b/>
        <color rgb="FF093D93"/>
        <sz val="10.0"/>
      </rPr>
      <t xml:space="preserve">กรณี แก้ไขวันลงงาน/หมวดจนไปชนดีลอื่น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-แก้วันลงงานของดีลหนึ่งให้ตรงช่วง exclusivity อีกดีล</t>
    </r>
  </si>
  <si>
    <r>
      <rPr>
        <rFont val="Tahoma"/>
        <color rgb="FF000000"/>
        <sz val="10.0"/>
      </rPr>
      <t xml:space="preserve">ตรวจสอบเมนู : สร้างคอนเทนต์ </t>
    </r>
    <r>
      <rPr>
        <rFont val="Tahoma"/>
        <b/>
        <color rgb="FF1155CC"/>
        <sz val="10.0"/>
      </rPr>
      <t>ช่อง Sarch : คอนเทนต์ "อักขระพิเศษ"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ช่อง Sarch : คอนเทนต์ "อักขระพิเศษ"</t>
    </r>
  </si>
  <si>
    <t>- ระบบแสดงล๊อคไม่ให้ทำการกรอกข้อมูลค้นหาใน Field sarch ได้</t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</si>
  <si>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1155CC"/>
        <sz val="10.0"/>
      </rPr>
      <t xml:space="preserve">กรณี  User  "ค้นหาชื่อที่ไม่มีในระบบ" </t>
    </r>
    <r>
      <rPr>
        <rFont val="Tahoma"/>
        <color rgb="FF000000"/>
        <sz val="10.0"/>
      </rPr>
      <t xml:space="preserve"> ระบบแสดงรายการทั้งหมดถูกต้อง
เงื่อนไข
- ช่องค้นหา : รายการดีลที่ไม่มีในระบบ </t>
    </r>
  </si>
  <si>
    <r>
      <rPr>
        <rFont val="Tahoma"/>
        <color rgb="FF000000"/>
        <sz val="10.0"/>
      </rPr>
      <t xml:space="preserve">ตรวจสอบเมนู : สร้างคอนเทนต์ ค้นหาคอนเทนต์ คลิก drop down </t>
    </r>
    <r>
      <rPr>
        <rFont val="Tahoma"/>
        <b/>
        <color rgb="FF1155CC"/>
        <sz val="10.0"/>
      </rPr>
      <t xml:space="preserve"> "ไลก์มากที่สุด"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สร้างคอนเทนต์
- กดปุ่ม drop down  :  "ไลก์มากที่สุด" 
</t>
    </r>
  </si>
  <si>
    <t>- ระบบแสดงคลิปคอนเทนต์จากหมวดหมู่  "ไลก์มากที่สุด"</t>
  </si>
  <si>
    <t>แก้ไขรายละเอียดดีล</t>
  </si>
  <si>
    <r>
      <rPr>
        <rFont val="Tahoma"/>
        <color rgb="FF000000"/>
        <sz val="10.0"/>
      </rPr>
      <t xml:space="preserve">ตรวจสอบเมนู :  ดีล </t>
    </r>
    <r>
      <rPr>
        <rFont val="Tahoma"/>
        <b/>
        <color rgb="FFFF0000"/>
        <sz val="10.0"/>
      </rPr>
      <t>กรณี  User  "ค้นหาด้วยอักขระพิเศษ" และกดปุ่ม "ล้าง"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ระบบแสดงรายการทั้งหมดถูกต้อง
เงื่อนไข
- ช่องค้นหา :  *))$((##))@_%%#)#
- กดปุ่ม "ล้าง"</t>
    </r>
  </si>
  <si>
    <r>
      <rPr>
        <rFont val="Tahoma"/>
        <color rgb="FF000000"/>
        <sz val="10.0"/>
      </rPr>
      <t xml:space="preserve">ตรวจสอบเมนู : สร้างคอนเทนต์  </t>
    </r>
    <r>
      <rPr>
        <rFont val="Tahoma"/>
        <b/>
        <color rgb="FF1155CC"/>
        <sz val="10.0"/>
      </rPr>
      <t xml:space="preserve"> "เลือก Tab คลังไวรัล" กรณี กดปุ่ม "นำคลิปไปใช้"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กดปุ่ม : เลือก Tab คลังไวรัล
- กดปุ่ม: นำคลิปไปใช้</t>
    </r>
  </si>
  <si>
    <t>Scenario : Case validations : เมนู "แก้ไขดีล"</t>
  </si>
  <si>
    <r>
      <rPr>
        <rFont val="Tahoma"/>
        <color rgb="FF000000"/>
        <sz val="10.0"/>
      </rPr>
      <t xml:space="preserve">ตรวจสอบเมนู :  ดีล เพิ่มดิลใหม่ แต่กรอกข้อมูลไม่ครบ </t>
    </r>
    <r>
      <rPr>
        <rFont val="Tahoma"/>
        <b/>
        <color rgb="FF1155CC"/>
        <sz val="10.0"/>
      </rPr>
      <t xml:space="preserve">กรณี  กดปุ่ม "แก้ไข" ข้อมูลเพิ่มเติม </t>
    </r>
    <r>
      <rPr>
        <rFont val="Tahoma"/>
        <b/>
        <color rgb="FF093D93"/>
        <sz val="10.0"/>
      </rPr>
      <t xml:space="preserve"> </t>
    </r>
    <r>
      <rPr>
        <rFont val="Tahoma"/>
        <color rgb="FF000000"/>
        <sz val="10.0"/>
      </rPr>
      <t>ระบบแสดงหน้าจอและเมนูถูกต้อง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icon : แก้ไข 
- กรอกข้อมูล ดีล ครบ
- กดปุ่ม:  บันทึกการแก้ไข</t>
    </r>
  </si>
  <si>
    <t xml:space="preserve">-ระบบแสดงข้อมูลดีลล่าสุดจากที่แก้ไขข้อมูลถูกต้อง </t>
  </si>
  <si>
    <r>
      <rPr>
        <rFont val="Tahoma"/>
        <color rgb="FF000000"/>
        <sz val="10.0"/>
      </rPr>
      <t xml:space="preserve">ตรวจสอบเมนู : สร้างคอนเทนต์  </t>
    </r>
    <r>
      <rPr>
        <rFont val="Tahoma"/>
        <b/>
        <color rgb="FF1155CC"/>
        <sz val="10.0"/>
      </rPr>
      <t>กรณี "เลือก Tab สร้างคลิป"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กดปุ่ม : เลือก Tab สร้างคลิป</t>
    </r>
  </si>
  <si>
    <r>
      <rPr>
        <rFont val="Tahoma"/>
        <color rgb="FF000000"/>
        <sz val="10.0"/>
      </rPr>
      <t>ตรวจสอบเมนู :  ดีล กดปุ่ม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เปลี่ยนสถานะดีลข้ามขั้น  "ทาบทาม" ---&gt;  "ตกลงราคา"    </t>
    </r>
    <r>
      <rPr>
        <rFont val="Tahoma"/>
        <color rgb="FF000000"/>
        <sz val="10.0"/>
      </rPr>
      <t>ระบบแสดงสถานะดีล ถูกต้อง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icon : แก้ไข 
- กดเปลี่ยนสถานะดีล : "ทาบทาม" ---&gt;  "ตกลงราคา" 
- popup : ยืนยัน</t>
    </r>
  </si>
  <si>
    <r>
      <rPr>
        <rFont val="Tahoma"/>
        <color rgb="FF000000"/>
        <sz val="10.0"/>
      </rPr>
      <t>ตรวจสอบเมนู :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3C78D8"/>
        <sz val="10.0"/>
      </rPr>
      <t xml:space="preserve"> </t>
    </r>
    <r>
      <rPr>
        <rFont val="Tahoma"/>
        <b/>
        <color rgb="FF1155CC"/>
        <sz val="10.0"/>
      </rPr>
      <t xml:space="preserve">User : แก้ไข ดีลโดยมีเพียง วันที่นัดส่ง draft / งาน และเกือบจะถึง deadline แล้ว (&lt;= 3 วัน)
โดย กดเปลี่ยน status : "ทาบทาม" ---&gt;  "ตกลงราคา" </t>
    </r>
    <r>
      <rPr>
        <rFont val="Tahoma"/>
        <color rgb="FF000000"/>
        <sz val="10.0"/>
      </rPr>
      <t xml:space="preserve">
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icon : แก้ไข 
- กดเปลี่ยนสถานะดีล : "ทาบทาม" ---&gt;  "ตกลงราคา" 
</t>
    </r>
  </si>
  <si>
    <r>
      <rPr>
        <rFont val="Tahoma"/>
        <color rgb="FF000000"/>
        <sz val="10.0"/>
      </rPr>
      <t xml:space="preserve">-ระบบแสดง popup : </t>
    </r>
    <r>
      <rPr>
        <rFont val="Tahoma"/>
        <b/>
        <color rgb="FF000000"/>
        <sz val="10.0"/>
      </rPr>
      <t>ข้ามสถานะ</t>
    </r>
    <r>
      <rPr>
        <rFont val="Tahoma"/>
        <color rgb="FF000000"/>
        <sz val="10.0"/>
      </rPr>
      <t xml:space="preserve">
"การข้ามสถานะนี้ผิดปกติ ยืนยันหรือไม่?"
-ปุ่ม : ยกเลิก
-ปุ่ม : ยืนยัน
-หลังกดปุ่ม ยืนยัน  ระบบแสดงรายการสถานะ ดีล ที่หน้า ดีลถูกต้อง 
</t>
    </r>
  </si>
  <si>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-ระบบแสดงรายการ : สิ่งที่ควรจัดการ  ใกล้นัดส่ง สคริปต์ ·  status : ด่วน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>-ระบบแสดงรายการสถานะ ดีล ที่หน้า ดีลถูกต้อง 
-แสดงรายการ ดีล อยุ่ใน หมวด : ยังไม่ระบุเดือน :</t>
    </r>
    <r>
      <rPr>
        <rFont val="Tahoma"/>
        <b/>
        <color rgb="FF000000"/>
        <sz val="10.0"/>
      </rPr>
      <t xml:space="preserve"> </t>
    </r>
    <r>
      <rPr>
        <rFont val="Tahoma"/>
        <b/>
        <color rgb="FFF1C232"/>
        <sz val="10.0"/>
      </rPr>
      <t>ระบุ “วันที่นัดส่งงาน” ในดีลเพื่อจัดเข้าเดือน</t>
    </r>
    <r>
      <rPr>
        <rFont val="Tahoma"/>
        <color rgb="FF000000"/>
        <sz val="10.0"/>
      </rPr>
      <t xml:space="preserve">
</t>
    </r>
  </si>
  <si>
    <r>
      <rPr>
        <rFont val="Tahoma"/>
        <color rgb="FF000000"/>
        <sz val="10.0"/>
      </rPr>
      <t xml:space="preserve">ตรวจสอบเมนู : สร้างคอนเทนต์  </t>
    </r>
    <r>
      <rPr>
        <rFont val="Tahoma"/>
        <b/>
        <color rgb="FF1155CC"/>
        <sz val="10.0"/>
      </rPr>
      <t xml:space="preserve">กรณี "เลือก Tab บอร์คอนเทนต์" </t>
    </r>
    <r>
      <rPr>
        <rFont val="Tahoma"/>
        <color rgb="FF000000"/>
        <sz val="10.0"/>
      </rPr>
      <t xml:space="preserve"> ระบบแสดงหน้าจอถูกต้อง
เงื่อนไข
- กดปุ่ม : สร้างคอนเทนต์
- กดปุ่ม : เลือก Tab บอร์คอนเทนต์</t>
    </r>
  </si>
  <si>
    <r>
      <rPr>
        <rFont val="Tahoma"/>
        <color rgb="FF000000"/>
        <sz val="10.0"/>
      </rPr>
      <t>ตรวจสอบเมนู :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3C78D8"/>
        <sz val="10.0"/>
      </rPr>
      <t xml:space="preserve"> </t>
    </r>
    <r>
      <rPr>
        <rFont val="Tahoma"/>
        <b/>
        <color rgb="FF1155CC"/>
        <sz val="10.0"/>
      </rPr>
      <t xml:space="preserve">User : แก้ไข   วันที่นัดส่ง draft / งาน &gt; (Current date + 3 วัน)
โดย กดเปลี่ยน status :  "ตกลงราคา" ---&gt;  "อยู่ในระหว่างทำงาน" </t>
    </r>
    <r>
      <rPr>
        <rFont val="Tahoma"/>
        <color rgb="FF000000"/>
        <sz val="10.0"/>
      </rPr>
      <t xml:space="preserve">
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วันที่นัดส่ง draft / งาน &gt; :  Current date + 3 วัน
- กดเปลี่ยนสถานะดีล : "ตกลงราคา" ---&gt;  "อยู่ในระหว่างทำงาน" 
</t>
    </r>
    <r>
      <rPr>
        <rFont val="Tahoma"/>
        <color rgb="FFFF0000"/>
        <sz val="10.0"/>
      </rPr>
      <t>FYI : ใช้ข้อมูลแก้ไขจากข้อม 52</t>
    </r>
  </si>
  <si>
    <r>
      <rPr>
        <rFont val="Tahoma"/>
        <color rgb="FF000000"/>
        <sz val="10.0"/>
      </rPr>
      <t xml:space="preserve">ตรวจสอบเมนู : สร้างคอนเทนต์  </t>
    </r>
    <r>
      <rPr>
        <rFont val="Tahoma"/>
        <b/>
        <color rgb="FF1155CC"/>
        <sz val="10.0"/>
      </rPr>
      <t xml:space="preserve">กรณี "เลือก Tab สไตล์คุณ" </t>
    </r>
    <r>
      <rPr>
        <rFont val="Tahoma"/>
        <color rgb="FF000000"/>
        <sz val="10.0"/>
      </rPr>
      <t xml:space="preserve"> ระบบแสดงหน้าจอถูกต้อง
เงื่อนไข
- กดปุ่ม : สร้างคอนเทนต์
- กดปุ่ม : เลือก Tab สไตล์คุณ</t>
    </r>
  </si>
  <si>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-ระบบแสดงรายการ : สิ่งที่ควรจัดการ  ใกล้นัดส่ง สคริปต์ ·  status : ด่วน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-ระบบแสดงรายการสถานะ ดีล ที่หน้า ดีลถูกต้อง 
-แสดงรายการ ดีล อยุ่ใน หมวด :  ระบุเดือน  
-โดยแสดง หมายเหตุ : รอส่ง Draft
</t>
    </r>
  </si>
  <si>
    <r>
      <rPr>
        <rFont val="Tahoma"/>
        <color rgb="FF000000"/>
        <sz val="10.0"/>
      </rPr>
      <t>ตรวจสอบเมนู :  ดีล กดปุ่ม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FF0000"/>
        <sz val="10.0"/>
      </rPr>
      <t xml:space="preserve">กรณี  กด "ยกเลิก"จาก popup ข้ามสถานะ ดีล </t>
    </r>
    <r>
      <rPr>
        <rFont val="Tahoma"/>
        <b/>
        <color rgb="FF093D93"/>
        <sz val="10.0"/>
      </rPr>
      <t xml:space="preserve"> </t>
    </r>
    <r>
      <rPr>
        <rFont val="Tahoma"/>
        <color rgb="FF000000"/>
        <sz val="10.0"/>
      </rPr>
      <t xml:space="preserve">ระบบ popup สอบถาม ถูกต้อง 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icon : แก้ไข 
- กดเปลี่ยนสถานะดีล : "ทาบทาม" ---&gt;  "ตกลงราคา" 
- popup : ยกเลิก</t>
    </r>
  </si>
  <si>
    <r>
      <rPr>
        <rFont val="Tahoma"/>
        <color rgb="FF000000"/>
        <sz val="10.0"/>
      </rPr>
      <t xml:space="preserve">-ระบบแสดง popup : </t>
    </r>
    <r>
      <rPr>
        <rFont val="Tahoma"/>
        <b/>
        <color rgb="FF000000"/>
        <sz val="10.0"/>
      </rPr>
      <t>ข้ามสถานะ</t>
    </r>
    <r>
      <rPr>
        <rFont val="Tahoma"/>
        <color rgb="FF000000"/>
        <sz val="10.0"/>
      </rPr>
      <t xml:space="preserve">
"การข้ามสถานะนี้ผิดปกติ ยืนยันหรือไม่?"
-ปุ่ม : ยกเลิก
-ปุ่ม : ยืนยัน
-หลังกดปุ่ม ยกเลิก  ระบบแสดงรายการสถานะ ดีล ที่หน้า ดีลถูกต้อง 
</t>
    </r>
  </si>
  <si>
    <r>
      <rPr>
        <rFont val="Tahoma"/>
        <color rgb="FF000000"/>
        <sz val="10.0"/>
      </rPr>
      <t>ตรวจสอบเมนู :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3C78D8"/>
        <sz val="10.0"/>
      </rPr>
      <t xml:space="preserve"> </t>
    </r>
    <r>
      <rPr>
        <rFont val="Tahoma"/>
        <b/>
        <color rgb="FF1155CC"/>
        <sz val="10.0"/>
      </rPr>
      <t xml:space="preserve">User : แก้ไข  วันที่นัดส่ง draft / งาน &lt; (Current date  3 วัน) แต่เลย deadline แล้ว 
โดย กดเปลี่ยน status : "ทาบทาม" ---&gt;  "ตกลงราคา" </t>
    </r>
    <r>
      <rPr>
        <rFont val="Tahoma"/>
        <color rgb="FF000000"/>
        <sz val="10.0"/>
      </rPr>
      <t xml:space="preserve">
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 วันที่นัดส่ง draft / งาน  : &lt; (Current date  3 วัน)  เลย deadline แล้ว 
- กดเปลี่ยนสถานะดีล : "ตกลงราคา" ---&gt;  "อยู่ในระหว่างทำงาน" 
</t>
    </r>
    <r>
      <rPr>
        <rFont val="Tahoma"/>
        <color rgb="FFFF0000"/>
        <sz val="10.0"/>
      </rPr>
      <t>FYI : ใช้ข้อมูลแก้ไขจากข้อม 53</t>
    </r>
  </si>
  <si>
    <r>
      <rPr>
        <rFont val="Tahoma"/>
        <color rgb="FF000000"/>
        <sz val="10.0"/>
      </rPr>
      <t xml:space="preserve">ตรวจสอบเมนู : สร้างคอนเทนต์  โดยกดมาจาก เมนู "นำไปสร้าง" </t>
    </r>
    <r>
      <rPr>
        <rFont val="Tahoma"/>
        <b/>
        <color rgb="FFFF0000"/>
        <sz val="10.0"/>
      </rPr>
      <t xml:space="preserve">กรณี Field : หัวข้อคลิป "กรอกข้อมูลอักขระพิเศษ" 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ระบบล๊อค Field ไม่สามารถกรอกได้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 : นำไปสร้าง 
-Field : หัวข้อคลิป "กรอกข้อมูลอักขระพิเศษ"</t>
    </r>
  </si>
  <si>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-ระบบแสดงรายการ : สิ่งที่ควรจัดการ  ใกล้นัดส่ง สคริปต์ ·  status : ด่วนมาก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-ระบบแสดงรายการสถานะ ดีล ที่หน้า ดีลถูกต้อง 
-แสดงรายการ ดีล อยุ่ใน หมวด :  ระบุเดือน  
-โดยแสดง หมายเหตุ : เลยกำหนดส่งงาน , รอส่ง Draft
</t>
    </r>
  </si>
  <si>
    <r>
      <rPr>
        <rFont val="Tahoma"/>
        <color rgb="FF000000"/>
        <sz val="10.0"/>
      </rPr>
      <t xml:space="preserve">ตรวจสอบเมนู :  ดีล กดปุ่ม "แก้ไข" </t>
    </r>
    <r>
      <rPr>
        <rFont val="Tahoma"/>
        <b/>
        <color rgb="FF1155CC"/>
        <sz val="10.0"/>
      </rPr>
      <t>กรณี ปรับสถานะดีล  "ตกลงราคา" ---&gt;  "ยกเลิก"</t>
    </r>
    <r>
      <rPr>
        <rFont val="Tahoma"/>
        <color rgb="FF000000"/>
        <sz val="10.0"/>
      </rPr>
      <t xml:space="preserve"> ระบบ popup สอบถาม ถูกต้อง 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icon : แก้ไข 
- กดเปลี่ยนสถานะดีล : "ตกลงราคา" ---&gt;  "ยกเลิก"
</t>
    </r>
  </si>
  <si>
    <t xml:space="preserve">-หลังปรับสถานะ ดีล :  ยกเลิก  ระบบแสดงรายการสถานะ ดีล ที่หน้า ดีล และแสดงสถานะ ดีล = "ยกเลิก"ถูกต้อง 
</t>
  </si>
  <si>
    <r>
      <rPr>
        <rFont val="Tahoma"/>
        <color rgb="FF000000"/>
        <sz val="10.0"/>
      </rPr>
      <t>ตรวจสอบเมนู :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3C78D8"/>
        <sz val="10.0"/>
      </rPr>
      <t xml:space="preserve"> </t>
    </r>
    <r>
      <rPr>
        <rFont val="Tahoma"/>
        <b/>
        <color rgb="FF1155CC"/>
        <sz val="10.0"/>
      </rPr>
      <t xml:space="preserve">User : แก้ไข  กำหนดจ่ายเงิน &gt; (Current date  3 วัน) แต่เลย deadline แล้ว 
โดย กดเปลี่ยน status : "ตกลงราคา" ---&gt;  "รอจ่าย" </t>
    </r>
    <r>
      <rPr>
        <rFont val="Tahoma"/>
        <color rgb="FF000000"/>
        <sz val="10.0"/>
      </rPr>
      <t xml:space="preserve">
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กำหนดจ่ายเงิน &gt; (Current date  3 วัน)
- กดเปลี่ยนสถานะดีล : "ตกลงราคา" ---&gt;  "รอจ่าย" 
</t>
    </r>
    <r>
      <rPr>
        <rFont val="Tahoma"/>
        <color rgb="FFFF0000"/>
        <sz val="10.0"/>
      </rPr>
      <t>FYI : ใช้ข้อมูลแก้ไขจากข้อม 54</t>
    </r>
  </si>
  <si>
    <r>
      <rPr>
        <rFont val="Tahoma"/>
        <color rgb="FF000000"/>
        <sz val="10.0"/>
      </rPr>
      <t xml:space="preserve">ตรวจสอบเมนู : สร้างคอนเทนต์  โดยกดมาจาก เมนู "นำไปสร้าง" </t>
    </r>
    <r>
      <rPr>
        <rFont val="Tahoma"/>
        <b/>
        <color rgb="FFFF0000"/>
        <sz val="10.0"/>
      </rPr>
      <t xml:space="preserve">กรณี Field : มุมที่อยากเน้น "กรอกข้อมูลอักขระพิเศษ" 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 ระบบล๊อค Field ไม่สามารถกรอกได้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-กดเมนู : นำไปสร้าง 
-Field : มุมที่อยากเน้น "กรอกข้อมูลอักขระพิเศษ" </t>
    </r>
  </si>
  <si>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-ระบบแสดงรายการ : เงินที่ควรติดตาม · status : ปานกลาง
</t>
    </r>
    <r>
      <rPr>
        <rFont val="Tahoma"/>
        <b/>
        <color rgb="FF000000"/>
        <sz val="10.0"/>
      </rPr>
      <t xml:space="preserve">หน้าดีล
</t>
    </r>
    <r>
      <rPr>
        <rFont val="Tahoma"/>
        <color rgb="FF000000"/>
        <sz val="10.0"/>
      </rPr>
      <t xml:space="preserve">-ระบบแสดงรายการสถานะ ดีล ที่หน้า ดีลถูกต้อง 
-แสดงรายการ ดีล อยุ่ใน หมวด :  ระบุเดือน  
-โดยแสดง หมายเหตุ : เลยกำหนดส่งงาน , รอส่ง Draft
</t>
    </r>
  </si>
  <si>
    <r>
      <rPr>
        <rFont val="Tahoma"/>
        <color rgb="FF000000"/>
        <sz val="10.0"/>
      </rPr>
      <t xml:space="preserve">ตรวจสอบเมนู :  ดีล กดปุ่ม "แก้ไข" </t>
    </r>
    <r>
      <rPr>
        <rFont val="Tahoma"/>
        <b/>
        <color rgb="FF1155CC"/>
        <sz val="10.0"/>
      </rPr>
      <t>กรณี ย้อนกลับสถานะ  "ยกเลิก" ---&gt;  "ตกลงราคา"</t>
    </r>
    <r>
      <rPr>
        <rFont val="Tahoma"/>
        <color rgb="FF000000"/>
        <sz val="10.0"/>
      </rPr>
      <t xml:space="preserve"> ระบบ popup สอบถาม ถูกต้อง 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icon : แก้ไข 
- กดเปลี่ยนสถานะดีล :  "ยกเลิก" ---&gt;  "ตกลงราคา"</t>
    </r>
  </si>
  <si>
    <t xml:space="preserve">-หลังปรับสถานะ ดีล :  ตกลงราค  ระบบแสดงรายการสถานะ ดีล ที่หน้า ดีล และแสดงสถานะ ดีล = "ตกลงราคา"ถูกต้อง 
</t>
  </si>
  <si>
    <r>
      <rPr>
        <rFont val="Tahoma"/>
        <color rgb="FF000000"/>
        <sz val="10.0"/>
      </rPr>
      <t>ตรวจสอบเมนู :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</t>
    </r>
    <r>
      <rPr>
        <rFont val="Tahoma"/>
        <b/>
        <color rgb="FF3C78D8"/>
        <sz val="10.0"/>
      </rPr>
      <t xml:space="preserve"> </t>
    </r>
    <r>
      <rPr>
        <rFont val="Tahoma"/>
        <b/>
        <color rgb="FF1155CC"/>
        <sz val="10.0"/>
      </rPr>
      <t xml:space="preserve">User : แก้ไข  โดย กดเปลี่ยน status : "รอจ่าย" ---&gt;  "รับเงิน" </t>
    </r>
    <r>
      <rPr>
        <rFont val="Tahoma"/>
        <color rgb="FF000000"/>
        <sz val="10.0"/>
      </rPr>
      <t xml:space="preserve">
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>เงื่อนไข</t>
    </r>
    <r>
      <rPr>
        <rFont val="Tahoma"/>
        <color rgb="FF000000"/>
        <sz val="10.0"/>
      </rPr>
      <t xml:space="preserve">
- กดเปลี่ยนสถานะดีล :  "รอจ่าย" ---&gt;  "รับเงิน" 
- รับเงินเติมจำนวน 
- ไม่หัก 
- กดปุ่ม "บันทึกรับเงิน"
</t>
    </r>
    <r>
      <rPr>
        <rFont val="Tahoma"/>
        <color rgb="FFFF0000"/>
        <sz val="10.0"/>
      </rPr>
      <t>FYI : ใช้ข้อมูลแก้ไขจากข้อม 55</t>
    </r>
  </si>
  <si>
    <r>
      <rPr>
        <rFont val="Tahoma"/>
        <color rgb="FF000000"/>
        <sz val="10.0"/>
      </rPr>
      <t xml:space="preserve">ตรวจสอบเมนู  :สร้างคอนเทนต์  โดยกดมาจาก เมนู "นำไปสร้าง"  หัวข้อ "เป้าหมายคลิป"  </t>
    </r>
    <r>
      <rPr>
        <rFont val="Tahoma"/>
        <b/>
        <color rgb="FF1155CC"/>
        <sz val="10.0"/>
      </rPr>
      <t xml:space="preserve">กรณี  "กดเลือก Tab  ในหัวข้อสูตรสร้าง" 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
เงื่อนไข
-กดเมนู : นำไปสร้าง 
-หัวข้อ : สูตรสร้าง 
- กดเลือก Tab ต่างๆ
</t>
    </r>
  </si>
  <si>
    <r>
      <rPr>
        <rFont val="Tahoma"/>
        <color rgb="FF000000"/>
        <sz val="10.0"/>
      </rPr>
      <t>ตรวจสอบเมนู :  ดีล กดปุ่ม "แก้ไข"</t>
    </r>
    <r>
      <rPr>
        <rFont val="Tahoma"/>
        <b/>
        <color rgb="FF000000"/>
        <sz val="10.0"/>
      </rPr>
      <t xml:space="preserve"> </t>
    </r>
    <r>
      <rPr>
        <rFont val="Tahoma"/>
        <b/>
        <color rgb="FFFF0000"/>
        <sz val="10.0"/>
      </rPr>
      <t>กรณี "บันทึกสถานะล้มเหลว (เน็ตหลุด)"</t>
    </r>
    <r>
      <rPr>
        <rFont val="Tahoma"/>
        <b/>
        <color rgb="FF093D93"/>
        <sz val="10.0"/>
      </rPr>
      <t xml:space="preserve"> </t>
    </r>
    <r>
      <rPr>
        <rFont val="Tahoma"/>
        <color rgb="FF000000"/>
        <sz val="10.0"/>
      </rPr>
      <t xml:space="preserve">ระบบ popup สอบถาม ถูกต้อง 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กรอกข้อมูล ดีล ครบถ้วน 
- กดปุ่ม : "บันทึกการแก้ไข"</t>
    </r>
    <r>
      <rPr>
        <rFont val="Tahoma"/>
        <color rgb="FFFF0000"/>
        <sz val="10.0"/>
      </rPr>
      <t xml:space="preserve"> (ระหว่ากดบันทึก wifi หลุด)</t>
    </r>
  </si>
  <si>
    <t>-</t>
  </si>
  <si>
    <r>
      <rPr>
        <rFont val="Tahoma"/>
        <color rgb="FF000000"/>
        <sz val="10.0"/>
      </rPr>
      <t xml:space="preserve">ตรวจสอบเมนู : สร้างคลิป หัวข้อ ความยาว  </t>
    </r>
    <r>
      <rPr>
        <rFont val="Tahoma"/>
        <b/>
        <color rgb="FF1155CC"/>
        <sz val="10.0"/>
      </rPr>
      <t xml:space="preserve">กรณี  "กด Tab ความยาว " </t>
    </r>
    <r>
      <rPr>
        <rFont val="Tahoma"/>
        <color rgb="FF1155CC"/>
        <sz val="10.0"/>
      </rPr>
      <t xml:space="preserve"> </t>
    </r>
    <r>
      <rPr>
        <rFont val="Tahoma"/>
        <color rgb="FF000000"/>
        <sz val="10.0"/>
      </rPr>
      <t>ระบบแสดงหน้าจอถูกต้อง
เงื่อนไข
-กดเมนู : นำไปสร้าง 
-หัวข้อ : ความยาว
- กดเลือก Tab ต่างๆ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</si>
  <si>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00000"/>
        <sz val="10.0"/>
      </rPr>
      <t xml:space="preserve">ห้ามรับคู่แข่ง (Exclusivity)
</t>
    </r>
    <r>
      <rPr>
        <rFont val="Tahoma"/>
        <b/>
        <color rgb="FF093D93"/>
        <sz val="10.0"/>
      </rPr>
      <t xml:space="preserve">กรณี แก้ไขวันลงงานไปชนดีลอื่น หมวดหมู่เดียวกัน "สกินแคร์"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-แบรนด์ A  : แก้วันลงงานของดีล ให้ตรงเวลา exclusivity แบรนด์ B 
-แบรนด์ A ไม่ระบุเวลา exclusivity</t>
    </r>
  </si>
  <si>
    <r>
      <rPr>
        <rFont val="Tahoma"/>
        <color rgb="FF000000"/>
        <sz val="10.0"/>
      </rPr>
      <t xml:space="preserve">ตรวจสอบเมนู : "แก้ไข" 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 กดเมนู งาน/สคริปต์ </t>
    </r>
    <r>
      <rPr>
        <rFont val="Tahoma"/>
        <color rgb="FF093D93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 icon : แก้ไข 
- กด : งาน/สคริปต์   </t>
    </r>
  </si>
  <si>
    <r>
      <rPr>
        <rFont val="Tahoma"/>
        <color rgb="FF000000"/>
        <sz val="10.0"/>
      </rPr>
      <t xml:space="preserve">-ระบบแสดง popup : </t>
    </r>
    <r>
      <rPr>
        <rFont val="Tahoma"/>
        <b/>
        <color rgb="FF000000"/>
        <sz val="10.0"/>
      </rPr>
      <t>Exclusivity ชนกัน</t>
    </r>
    <r>
      <rPr>
        <rFont val="Tahoma"/>
        <color rgb="FF000000"/>
        <sz val="10.0"/>
      </rPr>
      <t xml:space="preserve">
-ดีลนี้ชนเงื่อนไขห้ามรับคู่แข่งของดีลเดิม:
-XX · หมวดเดียวกัน · ช่วงห้าม 2026-07-XX – 2026-07-XX
-ระบบแสดงปุ่ม : ยกเลิก
-ระบบแสดงปุ่ม : รับต่อ (รับทราบความเสี่ยง)
-ระบบแสดงรายการดีลถูกต้อง และแสดง หมายเหตุ :</t>
    </r>
    <r>
      <rPr>
        <rFont val="Tahoma"/>
        <color rgb="FFCC0000"/>
        <sz val="10.0"/>
      </rPr>
      <t xml:space="preserve"> รับทราบเสี่ยง </t>
    </r>
    <r>
      <rPr>
        <rFont val="Tahoma"/>
        <color rgb="FF000000"/>
        <sz val="10.0"/>
      </rPr>
      <t xml:space="preserve">ดีลใหม่ที่เพิ่งสร้าง 
</t>
    </r>
  </si>
  <si>
    <t>-ระบบแสดงกล่องกรอก Brief จากลูกค้า โจทย์ก่อนเริ่มทำ script สามารถกรอกข้อมูล  Brief จากลูกค้าได้
-แสดงปุ่ม : บันทึก brief
-แสดงปุ่ม  :+ แนบรูป brief</t>
  </si>
  <si>
    <r>
      <rPr>
        <rFont val="Tahoma"/>
        <color rgb="FF000000"/>
        <sz val="10.0"/>
      </rPr>
      <t xml:space="preserve">ตรวจสอบเมนู : สร้างคอนเทนต์  "เลือก Tab คลังไวรัล </t>
    </r>
    <r>
      <rPr>
        <rFont val="Tahoma"/>
        <b/>
        <color rgb="FF1155CC"/>
        <sz val="10.0"/>
      </rPr>
      <t xml:space="preserve">กรณี "สร้างคอนเทนต์จากคลิปต้นแบบ"  </t>
    </r>
    <r>
      <rPr>
        <rFont val="Tahoma"/>
        <color rgb="FF000000"/>
        <sz val="10.0"/>
      </rPr>
      <t xml:space="preserve">โดยมีรายละเอียดดังนี้ และ 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สร้างคอนเทนต์
- เลือก : Tab คลังไวรัล 
- กดปุ่ม : นำไปสร้าง
- หัวข้อคลิป : กรอกข้อมูล
- มุมที่อยากเน้น : กรอกข้อมูล
- เป้าหมายคลิป : ให้ความรู้
- สูตรสร้าง : อัตโนมัติ
- ความยาว : 60 วิ
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</si>
  <si>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00000"/>
        <sz val="10.0"/>
      </rPr>
      <t xml:space="preserve"> ห้ามรับคู่แข่ง (Exclusivity) </t>
    </r>
    <r>
      <rPr>
        <rFont val="Tahoma"/>
        <b/>
        <color rgb="FF1155CC"/>
        <sz val="10.0"/>
      </rPr>
      <t>กรณี  แก้ไขหมวดหมู่ดีลของแบรนด์ A เป็น "เครื่องสำอาง ---&gt; สกินแคร์"  และช่วงวันที่ลงงานชนกับเงื่อนไข Exclusivity ของแบรนด์ B</t>
    </r>
    <r>
      <rPr>
        <rFont val="Tahoma"/>
        <b/>
        <color rgb="FF000000"/>
        <sz val="10.0"/>
      </rPr>
      <t xml:space="preserve">
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-เปิดรายละเอียดดีล A
-เข้าไปแก้ไข "หมวดสินค้า" ของดีล A
-เปลี่ยนหมวดสินค้าเป็น "สกินแคร์" (หมวดเดียวกับที่ดีล B ตั้ง Exclusivity ห้ามชนไว้)
-กดบันทึกการแก้ไข</t>
    </r>
  </si>
  <si>
    <r>
      <rPr>
        <rFont val="Tahoma"/>
        <color rgb="FF000000"/>
        <sz val="10.0"/>
      </rPr>
      <t>ตรวจสอบเมนู : "แก้ไข" หัวข้อ "</t>
    </r>
    <r>
      <rPr>
        <rFont val="Tahoma"/>
        <b/>
        <color rgb="FF093D93"/>
        <sz val="10.0"/>
      </rPr>
      <t xml:space="preserve">Brief จากลูกค้า"  ทำการกดแนบรูป 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กด icon : แก้ไข 
- กด : งาน/สคริปต์ 
-กดปุ่ม  :+ แนบรูป brief</t>
    </r>
  </si>
  <si>
    <r>
      <rPr>
        <rFont val="Tahoma"/>
        <color rgb="FF000000"/>
        <sz val="10.0"/>
      </rPr>
      <t xml:space="preserve">-ระบบแสดง popup : </t>
    </r>
    <r>
      <rPr>
        <rFont val="Tahoma"/>
        <b/>
        <color rgb="FF000000"/>
        <sz val="10.0"/>
      </rPr>
      <t>Exclusivity ชนกัน</t>
    </r>
    <r>
      <rPr>
        <rFont val="Tahoma"/>
        <color rgb="FF000000"/>
        <sz val="10.0"/>
      </rPr>
      <t xml:space="preserve">
-ดีลนี้ชนเงื่อนไขห้ามรับคู่แข่งของดีลเดิม:
-XX · หมวดเดียวกัน · ช่วงห้าม 2026-07-XX – 2026-07-XX
-ระบบแสดงปุ่ม : ยกเลิก
-ระบบแสดงปุ่ม : รับต่อ (รับทราบความเสี่ยง)
-ระบบแสดงรายการดีลถูกต้อง และแสดง หมายเหตุ :</t>
    </r>
    <r>
      <rPr>
        <rFont val="Tahoma"/>
        <color rgb="FFCC0000"/>
        <sz val="10.0"/>
      </rPr>
      <t xml:space="preserve"> รับทราบเสี่ยง </t>
    </r>
    <r>
      <rPr>
        <rFont val="Tahoma"/>
        <color rgb="FF000000"/>
        <sz val="10.0"/>
      </rPr>
      <t xml:space="preserve">ดีลใหม่ที่เพิ่งสร้าง 
</t>
    </r>
  </si>
  <si>
    <r>
      <rPr>
        <rFont val="Tahoma"/>
        <color rgb="FF000000"/>
        <sz val="10.0"/>
      </rPr>
      <t xml:space="preserve">ตรวจสอบเมนู : สร้างคอนเทนต์  เลือก Tab คลังไวรัล  </t>
    </r>
    <r>
      <rPr>
        <rFont val="Tahoma"/>
        <b/>
        <color rgb="FF1155CC"/>
        <sz val="10.0"/>
      </rPr>
      <t xml:space="preserve">สร้างคอนเทนต์จากคลิปต้นแบบ กรณี เลือก เป้าหมายคลิป "เล่าเรื่องสร้างตัวตน และความยาวคลิป 90 วิ" </t>
    </r>
    <r>
      <rPr>
        <rFont val="Tahoma"/>
        <color rgb="FF000000"/>
        <sz val="10.0"/>
      </rPr>
      <t xml:space="preserve">โดยมีรายละเอียดดังนี้ และ 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เลือก : Tab คลังไวรัล 
- กดปุ่ม : นำไปสร้าง
- หัวข้อคลิป : กรอกข้อมูล
- มุมที่อยากเน้น : กรอกข้อมูล
- เป้าหมายคลิป : เล่าเรื่องสร้างตัวตน
- สูตรสร้าง : ทำนายเทรน
- ความยาว : 90 วิ
- กดปุ่ม : Generate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</si>
  <si>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00000"/>
        <sz val="10.0"/>
      </rPr>
      <t xml:space="preserve"> ห้ามรับคู่แข่ง (Exclusivity) </t>
    </r>
    <r>
      <rPr>
        <rFont val="Tahoma"/>
        <b/>
        <color rgb="FFFF0000"/>
        <sz val="10.0"/>
      </rPr>
      <t>กรณี  แก้ไขหมวดหมู่ดีลของแบรนด์ A จาก "สกินแคร์" → "เครื่องสำอาง" (คนละหมวดกับที่ดีล B ตั้ง Exclusivity ไว้) แม้วันลงงานจะชนกับดีล B — ระบบต้องไม่แสดง popup แจ้งเตือน</t>
    </r>
    <r>
      <rPr>
        <rFont val="Tahoma"/>
        <b/>
        <color rgb="FF000000"/>
        <sz val="10.0"/>
      </rPr>
      <t xml:space="preserve">
</t>
    </r>
    <r>
      <rPr>
        <rFont val="Tahoma"/>
        <color rgb="FF000000"/>
        <sz val="10.0"/>
      </rPr>
      <t>ระบบแสดงหน้าจอถูกต้อง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-เปิดรายละเอียดดีล A
-เข้าไปแก้ไข "หมวดสินค้า" ของดีล A
-เปลี่ยนหมวดสินค้าจาก "สกินแคร์" → "เครื่องสำอาง" </t>
    </r>
    <r>
      <rPr>
        <rFont val="Tahoma"/>
        <color rgb="FFFF0000"/>
        <sz val="10.0"/>
      </rPr>
      <t>(คนละหมวดกับที่ดีล B ตั้ง Exclusivity ห้ามชนไว้) โดยไม่แก้ไขวันลงงาน (ยังคงชนกับช่วง Exclusivity ของดีล B เหมือนเดิม)</t>
    </r>
    <r>
      <rPr>
        <rFont val="Tahoma"/>
        <color rgb="FF000000"/>
        <sz val="10.0"/>
      </rPr>
      <t xml:space="preserve">
-กดบันทึกการแก้ไข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</si>
  <si>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"Brief จากลูกค้า"  ทำ กรอกข้อมูล "Brief" และแนบรูป กดปุ่ม "บันทึก brief" 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 icon : แก้ไข 
- กด : งาน/สคริปต์ 
- แก้ไข Brief ที่ได้รับจากลูกค้า : บันทึก brief 
-กดปุ่ม  :+ แนบรูป brief</t>
    </r>
  </si>
  <si>
    <t>-ระบบบันทึกดีลสำเร็จ
-แสดงรายการดีลถูกต้อง และแสดง  Reset หมายเหตุ : -</t>
  </si>
  <si>
    <r>
      <rPr>
        <rFont val="Tahoma"/>
        <color rgb="FF000000"/>
        <sz val="10.0"/>
      </rPr>
      <t xml:space="preserve">ตรวจสอบ </t>
    </r>
    <r>
      <rPr>
        <rFont val="Tahoma"/>
        <b/>
        <color rgb="FF1155CC"/>
        <sz val="10.0"/>
      </rPr>
      <t>กรณี หลังจากกดปุ่ม Generate ระบบสร้าง สคริปมาให้เลือกสูงสุด 3 แบบ</t>
    </r>
    <r>
      <rPr>
        <rFont val="Tahoma"/>
        <color rgb="FF000000"/>
        <sz val="10.0"/>
      </rPr>
      <t xml:space="preserve">  </t>
    </r>
    <r>
      <rPr>
        <rFont val="Tahoma"/>
        <b/>
        <color rgb="FF1155CC"/>
        <sz val="10.0"/>
      </rPr>
      <t xml:space="preserve">และ  "รายละเอียด beats"  ในกล่องสคริป </t>
    </r>
    <r>
      <rPr>
        <rFont val="Tahoma"/>
        <color rgb="FF000000"/>
        <sz val="10.0"/>
      </rPr>
      <t xml:space="preserve">โดยมีรายละเอียดดังนี้ และ 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ดู "รายละเอียด beats" ในกล่องสคริป
</t>
    </r>
  </si>
  <si>
    <r>
      <rPr>
        <rFont val="Tahoma"/>
        <color rgb="FF000000"/>
        <sz val="10.0"/>
      </rPr>
      <t xml:space="preserve">ตรวจสอบเมนู : "แก้ไข" </t>
    </r>
    <r>
      <rPr>
        <rFont val="Tahoma"/>
        <b/>
        <color rgb="FF1155CC"/>
        <sz val="10.0"/>
      </rPr>
      <t>กรณี User ปรับสถานะดีล  "ตกลงราคา" ---&gt;  "ยกเลิก"</t>
    </r>
    <r>
      <rPr>
        <rFont val="Tahoma"/>
        <color rgb="FF000000"/>
        <sz val="10.0"/>
      </rPr>
      <t xml:space="preserve"> ระบบ popup สอบถาม ถูกต้อง 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icon : แก้ไข 
- กดเปลี่ยนสถานะดีล : "ตกลงราคา" ---&gt;  "ยกเลิก"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</si>
  <si>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" สคริปต์ (ส่งให้แบรนด์รีวิวก่อนถ่าย) "  กรณี กรอกข้อมูล "สคริปต์" และ กดปุ่ม "บันทึก" 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</si>
  <si>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" สคริปต์ (ส่งให้แบรนด์รีวิวก่อนถ่าย) "  กรณี กดปุ่ม "แบรนด์ขอแก้"  กรอกข้อมูล/เลือกวันที่ ครบถูกต้อง และกดปุ่ม "บันทึก"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</si>
  <si>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  ดีล กดปุ่ม "แก้ไข" </t>
    </r>
    <r>
      <rPr>
        <rFont val="Tahoma"/>
        <b/>
        <color rgb="FF1155CC"/>
        <sz val="10.0"/>
      </rPr>
      <t>กรณี ย้อนกลับสถานะ  "ยกเลิก" ---&gt;  "ตกลงราคา"</t>
    </r>
    <r>
      <rPr>
        <rFont val="Tahoma"/>
        <color rgb="FF000000"/>
        <sz val="10.0"/>
      </rPr>
      <t xml:space="preserve"> ระบบ popup สอบถาม ถูกต้อง </t>
    </r>
    <r>
      <rPr>
        <rFont val="Tahoma"/>
        <b/>
        <color rgb="FF093D93"/>
        <sz val="10.0"/>
      </rPr>
      <t xml:space="preserve"> 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icon : แก้ไข 
- กดเปลี่ยนสถานะดีล :  "ยกเลิก" ---&gt;  "ตกลงราคา"</t>
    </r>
  </si>
  <si>
    <r>
      <rPr>
        <rFont val="Tahoma"/>
        <color rgb="FF000000"/>
        <sz val="10.0"/>
      </rPr>
      <t xml:space="preserve">ตรวจสอบ </t>
    </r>
    <r>
      <rPr>
        <rFont val="Tahoma"/>
        <b/>
        <color rgb="FF1155CC"/>
        <sz val="10.0"/>
      </rPr>
      <t xml:space="preserve">กรณี เลือกสคริปต์ คะแนน  A 9.0/10 กดปุ่ม  "ใช้แบบนี้"  ในกล่องสคริป </t>
    </r>
    <r>
      <rPr>
        <rFont val="Tahoma"/>
        <color rgb="FF000000"/>
        <sz val="10.0"/>
      </rPr>
      <t xml:space="preserve"> ระบบแสดงหน้าจอถัดไปถูกต้อง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ใช้แบบนี้</t>
    </r>
  </si>
  <si>
    <t xml:space="preserve">งาน/สคริปต์ 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</si>
  <si>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" สคริปต์ (ส่งให้แบรนด์รีวิวก่อนถ่าย) " </t>
    </r>
    <r>
      <rPr>
        <rFont val="Tahoma"/>
        <b/>
        <color rgb="FFCC0000"/>
        <sz val="10.0"/>
      </rPr>
      <t xml:space="preserve"> กรณี กดปุ่ม "แบรนด์ขอแก้" เลือกวันที่เป็นวันที่ย้อนหลัง "บันทึก"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 error ถูกต้อง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</si>
  <si>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 หน้า สคริปต์ </t>
    </r>
    <r>
      <rPr>
        <rFont val="Tahoma"/>
        <b/>
        <color rgb="FF1155CC"/>
        <sz val="10.0"/>
      </rPr>
      <t xml:space="preserve">กรณี  กด ปุ่ม "คัดลอกสคริปต์" และ "กำหนดวันโพสต์ :  วันที่ + 3 / เดือน/ ปี ปัจจุบัน " 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คัดลอกสคริปต์
- กำหนดวันโพสต์ :  วันที่ ปจจ + 3 / เดือน/ ปี ปัจจุบัน</t>
    </r>
  </si>
  <si>
    <r>
      <rPr>
        <rFont val="Tahoma"/>
        <color rgb="FF000000"/>
        <sz val="10.0"/>
      </rPr>
      <t xml:space="preserve">ตรวจสอบเมนู : "แก้ไข" </t>
    </r>
    <r>
      <rPr>
        <rFont val="Tahoma"/>
        <b/>
        <color rgb="FF000000"/>
        <sz val="10.0"/>
      </rPr>
      <t xml:space="preserve"> </t>
    </r>
    <r>
      <rPr>
        <rFont val="Tahoma"/>
        <b/>
        <color rgb="FF093D93"/>
        <sz val="10.0"/>
      </rPr>
      <t xml:space="preserve">กรณี  กดเมนู งาน/สคริปต์ </t>
    </r>
    <r>
      <rPr>
        <rFont val="Tahoma"/>
        <color rgb="FF093D93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 icon : แก้ไข 
- กด : งาน/สคริปต์   </t>
    </r>
  </si>
  <si>
    <t>-ระบบแสดง Text box :  Brief จากลูกค้า โจทย์ก่อนเริ่มทำ script สามารถกรอกข้อมูล  Brief จากลูกค้าได้
-แสดงปุ่ม : บันทึก brief
-แสดงปุ่ม  :+ แนบรูป brief</t>
  </si>
  <si>
    <r>
      <rPr>
        <rFont val="Tahoma"/>
        <color rgb="FF000000"/>
        <sz val="10.0"/>
      </rPr>
      <t xml:space="preserve">ตรวจสอบ หน้า สคริปต์ </t>
    </r>
    <r>
      <rPr>
        <rFont val="Tahoma"/>
        <b/>
        <color rgb="FF1155CC"/>
        <sz val="10.0"/>
      </rPr>
      <t xml:space="preserve">กรณี  กด ปุ่ม "คัดลอกสคริปต์" และ กำหนดวันโพสต์  "วันที่ย้อนหลัง / เดือนย้อนหลัง / ปี ปัจจุบัน" 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คัดลอกสคริปต์
- กำหนดวันโพสต์ :  "วันที่ย้อนหลัง / เดือนย้อนหลัง / ปี ปัจจุบัน"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</si>
  <si>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" สคริปต์ (ส่งให้แบรนด์รีวิวก่อนถ่าย) " </t>
    </r>
    <r>
      <rPr>
        <rFont val="Tahoma"/>
        <b/>
        <color rgb="FFCC0000"/>
        <sz val="10.0"/>
      </rPr>
      <t xml:space="preserve"> กรณี กดปุ่ม "ลบ"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 error ถูกต้อง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</si>
  <si>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 : </t>
    </r>
    <r>
      <rPr>
        <rFont val="Tahoma"/>
        <b/>
        <color rgb="FF093D93"/>
        <sz val="10.0"/>
      </rPr>
      <t xml:space="preserve">กรณี User  เพิ่ม Brief จากลูกค้า และ แนบรูปรายละเอียดงาน  &gt; 1 รูป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-เพิ่ม  Brief จากลูกค้า
-กดปุ่ม : บันทึก brief
-กดปุ่ม : + แนบรูป brief &gt; 1 รูป
</t>
    </r>
  </si>
  <si>
    <r>
      <rPr>
        <rFont val="Tahoma"/>
        <color rgb="FF000000"/>
        <sz val="10.0"/>
      </rPr>
      <t xml:space="preserve">ตรวจสอบ หน้า สคริปต์ </t>
    </r>
    <r>
      <rPr>
        <rFont val="Tahoma"/>
        <b/>
        <color rgb="FF1155CC"/>
        <sz val="10.0"/>
      </rPr>
      <t xml:space="preserve">กรณี  กด ปุ่ม "คัดลอกบรีฟทั้งหมด" และ "ไม่กำหนดวันโพสต์" 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คัดลอกสคริปต์
-  กำหนดวันโพสต์ : ไม่กำหนดวันโพสต์</t>
    </r>
  </si>
  <si>
    <t xml:space="preserve">-ระบบแสดงข้อมูล " Brief จากลูกค้า" ได้ถูกต้อง
-ระบบแสดงรูปทั้งหมดถูกต้องตามที่แนปรูปไป 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</si>
  <si>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" งานและรอบแก้ · แก้รอบฟรี" 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>กรณี แบรนด์ขอแก้รอบที่ 1 กรอบข้อมูลครบถ้วน กดปุ่ม "บันทึกคำขอแก้"</t>
    </r>
    <r>
      <rPr>
        <rFont val="Tahoma"/>
        <b/>
        <color rgb="FFCC0000"/>
        <sz val="10.0"/>
      </rPr>
      <t xml:space="preserve">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</si>
  <si>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 : </t>
    </r>
    <r>
      <rPr>
        <rFont val="Tahoma"/>
        <b/>
        <color rgb="FF093D93"/>
        <sz val="10.0"/>
      </rPr>
      <t xml:space="preserve"> กรณี User กรอกข้อมูล "ส่งสคริปต์รีวิว" และ กดปุ่ม "บันทึก" 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-กรอกข้อมูล "ส่งสคริปต์รีวิว"
-กดปุ่ม "บันทึก" </t>
    </r>
  </si>
  <si>
    <t>-ระบบแสดงรายการ ส่งสคริปต์รีวิวถูกต้อง
-แสดงปุ่ม "ลบ"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</si>
  <si>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" งานและรอบแก้ · แก้รอบฟรี" </t>
    </r>
    <r>
      <rPr>
        <rFont val="Tahoma"/>
        <b/>
        <color rgb="FFCC0000"/>
        <sz val="10.0"/>
      </rPr>
      <t xml:space="preserve"> </t>
    </r>
    <r>
      <rPr>
        <rFont val="Tahoma"/>
        <b/>
        <color rgb="FFFF0000"/>
        <sz val="10.0"/>
      </rPr>
      <t>กรณี แบรนด์ขอแก้รอบที่ 2 กรณี ระบุวันที่ นัดส่ง draft แก้รอบถัดไป ระบุ "วัน/เดือน/ปี ย้อนหลัง"กดปุ่ม "บันทึกคำขอแก้"</t>
    </r>
    <r>
      <rPr>
        <rFont val="Tahoma"/>
        <b/>
        <color rgb="FFCC0000"/>
        <sz val="10.0"/>
      </rPr>
      <t xml:space="preserve">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</si>
  <si>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 หน้า สคริปต์ </t>
    </r>
    <r>
      <rPr>
        <rFont val="Tahoma"/>
        <b/>
        <color rgb="FFFF0000"/>
        <sz val="10.0"/>
      </rPr>
      <t xml:space="preserve">กรณี  กด ปุ่ม "คัดลอกบรีฟทั้งหมด" และ "ลบสคริปต์" </t>
    </r>
    <r>
      <rPr>
        <rFont val="Tahoma"/>
        <b/>
        <color rgb="FF1155CC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คัดลอกบรีฟทั้งหมด
- กดปุ่ม : ลบสคริปต์
- popup : ลบ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</si>
  <si>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 xml:space="preserve">กรณี  "แบรนด์ขอแก้สคริปต์ 1 รอบ" และเลือกนัดส่งสคริปต์แก้รอบถัดไป &gt; (Current date  3 วัน)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-กรอกข้อมูล : "แบรนด์ขอแก้" 
-เลือกนัดส่งสคริปต์แก้รอบถัดไป  : &gt; (Current date  3 วัน)
-กดปุ่ม "บันทึก"</t>
    </r>
  </si>
  <si>
    <t>-ระบบแสดงรายการ ส่งสคริปต์แบรนด์ขอแก้ถูกต้อง
-ระบบแสดงรอบแก้สคริปต์: 1
-ระบบ disable  ปุ่ม ส่งสคริปต์รีวิว , แบรนด์ขอแก้ 
-ระบบแสดงวันที่ : เลือกนัดส่งสคริปต์แก้รอบถัดไป ถูกต้อง
-แสดงปุ่ม "ลบ"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</si>
  <si>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" งานและรอบแก้ · แก้รอบฟรี" </t>
    </r>
    <r>
      <rPr>
        <rFont val="Tahoma"/>
        <b/>
        <color rgb="FFCC0000"/>
        <sz val="10.0"/>
      </rPr>
      <t xml:space="preserve"> </t>
    </r>
    <r>
      <rPr>
        <rFont val="Tahoma"/>
        <b/>
        <color rgb="FFFF0000"/>
        <sz val="10.0"/>
      </rPr>
      <t xml:space="preserve">กรณี แบรนด์ขอแก้รอบงานเกินรอบแก้ฟรีที่ตกลงกันไว้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>ระบบแสดงหน้าจอถูกต้อง</t>
    </r>
    <r>
      <rPr>
        <rFont val="Tahoma"/>
        <color rgb="FF093D93"/>
        <sz val="10.0"/>
        <u/>
      </rPr>
      <t xml:space="preserve">
</t>
    </r>
  </si>
  <si>
    <t xml:space="preserve">ไม่เจอเมนู หัวข้อนี้แล้ว </t>
  </si>
  <si>
    <r>
      <rPr>
        <rFont val="Tahoma"/>
        <color rgb="FF000000"/>
        <sz val="10.0"/>
      </rPr>
      <t xml:space="preserve">ตรวจสอบ หน้า สคริปต์ </t>
    </r>
    <r>
      <rPr>
        <rFont val="Tahoma"/>
        <b/>
        <color rgb="FFFF0000"/>
        <sz val="10.0"/>
      </rPr>
      <t xml:space="preserve">กรณี  กด ปุ่ม "คัดลอกบรีฟทั้งหมด" และ "ลบสคริปต์" </t>
    </r>
    <r>
      <rPr>
        <rFont val="Tahoma"/>
        <b/>
        <color rgb="FF1155CC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คัดลอกบรีฟทั้งหมด
- กดปุ่ม : ลบสคริปต์
- popup : ยกเลิก 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</si>
  <si>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>กรณี  User แก้ไขสคริปต์เสร็จแล้วและกดปุ่ม "ส่งสคริปต์แก้แล้ว"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-กดปุ่ม : "ส่งสคริปต์แก้แล้ว"</t>
    </r>
  </si>
  <si>
    <t>-ระบบแสดงรายการ ส่งสคริปต์แก้แล้วถูกต้อง
-ระบบแสดงรอบแก้สคริปต์: 1
-ระบบ disable  ปุ่ม ส่งสคริปต์รีวิว ,ส่งสคริปต์แก้ไข
-ระบบแสดงวันที่ปัจจุบันที่ทำการกดปุ่มส่งสคริปต์แก้แล้ว ถูกต้อง
-แสดงปุ่ม "ลบ"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</si>
  <si>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"งานและรอบแก้ · แก้รอบฟรี"</t>
    </r>
    <r>
      <rPr>
        <rFont val="Tahoma"/>
        <b/>
        <color rgb="FFCC0000"/>
        <sz val="10.0"/>
      </rPr>
      <t xml:space="preserve"> กรณี กดปุ่ม "ลบ"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 error ถูกต้อง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</si>
  <si>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 หน้า สคริปต์ </t>
    </r>
    <r>
      <rPr>
        <rFont val="Tahoma"/>
        <b/>
        <color rgb="FF1155CC"/>
        <sz val="10.0"/>
      </rPr>
      <t xml:space="preserve">กรณี  กด ปุ่ม "แก้ไข"  Field : "Hook"  และกด "บันทึกการแก้ไข"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แก้ไข
- Field : "Hook"  : แก้ไขสคริปต์เพิ่มเติม
- กดปุ่ม : "บันทึกการแก้ไข"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</si>
  <si>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>กรณี  User กดปุ่ม "สคริปต์ผ่านแล้ว"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-กดปุ่ม :  "สคริปต์ผ่านแล้ว" </t>
    </r>
  </si>
  <si>
    <t>-ระบบแสดงรายการ สคริปต์ผ่าน แล้วถูกต้อง
-ระบบแสดงรอบแก้สคริปต์: 1
-ระบบ disable  ปุ่ม ส่งสคริปต์รีวิว ,ส่งสคริปต์แก้ไข , สคริปต์ผ่านแล้ว
-ระบบแสดงวันที่ปัจจุบันที่ทำการกดปุ่มส่งสคริปต์แก้แล้ว ถูกต้อง
-แสดงปุ่ม "ลบ"</t>
  </si>
  <si>
    <r>
      <rPr>
        <rFont val="Tahoma"/>
        <color rgb="FF000000"/>
        <sz val="10.0"/>
      </rPr>
      <t>ตรวจสอบเมนู : "แก้ไข"  กดหัวข้อ</t>
    </r>
    <r>
      <rPr>
        <rFont val="Tahoma"/>
        <b/>
        <color rgb="FF093D93"/>
        <sz val="10.0"/>
      </rPr>
      <t xml:space="preserve">  "งวดเงิน"</t>
    </r>
    <r>
      <rPr>
        <rFont val="Tahoma"/>
        <b/>
        <color rgb="FFCC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 icon : แก้ไข 
- กด :  "งวดเงิน"
</t>
    </r>
  </si>
  <si>
    <r>
      <rPr>
        <rFont val="Tahoma"/>
        <color rgb="FF000000"/>
        <sz val="10.0"/>
      </rPr>
      <t xml:space="preserve">ตรวจสอบเมนู : สร้างคอนเทนต์  เลือก Tab  สร้างคลิป  </t>
    </r>
    <r>
      <rPr>
        <rFont val="Tahoma"/>
        <b/>
        <color rgb="FF1155CC"/>
        <sz val="10.0"/>
      </rPr>
      <t xml:space="preserve">เลือก เป้าหมายคลิป "ปิดการขาย และความยาวคลิป  60 วิ"  กรณี "ไม่เลือกแบบสคริปต์ที่ AI Gen มาให้"  --&gt; กดเมนู "บอร์ดคอนเทนต์" </t>
    </r>
    <r>
      <rPr>
        <rFont val="Tahoma"/>
        <color rgb="FF000000"/>
        <sz val="10.0"/>
      </rPr>
      <t xml:space="preserve">โดยมีรายละเอียดดังนี้ และ 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สร้างคอนเทนต์
- หัวข้อคลิป : กรอกข้อมูล
- มุมที่อยากเน้น : - 
- เป้าหมายคลิป : ปิดการขาย
- สูตรสร้าง : ผลลัพธ์เคสจริง
- ความยาว : 60 วิ
- กดปุ่ม : Generate
- สคริปต์ AI Gen : ไม่เลือก</t>
    </r>
  </si>
  <si>
    <t xml:space="preserve">-ระบบแสดงรายการ สคริปต์ ที่ AI Gen มาให้โดยมี คะแนน 10/10 ระบุความสมบรูณ์ของสคริป
-หน้า บอร์ดคอนเทนต์  แสดงรายการสริปต์ ถูกต้อง 
</t>
  </si>
  <si>
    <r>
      <rPr>
        <rFont val="Tahoma"/>
        <color rgb="FF000000"/>
        <sz val="10.0"/>
      </rPr>
      <t xml:space="preserve">ตรวจสอบ : กรณี User </t>
    </r>
    <r>
      <rPr>
        <rFont val="Tahoma"/>
        <b/>
        <color rgb="FFCC0000"/>
        <sz val="10.0"/>
      </rPr>
      <t xml:space="preserve">กดปุ่ม "ลบ" รายการ "สคริปต์ผ่านแล้ว"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 error 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-กดปุ่ม : "ลบ"
-ระบบ popup : ลบรายการนี้
-กดปุ่ม : "ลบ"</t>
    </r>
  </si>
  <si>
    <t xml:space="preserve">-รายการ สคริปต์ผ่าน หายไป 
-ระบบแสดงรายการ บันทึกสคริปต์ สถานะ : ส่งสคริปต์รีวิว / 
แบรนด์ขอแก้สคริปต์ / ส่งสคริปต์แก้
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</si>
  <si>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"งวดเงิน"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กรณีกด "เพิ่มงวด"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กรอกข้อมูลครบถ้วนเพิ่มงวดสำเร็จ 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กด icon : แก้ไข 
- กด :  "งวดเงิน"
- กด :  "เพิ่มงวด"  เรียบร้อย 
</t>
    </r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</si>
  <si>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 "ไม่เลือกแบบสคริปต์ที่ AI Gen มาให้"  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บอร์ดคอนเทนต์ 
</t>
    </r>
  </si>
  <si>
    <t>-หน้า บอร์ดคอนเทนต์  แสดงรายการสริปต์ ถูกต้อง 
-สคริปต์ที่ไม่ได้เลือก แบบสคริปต์ กล่องสคริปต์ ไม่แสดงรายละเอียดสคริป
-แสดงปุ่ม "เลือกแบบก่อน"
- แสดงวันที่ / เดือน / ปี ที่กดสร้างวคริปต์</t>
  </si>
  <si>
    <t xml:space="preserve">งานและรอบแก้ 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</si>
  <si>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"งวดเงิน"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</t>
    </r>
    <r>
      <rPr>
        <rFont val="Tahoma"/>
        <b/>
        <color rgb="FFFF0000"/>
        <sz val="10.0"/>
      </rPr>
      <t>กรณีกด "เพิ่มงวด" Field : กำหนดชำระ "กรอก วัน/เดือน/ปี ย้อนหลัง"</t>
    </r>
    <r>
      <rPr>
        <rFont val="Tahoma"/>
        <b/>
        <color rgb="FF1155CC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กด icon : แก้ไข 
- กด :  "งวดเงิน"
- กด "เพิ่มงวด" 
- Field กำหนดชำระ :</t>
    </r>
    <r>
      <rPr>
        <rFont val="Tahoma"/>
        <b/>
        <color rgb="FFFF0000"/>
        <sz val="10.0"/>
      </rPr>
      <t xml:space="preserve"> "กรอก วัน/เดือน/ปี ย้อนหลัง"</t>
    </r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</si>
  <si>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 กดปุ่ม  "เลือกแบบก่อน และเลือกแบบ A"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บอร์ดคอนเทนต์ 
- กด : กล่อง "คอนเทนต์"
- กดปุ่ม : เลือกแบบก่อน
- กดเลือกแบบ : A</t>
    </r>
  </si>
  <si>
    <t>- ระบบแสดงไม่แสดง รายละอียดสคริปต์
- ระบบแสดง แบบ  "สคริปต์" A/B/C พร้อมรายละเอียดสคริปต์ และปุ่ม "ใช้แบบนี้"
- ระบบแสดงรายละเอียดสคริปต์ ทั้งหมด 
- ระบบแสดงปุ่ม : คัดลอกสคริปต์ / คัดลอกบรีฟทั้งหมด / แก้ไข
- ระบบแสดง กำหนดวันโพสต์ 
- ระบบแสดง ปุ่ม "ลบสคริปต์"</t>
  </si>
  <si>
    <r>
      <rPr>
        <rFont val="Tahoma"/>
        <color rgb="FF000000"/>
        <sz val="10.0"/>
      </rPr>
      <t xml:space="preserve">ตรวจสอบ : </t>
    </r>
    <r>
      <rPr>
        <rFont val="Tahoma"/>
        <b/>
        <color rgb="FF1155CC"/>
        <sz val="10.0"/>
      </rPr>
      <t>กรณี  User กดส่ง Draft แล้ว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กดส่ง :  Draft แล้ว</t>
    </r>
  </si>
  <si>
    <t>-ระบบแสดงรายการ บันทึกงาน : ส่ง draft แล้วถูกต้อง
-ระบบแสดงรอบแก้ฟรี X ครั้ง
-ระบบ disable  ปุ่ม ส่ง Draft แล้ว ,ส่งงานแก้แล้ว
-ระบบแสดงวันที่ปัจจุบันที่ทำการกดปุ่มส่ง draft แล้ว ถูกต้อง
-แสดงปุ่ม "ลบ"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</si>
  <si>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"งวดเงิน"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</t>
    </r>
    <r>
      <rPr>
        <rFont val="Tahoma"/>
        <b/>
        <color rgb="FFFF0000"/>
        <sz val="10.0"/>
      </rPr>
      <t xml:space="preserve">กรณีกด "เพิ่มงวด"กรอกข้อมูล "อักขระพิเศษ"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กด icon : แก้ไข 
- กด :  "งวดเงิน"
- กด "เพิ่มงวด" 
- Field กำหนดชำระ : วัน/เดือน/ปี "อักขระพิเศษ" </t>
    </r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</si>
  <si>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  "มีการสร้างสคริปต์ = 1 สคริปต์"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บอร์ดคอนเทนต์ 
</t>
    </r>
  </si>
  <si>
    <r>
      <rPr>
        <rFont val="Tahoma"/>
        <color rgb="FF000000"/>
        <sz val="10.0"/>
      </rPr>
      <t>ตรวจสอบ : แบรนด์มีรอบแก้ฟรี 2 รอบ</t>
    </r>
    <r>
      <rPr>
        <rFont val="Tahoma"/>
        <b/>
        <color rgb="FF1155CC"/>
        <sz val="10.0"/>
      </rPr>
      <t xml:space="preserve"> กรณีทำการขอแก้รอบที่ 1 กดปุ่ม "บันทึกคำขอแก้" 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-กรอกข้อมูลรายละเอียดที่แบรนด์ขอแก้
-✅ นับเป็นรอบแก้ 
-นัดส่ง draft แก้รอบถัดไป : &lt; (Current date  3 วัน)
- กดส่ง :  Draft แล้ว</t>
    </r>
  </si>
  <si>
    <t>- ระบบแสดง หน้า บอร์ดคอนเทนต์  มีรายการ "กล่องคอนเทนต์"  แสดงอยู่ 1 รายการ ถูกต้อง
- กล่องคอนเทนต์ แสดง"รายละเอียด" สคริปต์ ที่ AI Gen ให้ จากแบบที่เลือก A/B/C จากที่ผู้ใช้งานเลือก 
- แสดงวันที่ / เดือน / ปี ที่กดสร้างวคริปต์
- แสดงปุ่ม คัดลอกสคริปต์ / คัดลอกบรีฟทั้งหมด</t>
  </si>
  <si>
    <t>-ระบบแสดงรายการ บันทึกงาน : แบรนด์ขอแก้ แล้วถูกต้อง
-ระบบแสดงรอบแก้ฟรี 2 ครั้ง , ใช้ไป 1 ,เหลือ 1
-ระบบ disable  ปุ่ม ส่ง Draft แล้ว , แบรนด์ขอแก้
-ระบบแสดงวันที่ปัจจุบันที่ทำการกดปุ่มส่ง draft แล้ว ถูกต้อง
-ระบบแสดง วันนัดส่งรอบถัดไป  &lt; (Current date  3 วัน)  ถูกต้อง
-แสดงปุ่ม "ลบ"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</si>
  <si>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"งวดเงิน"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</t>
    </r>
    <r>
      <rPr>
        <rFont val="Tahoma"/>
        <b/>
        <color rgb="FFFF0000"/>
        <sz val="10.0"/>
      </rPr>
      <t xml:space="preserve">กรณีกดปุ่ม "ลบ" งวดการจ่าย </t>
    </r>
    <r>
      <rPr>
        <rFont val="Tahoma"/>
        <color rgb="FF000000"/>
        <sz val="10.0"/>
      </rPr>
      <t>ระบบแสดง error สอบถามถูกต้อง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93D93"/>
        <sz val="10.0"/>
        <u/>
      </rPr>
      <t xml:space="preserve">
</t>
    </r>
    <r>
      <rPr>
        <rFont val="Tahoma"/>
        <color rgb="FF000000"/>
        <sz val="10.0"/>
      </rPr>
      <t xml:space="preserve">- กด icon : แก้ไข 
- กด :  "งวดเงิน"
- กด : ลบรายการงวดที่มีอยุ่
- กด ลบ ใน popup
</t>
    </r>
  </si>
  <si>
    <r>
      <rPr>
        <rFont val="Tahoma"/>
        <color rgb="FF000000"/>
        <sz val="10.0"/>
      </rPr>
      <t xml:space="preserve">-ระบบแสดง error popup : </t>
    </r>
    <r>
      <rPr>
        <rFont val="Tahoma"/>
        <b/>
        <color rgb="FF000000"/>
        <sz val="10.0"/>
      </rPr>
      <t>ลบงวด</t>
    </r>
    <r>
      <rPr>
        <rFont val="Tahoma"/>
        <color rgb="FF000000"/>
        <sz val="10.0"/>
      </rPr>
      <t xml:space="preserve">
ลบงวดนี้?
-แสดงปุ่ม : ยกเลิก
-แสดงปุ่ม : ลบ
- หลังกดปุ่ม ลบ  งวดการจ่ายที่ลบออกไปไม่แสดงที่หน้า งวดเงิน </t>
    </r>
  </si>
  <si>
    <r>
      <rPr>
        <rFont val="Tahoma"/>
        <color rgb="FF000000"/>
        <sz val="10.0"/>
      </rPr>
      <t>ตรวจสอบ : หลังจากทำการแก้ไข draft เสร็จแล้ว</t>
    </r>
    <r>
      <rPr>
        <rFont val="Tahoma"/>
        <b/>
        <color rgb="FF1155CC"/>
        <sz val="10.0"/>
      </rPr>
      <t xml:space="preserve"> กรณี User : ส่งงานแก้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กดส่ง :  ส่งงานแก้ </t>
    </r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</si>
  <si>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  "มีการสร้างสคริปต์ &gt; 3 สคริปต์ และกดที่ "พื้นที่ว่าง" ในกล่องคอนเทนต์  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บอร์ดคอนเทนต์ 
- กล่องคอนเทนต์ : กดพื้นที่ว่าง
</t>
    </r>
  </si>
  <si>
    <t>-ระบบแสดงรายการ ส่งงานแก้ แล้วถูกต้อง
-ระบบแสดงรอบแก้ฟรี 2 ครั้ง , ใช้ไป 1 ,เหลือ 1
-ระบบ disable  ปุ่ม ส่ง Draft แล้ว , ส่งงานแก้
-ระบบแสดงวันที่ปัจจุบันที่ทำการกดปุ่มส่งส่งงานแก้แล้ว ถูกต้อง
-แสดงปุ่ม "ลบ"</t>
  </si>
  <si>
    <t>-  ระบบแสดงรายละเอียดสคริปต์ ทั้งหมด 
- ระบบแสดงปุ่ม : คัดลอกสคริปต์ / คัดลอกบรีฟทั้งหมด / แก้ไข
- ระบบแสดง กำหนดวันโพสต์ 
- ระบบแสดง ปุ่ม "ลบสคริปต์"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</si>
  <si>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กรณีกดปุ่ม "+แนบเอกสาร (PDF/JPG/PNG)" และทำการแนบเอกสารจนสำเร็จ 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</si>
  <si>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 : แบรนด์มีรอบแก้ฟรี 2 รอบ</t>
    </r>
    <r>
      <rPr>
        <rFont val="Tahoma"/>
        <b/>
        <color rgb="FF1155CC"/>
        <sz val="10.0"/>
      </rPr>
      <t xml:space="preserve"> กรณีทำการขอแก้รอบที่ 2 กดปุ่ม ในนัดส่ง draft แก้รอบถัดไป และกดส่งงานแก้แล้ว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-กรอกข้อมูลรายละเอียดที่แบรนด์ขอแก้
-✅ นับเป็นรอบแก้ 
-นัดส่ง draft แก้รอบถัดไป : &gt; (Current date  3 วัน)
-กด: ส่ง Drft แล้ว
-กด :ส่งงานแก้แล้ว</t>
    </r>
  </si>
  <si>
    <t>-ระบบแสดงรายการ บันทึกงาน : แบรนด์ขอแก้ แล้วถูกต้อง
-ระบบแสดงรอบแก้ฟรี 2 ครั้ง , ใช้ไป 2 ,เหลือ 0
-ระบบ disable  ปุ่ม ส่ง Draft แล้ว , ส่งงานแก้
-ระบบแสดงวันที่ปัจจุบันที่ทำการกดปุ่มส่ง draft แล้ว ถูกต้อง
-ระบบแสดง วันนัดส่งรอบถัดไป  &gt; (Current date  3 วัน)  ถูกต้อง
-แสดงปุ่ม "ลบ"</t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</si>
  <si>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  ทำการค้นหาสคริป "สกินแคร์"  โดยเลือก drop down : ใหม่สุด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บอร์ดคอนเทนต์ 
- ช่อง Search  :  Search สคริปต์ที่มีอยู่
- drop down : ใหม่สุด</t>
    </r>
  </si>
  <si>
    <t>- ระบบแสดง หน้า บอร์ดคอนเทนต์  มีรายการ "กล่องคอนเทนต์"  แสดงอยู่ &gt;3 รายการ ถูกต้อง
- กล่องคอนเทนต์ แสดง"รายละเอียด" สคริปต์ ที่ AI Gen ให้ จากแบบที่เลือก A/B/C จากที่ผู้ใช้งานเลือก 
- แสดงวันที่ / เดือน / ปี ที่กดสร้างวคริปต์
- แสดงปุ่ม คัดลอกสคริปต์ / คัดลอกบรีฟทั้งหมด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</si>
  <si>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กรณีกดปุ่ม : "download" เอกสาร (PDF/JPG/PNG)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</si>
  <si>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 : แบรนด์มีรอบแก้ฟรี 2 รอบ</t>
    </r>
    <r>
      <rPr>
        <rFont val="Tahoma"/>
        <b/>
        <color rgb="FF1155CC"/>
        <sz val="10.0"/>
      </rPr>
      <t xml:space="preserve"> กรณีทำการขอแก้รอบที่ 3 กดปุ่ม และกดส่งงานแก้แล้ว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-กรอกข้อมูลรายละเอียดที่แบรนด์ขอแก้
-✅ นับเป็นรอบแก้ 
-ไม่กรอก : นัดส่ง draft แก้รอบถัดไป 
-กด: ส่ง Drft แล้ว
-กด :ส่งงานแก้แล้ว</t>
    </r>
  </si>
  <si>
    <t>-ระบบแสดงรายการ บันทึกงาน : แบรนด์ขอแก้ แล้วถูกต้อง
-เกินรอบฟรีที่ตกลงไว้ (2 รอบ) — คุยขอบเขตหรือค่าแก้เพิ่มกับแบรนด์ได้
-ระบบแสดงรอบรอบแก้ฟรี 2 , ใช้ไป 3 , เหลือ -1
-ระบบ disable  ปุ่ม ส่ง Draft แล้ว , ส่งงานแก้
-ระบบแสดงวันที่ปัจจุบันที่ทำการกดปุ่มส่ง draft แล้ว ถูกต้อง
-แสดงปุ่ม "ลบ"</t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</si>
  <si>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  ทำการค้นหาสคริป "การเงิน" โดยเลือก drop down : QC สูงสุด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บอร์ดคอนเทนต์ 
- ช่อง Search  :  Search สคริปต์ที่มีอยู่
- drop down : QC สูงสุด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</si>
  <si>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กรณีกดปุ่ม "+แนบเอกสารหลายไฟล์ใน 1 ดีล"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</si>
  <si>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 : หลังจากแบรนด์มีแก้ฟรีเกิน 2 รอบ</t>
    </r>
    <r>
      <rPr>
        <rFont val="Tahoma"/>
        <b/>
        <color rgb="FF1155CC"/>
        <sz val="10.0"/>
      </rPr>
      <t xml:space="preserve"> กรณี User ทำการกดปุ่ม : งานผ่านแล้ว</t>
    </r>
    <r>
      <rPr>
        <rFont val="Tahoma"/>
        <color rgb="FF000000"/>
        <sz val="10.0"/>
      </rPr>
      <t xml:space="preserve"> ระบบแสดงหน้าจอถูกต้อง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-กด: งานผ่านแล้ว 
</t>
    </r>
  </si>
  <si>
    <t>-ระบบแสดงรายการ บันทึกงาน : แบรนด์ขอแก้ แล้วถูกต้อง
-ระบบแสดงรอบรอบแก้ฟรี 2 , ใช้ไป 3 , เหลือ -1
-ระบบ disable  ปุ่ม ส่ง Draft แล้ว , งานผ่านแล้ว
-ระบบแสดงวันที่ปัจจุบันที่ทำการกดปุ่มส่ง draft แล้ว ถูกต้อง
-แสดงปุ่ม "ลบ"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</si>
  <si>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 "ลบไฟล์แนบ ในกรณีที่มี 1 ไฟล์"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</si>
  <si>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กดดู "รายละเอียดสคริปต์ คอนเทนต์ใดก็ได้" </t>
    </r>
    <r>
      <rPr>
        <rFont val="Tahoma"/>
        <b/>
        <color rgb="FFFF0000"/>
        <sz val="10.0"/>
      </rPr>
      <t xml:space="preserve"> และ "กำหนดวันโพสต์"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บอร์ดคอนเทนต์ 
- กด : กล่อง คอนเทนต์
- กำหนดวันโพสต์ : วันที่ ปจจ  + 5 / เดือน /ปี</t>
    </r>
  </si>
  <si>
    <r>
      <rPr>
        <rFont val="Tahoma"/>
        <color rgb="FF000000"/>
        <sz val="10.0"/>
      </rPr>
      <t xml:space="preserve">ตรวจสอบ : กรณี User </t>
    </r>
    <r>
      <rPr>
        <rFont val="Tahoma"/>
        <b/>
        <color rgb="FFCC0000"/>
        <sz val="10.0"/>
      </rPr>
      <t xml:space="preserve">กดปุ่ม "ลบ" รายการ "ส่งงานแก้ รอบ 3" 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 xml:space="preserve">ระบบแสดง error 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-กดปุ่ม : "ลบ"
-ระบบ popup : ลบรายการนี้
-กดปุ่ม : "ลบ"</t>
    </r>
  </si>
  <si>
    <t>-รายการ ส่งงานแก้ รอบ 3 หายไปจากรายการ บันทึกงาน 
-ระบบแสดงรอบรอบแก้ฟรี 2 , ใช้ไป 3 , เหลือ -1
-ระบบ disable  ปุ่ม ส่ง Draft แล้ว , งานผ่านแล้ว
-ระบบแสดงวันที่ปัจจุบันที่ทำการกดปุ่มส่ง draft แล้ว ถูกต้อง
-แสดงปุ่ม "ลบ"</t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</si>
  <si>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กดดู "รายละเอียดสคริปต์ คอนเทนต์ใดก็ได้" </t>
    </r>
    <r>
      <rPr>
        <rFont val="Tahoma"/>
        <b/>
        <color rgb="FFFF0000"/>
        <sz val="10.0"/>
      </rPr>
      <t xml:space="preserve"> และแก้ไข "กำหนดวันโพสต์"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บอร์ดคอนเทนต์ 
- กด : กล่อง คอนเทนต์
- แก้ไข :  วันที่ย้อนหลัง / เดือนย้อนหลัง /ปี ปจจ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</si>
  <si>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 "ลบไฟล์แนบ ในกรณีที่มี &gt;1 ไฟล์"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</si>
  <si>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>งวดเงิน</t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</si>
  <si>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กดดู "รายละเอียดสคริปต์ คอนเทนต์ใดก็ได้" </t>
    </r>
    <r>
      <rPr>
        <rFont val="Tahoma"/>
        <b/>
        <color rgb="FFFF0000"/>
        <sz val="10.0"/>
      </rPr>
      <t xml:space="preserve">กรณี  กดปุ่ม "ลบสคริปต์ และ กด "ลบ" ที่ popup"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บอร์ดคอนเทนต์ 
- กด : กล่อง คอนเทนต์
- กด : ลบสคริปต์
- popup ลบสคริปต์ : ลบ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</si>
  <si>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CC0000"/>
        <sz val="10.0"/>
      </rPr>
      <t xml:space="preserve"> </t>
    </r>
    <r>
      <rPr>
        <rFont val="Tahoma"/>
        <color rgb="FF000000"/>
        <sz val="10.0"/>
      </rPr>
      <t xml:space="preserve">กดปุ่ม "+แนบเอกสาร (PDF/JPG/PNG)" </t>
    </r>
    <r>
      <rPr>
        <rFont val="Tahoma"/>
        <b/>
        <color rgb="FFFF0000"/>
        <sz val="10.0"/>
      </rPr>
      <t xml:space="preserve"> กรณี แนบไฟล์ผิดประเภท (Excel)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</si>
  <si>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>แยกปุ่มออกมาข้างนอก</t>
  </si>
  <si>
    <r>
      <rPr>
        <rFont val="Tahoma"/>
        <color rgb="FF000000"/>
        <sz val="10.0"/>
      </rPr>
      <t xml:space="preserve">ตรวจสอบเมนู : มูลค่าดีล ฿20,000 </t>
    </r>
    <r>
      <rPr>
        <rFont val="Tahoma"/>
        <b/>
        <color rgb="FF1155CC"/>
        <sz val="10.0"/>
      </rPr>
      <t xml:space="preserve">กรณี ทำการ + เพิ่มงวดที่ 1 โดยระบบวันครบ &lt; = (Current date 3 วัน)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 icon : แก้ไข 
- กด :  "งวดเงิน"
-ชื่องวด : งวดที่ 1 
-จำนวน : 10,000 B.
-กำหนดชำระ : &lt; = (Current date 3 วัน)
-กด : บันทึก</t>
    </r>
  </si>
  <si>
    <r>
      <rPr>
        <rFont val="Tahoma"/>
        <color rgb="FF000000"/>
        <sz val="10.0"/>
      </rPr>
      <t xml:space="preserve">-ระบบแสดง </t>
    </r>
    <r>
      <rPr>
        <rFont val="Tahoma"/>
        <b/>
        <color rgb="FF000000"/>
        <sz val="10.0"/>
      </rPr>
      <t>งวดการจ่าย</t>
    </r>
    <r>
      <rPr>
        <rFont val="Tahoma"/>
        <color rgb="FF000000"/>
        <sz val="10.0"/>
      </rPr>
      <t xml:space="preserve"> 
-ระบบแสดงงวดที่ 1 · 
-ระบบแสดงจำนวนยอดที่ต้องจ่าย 10,000 B. ถูกต้อง
-ระบบแสดงวันครบกำหนดจ่ายถูกต้อง
-ระบบแสดง ปุ่ม รับเงิน / ลบ
</t>
    </r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</si>
  <si>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กดดู "รายละเอียดสคริปต์ คอนเทนต์ใดก็ได้" </t>
    </r>
    <r>
      <rPr>
        <rFont val="Tahoma"/>
        <b/>
        <color rgb="FFFF0000"/>
        <sz val="10.0"/>
      </rPr>
      <t xml:space="preserve"> กรณี  กดปุ่ม "ลบสคริปต์ และ กด "ยกเลิก" ที่ popup"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กดปุ่ม : บอร์ดคอนเทนต์ 
- กด : กล่อง คอนเทนต์
- กด : ลบสคริปต์
- popup ลบสคริปต์ : ยกเลิก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</si>
  <si>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CC0000"/>
        <sz val="10.0"/>
      </rPr>
      <t xml:space="preserve"> </t>
    </r>
    <r>
      <rPr>
        <rFont val="Tahoma"/>
        <color rgb="FF000000"/>
        <sz val="10.0"/>
      </rPr>
      <t xml:space="preserve">กดปุ่ม "+แนบเอกสาร (PDF/JPG/PNG)" </t>
    </r>
    <r>
      <rPr>
        <rFont val="Tahoma"/>
        <b/>
        <color rgb="FFFF0000"/>
        <sz val="10.0"/>
      </rPr>
      <t xml:space="preserve"> กรณี แนบไฟล์ขนาดใหญ่เกินกำหนด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</si>
  <si>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 : มูลค่าดีล ฿20,000 </t>
    </r>
    <r>
      <rPr>
        <rFont val="Tahoma"/>
        <b/>
        <color rgb="FF1155CC"/>
        <sz val="10.0"/>
      </rPr>
      <t xml:space="preserve">กรณี ทำการ + เพิ่มงวดที่ 2 โดยระบบวันครบ &lt; = (Current date 3 วัน)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-ชื่องวด : งวดที่ 2 
-จำนวน : 10,000 B.
-กำหนดชำระ : &lt; = (Current date 3 วัน)
-กด : บันทึก</t>
    </r>
  </si>
  <si>
    <r>
      <rPr>
        <rFont val="Tahoma"/>
        <color rgb="FF000000"/>
        <sz val="10.0"/>
      </rPr>
      <t xml:space="preserve">-ระบบแสดง </t>
    </r>
    <r>
      <rPr>
        <rFont val="Tahoma"/>
        <b/>
        <color rgb="FF000000"/>
        <sz val="10.0"/>
      </rPr>
      <t>งวดการจ่าย</t>
    </r>
    <r>
      <rPr>
        <rFont val="Tahoma"/>
        <color rgb="FF000000"/>
        <sz val="10.0"/>
      </rPr>
      <t xml:space="preserve"> 
-ระบบแสดงงวดที่ 2 · 
-ระบบแสดงจำนวนยอดที่ต้องจ่าย 10,000 B. ถูกต้อง
-ระบบแสดงวันครบกำหนดจ่ายถูกต้อง
-ระบบแสดง ปุ่ม รับเงิน / ลบ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</si>
  <si>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1155CC"/>
        <sz val="10.0"/>
      </rPr>
      <t xml:space="preserve"> กรณี กดปุ่ม "+ใบเสนอราคา"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</si>
  <si>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 หน้า สไตล์คุณ  </t>
    </r>
    <r>
      <rPr>
        <rFont val="Tahoma"/>
        <b/>
        <color rgb="FF1155CC"/>
        <sz val="10.0"/>
      </rPr>
      <t xml:space="preserve">กรณี "กรอกข้อมูลครบทุก Field" และกดปุ่ม "บันทึกสไตล์"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 สไตล์คุณ 
- All field : กรอกข้อมูลสำเร็จ
- กดปุ่ม : "บันทึกสไตล์"
</t>
    </r>
  </si>
  <si>
    <t>- ระบบแสดงข้อมูลบันทึกสไตล์ ถูกต้องตามที่ User กรอกข้อมูล</t>
  </si>
  <si>
    <r>
      <rPr>
        <rFont val="Tahoma"/>
        <color rgb="FF000000"/>
        <sz val="10.0"/>
      </rPr>
      <t xml:space="preserve">ตรวจสอบ :  </t>
    </r>
    <r>
      <rPr>
        <rFont val="Tahoma"/>
        <b/>
        <color rgb="FF1155CC"/>
        <sz val="10.0"/>
      </rPr>
      <t xml:space="preserve">กรณี User กด รับเงิน "งวดที่ 1" โดยรับเงิน รับบางส่วน (มัดจำ) 10,000 B. และหักภาษี 3 % 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-เลือกรับเงินบางส่วน : 10,000 B.
-แบรนด์หักภาษี ณ 3% : 300 B.
-เงินเข้าบัญชีจริง : 9,700 B.
-วันที่รับเงิน : = Current date 
- ✅ ได้รับ 50 ทวิ
- กดปุ่ม : บันทึกรับเงิน</t>
    </r>
  </si>
  <si>
    <r>
      <rPr>
        <rFont val="Tahoma"/>
        <b/>
        <color rgb="FF000000"/>
        <sz val="10.0"/>
      </rPr>
      <t xml:space="preserve">หน้ารับเงินงวดนี้
</t>
    </r>
    <r>
      <rPr>
        <rFont val="Tahoma"/>
        <color rgb="FF000000"/>
        <sz val="10.0"/>
      </rPr>
      <t xml:space="preserve">-ระบบแสดง popup ออกใบเสร็จ?
บันทึกรับเงินแล้ว — ออกใบเสร็จรับเงิน ฿10000 ให้แบรนด์เลยไหม?
-ปุ่ม : ยกเลิก , ออกใบเสร็จ
</t>
    </r>
    <r>
      <rPr>
        <rFont val="Tahoma"/>
        <b/>
        <color rgb="FF000000"/>
        <sz val="10.0"/>
      </rPr>
      <t>หน้าเอกสาร</t>
    </r>
    <r>
      <rPr>
        <rFont val="Tahoma"/>
        <color rgb="FF000000"/>
        <sz val="10.0"/>
      </rPr>
      <t xml:space="preserve">
-ระบบแสดงใบเสร็จรับเงิน 
-เลขที่: RC-XXXX-XXX เลขรันตลอด
-ระบบแสดงข้อมูลไฟล์ผู้ขาย (จากโปรไฟล์)
-ระบบแสดงข้อมูลลูกค้า
-วันที่ออก / วันที่ครบกำหนด
-ระบบแสดงรายการ ราคารวมก่อน VAT / ภาษีหัก ณ ที่จ่าย / ยอดชำระทั้งสิ้น ถูกต้อง
-กดออกใบเสร็จ
</t>
    </r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>-แสดงรายการดีลสถานะ : รอจ่าย 
-แสดงราคา 20,000 รับแล้ว ฿10,000 · ค้าง ฿10,000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</si>
  <si>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1155CC"/>
        <sz val="10.0"/>
      </rPr>
      <t xml:space="preserve"> กรณี กดปุ่ม "+ใบแจ้งหนี้"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</si>
  <si>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 หน้า สไตล์คุณ  </t>
    </r>
    <r>
      <rPr>
        <rFont val="Tahoma"/>
        <b/>
        <color rgb="FF1155CC"/>
        <sz val="10.0"/>
      </rPr>
      <t xml:space="preserve">กรณี "กรอกข้อมูลครบทุก Field " </t>
    </r>
    <r>
      <rPr>
        <rFont val="Tahoma"/>
        <b/>
        <color rgb="FFFF0000"/>
        <sz val="10.0"/>
      </rPr>
      <t>ยกเว้น Field ในหัวข้อ "วิธีพูด" และกดปุ่ม "บันทึกสไตล์"</t>
    </r>
    <r>
      <rPr>
        <rFont val="Tahoma"/>
        <b/>
        <color rgb="FF1155CC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 สไตล์คุณ 
- Some field : กรอกข้อมูลสำเร็จ
- กดปุ่ม : "บันทึกสไตล์"
</t>
    </r>
  </si>
  <si>
    <t xml:space="preserve">- ระบบแสดงข้อมูลบันทึกสไตล์สำเร็จ </t>
  </si>
  <si>
    <r>
      <rPr>
        <rFont val="Tahoma"/>
        <color rgb="FF000000"/>
        <sz val="10.0"/>
      </rPr>
      <t xml:space="preserve">ตรวจสอบ :  </t>
    </r>
    <r>
      <rPr>
        <rFont val="Tahoma"/>
        <b/>
        <color rgb="FF1155CC"/>
        <sz val="10.0"/>
      </rPr>
      <t xml:space="preserve">กรณี User กด รับเงิน "งวดที่ 2" โดยรับเงิน รับเต็มยอด ฿10,000 และไม่หักภาษี 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-เลือกรับเงินบางส่วน : 10,000 B.
-เงินเข้าบัญชีจริง :10,000 B.
-วันที่รับเงิน : = Current date 
- กดปุ่ม : บันทึกรับเงิน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</si>
  <si>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1155CC"/>
        <sz val="10.0"/>
      </rPr>
      <t xml:space="preserve"> กรณี กดปุ่ม "+ใบเสร็จรับเงิน"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</si>
  <si>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b/>
        <color rgb="FF000000"/>
        <sz val="10.0"/>
      </rPr>
      <t xml:space="preserve">หน้ารับเงินงวดนี้
</t>
    </r>
    <r>
      <rPr>
        <rFont val="Tahoma"/>
        <color rgb="FF000000"/>
        <sz val="10.0"/>
      </rPr>
      <t xml:space="preserve">-ระบบแสดง popup ออกใบเสร็จ?
บันทึกรับเงินแล้ว — ออกใบเสร็จรับเงิน ฿10000 ให้แบรนด์เลยไหม?
-ปุ่ม : ยกเลิก , ออกใบเสร็จ
</t>
    </r>
    <r>
      <rPr>
        <rFont val="Tahoma"/>
        <b/>
        <color rgb="FF000000"/>
        <sz val="10.0"/>
      </rPr>
      <t>หน้าเอกสาร</t>
    </r>
    <r>
      <rPr>
        <rFont val="Tahoma"/>
        <color rgb="FF000000"/>
        <sz val="10.0"/>
      </rPr>
      <t xml:space="preserve">
-ระบบแสดงใบเสร็จรับเงิน 
-เลขที่: RC-XXXX-XXX เลขรันตลอด
-ระบบแสดงข้อมูลไฟล์ผู้ขาย (จากโปรไฟล์)
-ระบบแสดงข้อมูลลูกค้า
-วันที่ออก / วันที่ครบกำหนด
-ระบบแสดงรายการ ราคารวมก่อน VAT / ภาษีหัก ณ ที่จ่าย / ยอดชำระทั้งสิ้น ถูกต้อง
-กดออกใบเสร็จ
</t>
    </r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-แสดงรายการดีลสถานะ : จ่ายแล้ว
</t>
    </r>
  </si>
  <si>
    <r>
      <rPr>
        <rFont val="Tahoma"/>
        <color rgb="FF000000"/>
        <sz val="10.0"/>
      </rPr>
      <t xml:space="preserve">ตรวจสอบ หน้า สไตล์คุณ  </t>
    </r>
    <r>
      <rPr>
        <rFont val="Tahoma"/>
        <b/>
        <color rgb="FFFF0000"/>
        <sz val="10.0"/>
      </rPr>
      <t xml:space="preserve">กรณี "กรอกข้อมูลทุก Field  ด้วย อักขระพิเศษ" </t>
    </r>
    <r>
      <rPr>
        <rFont val="Tahoma"/>
        <b/>
        <color rgb="FF1155CC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 สไตล์คุณ 
- All field :  : กรอกข้อมูลสำเร็จ
- กดปุ่ม : "บันทึกสไตล์"
</t>
    </r>
  </si>
  <si>
    <r>
      <rPr>
        <rFont val="Tahoma"/>
        <color rgb="FF000000"/>
        <sz val="10.0"/>
      </rPr>
      <t xml:space="preserve">ตรวจสอบ :  </t>
    </r>
    <r>
      <rPr>
        <rFont val="Tahoma"/>
        <b/>
        <color rgb="FF1155CC"/>
        <sz val="10.0"/>
      </rPr>
      <t xml:space="preserve">กรณี User กด รับเงิน "งวดที่ 1" โดยรับเงิน ระบุยอดเอง  ฿3,800 กรณี  อัตรา (%) =  3 %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-เลือกระบุยอดเอง : 3,800 B.
-ระบุอัตรา (%) =  3 %
-วันที่รับเงิน : = Current date 
- ✅ ได้รับ 50 ทวิ
- กดปุ่ม : บันทึกรับเงิน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</si>
  <si>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1155CC"/>
        <sz val="10.0"/>
      </rPr>
      <t xml:space="preserve"> กรณี กดปุ่ม "+ใบกำกับภาษี"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</si>
  <si>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b/>
        <color rgb="FF000000"/>
        <sz val="10.0"/>
      </rPr>
      <t xml:space="preserve">หน้ารับเงินงวดนี้
</t>
    </r>
    <r>
      <rPr>
        <rFont val="Tahoma"/>
        <color rgb="FF000000"/>
        <sz val="10.0"/>
      </rPr>
      <t xml:space="preserve">-ระบบแสดง popup ออกใบเสร็จ?
บันทึกรับเงินแล้ว — ออกใบเสร็จรับเงิน ฿10000 ให้แบรนด์เลยไหม?
-ปุ่ม : ยกเลิก , ออกใบเสร็จ
</t>
    </r>
    <r>
      <rPr>
        <rFont val="Tahoma"/>
        <b/>
        <color rgb="FF000000"/>
        <sz val="10.0"/>
      </rPr>
      <t>หน้าเอกสาร</t>
    </r>
    <r>
      <rPr>
        <rFont val="Tahoma"/>
        <color rgb="FF000000"/>
        <sz val="10.0"/>
      </rPr>
      <t xml:space="preserve">
-ระบบแสดงใบเสร็จรับเงิน 
-เลขที่: RC-XXXX-XXX เลขรันตลอด
-ระบบแสดงข้อมูลไฟล์ผู้ขาย (จากโปรไฟล์)
-ระบบแสดงข้อมูลลูกค้า
-วันที่ออก / วันที่ครบกำหนด
-ระบบแสดงรายการ ราคารวมก่อน VAT / ภาษีหัก ณ ที่จ่าย / ยอดชำระทั้งสิ้น ถูกต้อง
-กดออกใบเสร็จ
</t>
    </r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 xml:space="preserve">-แสดงรายการดีลสถานะ : จ่ายแล้ว
</t>
    </r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</si>
  <si>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กดย้ายสถานะคอนเทนต์ "อนุมัติแล้ว" 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บอร์ดคอนเทนต์ 
- ย้ายสถานะ  :  อนุมัติแล้ว
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</si>
  <si>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FF0000"/>
        <sz val="10.0"/>
      </rPr>
      <t xml:space="preserve">กรณีกด "เพิ่มงวด"กรอกข้อมูล Filed : ชื่องวด "อักขระพิเศษ"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กด "เพิ่มงวด" 
- Field กำหนดชำระ : วัน/เดือน/ปี "อักขระพิเศษ" 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</si>
  <si>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093D93"/>
        <sz val="10.0"/>
      </rPr>
      <t xml:space="preserve"> "เอกสาร"</t>
    </r>
    <r>
      <rPr>
        <rFont val="Tahoma"/>
        <color rgb="FF000000"/>
        <sz val="10.0"/>
      </rPr>
      <t xml:space="preserve"> กดเลือกประเภทเอกสาร ระบบสามารถเลือกประเภทเอกสารได้</t>
    </r>
    <r>
      <rPr>
        <rFont val="Tahoma"/>
        <b/>
        <color rgb="FF1155CC"/>
        <sz val="10.0"/>
      </rPr>
      <t xml:space="preserve"> กรณีเลือก ประเภท "ใบกำกับภาษี" แสดงหน้าจอถูกต้อง </t>
    </r>
    <r>
      <rPr>
        <rFont val="Tahoma"/>
        <color rgb="FF093D93"/>
        <sz val="10.0"/>
        <u/>
      </rPr>
      <t xml:space="preserve">
</t>
    </r>
  </si>
  <si>
    <t>ข้ามไปก่อน อาจจะไม่มีรอ CF</t>
  </si>
  <si>
    <r>
      <rPr>
        <rFont val="Tahoma"/>
        <b/>
        <color rgb="FF000000"/>
        <sz val="10.0"/>
      </rPr>
      <t xml:space="preserve">หน้ารับเงินงวดนี้
</t>
    </r>
    <r>
      <rPr>
        <rFont val="Tahoma"/>
        <color rgb="FF000000"/>
        <sz val="10.0"/>
      </rPr>
      <t xml:space="preserve">-ระบบแสดง popup ออกใบเสร็จ?
บันทึกรับเงินแล้ว — ออกใบเสร็จรับเงิน ฿10000 ให้แบรนด์เลยไหม?
-ปุ่ม : ยกเลิก , ออกใบเสร็จ
</t>
    </r>
    <r>
      <rPr>
        <rFont val="Tahoma"/>
        <b/>
        <color rgb="FF000000"/>
        <sz val="10.0"/>
      </rPr>
      <t>หน้าเอกสาร</t>
    </r>
    <r>
      <rPr>
        <rFont val="Tahoma"/>
        <color rgb="FF000000"/>
        <sz val="10.0"/>
      </rPr>
      <t xml:space="preserve">
-ระบบแสดงใบเสร็จรับเงิน 
-เลขที่: RC-XXXX-XXX เลขรันตลอด
-ระบบแสดงข้อมูลไฟล์ผู้ขาย (จากโปรไฟล์)
-ระบบแสดงข้อมูลลูกค้า
-วันที่ออก / วันที่ครบกำหนด
-ระบบแสดงรายการ ราคารวมก่อน VAT / ภาษีหัก ณ ที่จ่าย / ยอดชำระทั้งสิ้น ถูกต้อง
-กดออกใบเสร็จ
</t>
    </r>
    <r>
      <rPr>
        <rFont val="Tahoma"/>
        <b/>
        <color rgb="FF000000"/>
        <sz val="10.0"/>
      </rPr>
      <t xml:space="preserve">หน้าหลัก
</t>
    </r>
    <r>
      <rPr>
        <rFont val="Tahoma"/>
        <color rgb="FF000000"/>
        <sz val="10.0"/>
      </rPr>
      <t>-แสดงรายการดีลสถานะ : จ่ายแล้ว
-แสดงราคา 20,000</t>
    </r>
  </si>
  <si>
    <r>
      <rPr>
        <rFont val="Tahoma"/>
        <color rgb="FF000000"/>
        <sz val="10.0"/>
      </rPr>
      <t xml:space="preserve">ตรวจสอบ: </t>
    </r>
    <r>
      <rPr>
        <rFont val="Tahoma"/>
        <b/>
        <color rgb="FFFF0000"/>
        <sz val="10.0"/>
      </rPr>
      <t xml:space="preserve">กรณีกดปุ่ม "ลบ" งวดการจ่าย งวดที่ 2  </t>
    </r>
    <r>
      <rPr>
        <rFont val="Tahoma"/>
        <color rgb="FF000000"/>
        <sz val="10.0"/>
      </rPr>
      <t>ระบบแสดง error สอบถามถูกต้อง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กด : ลบรายการงวดที่มีอยุ่
- กด ลบ ใน popup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</si>
  <si>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"เอกสาร" </t>
    </r>
    <r>
      <rPr>
        <rFont val="Tahoma"/>
        <color rgb="FF000000"/>
        <sz val="10.0"/>
      </rPr>
      <t xml:space="preserve">เลือก ประเภท "ใบกำกับภาษี" กรณี  </t>
    </r>
    <r>
      <rPr>
        <rFont val="Tahoma"/>
        <b/>
        <color rgb="FF1155CC"/>
        <sz val="10.0"/>
      </rPr>
      <t xml:space="preserve">"+กดเพิ่มรายการ" และกรอกข้อมูลครบถ้วน </t>
    </r>
    <r>
      <rPr>
        <rFont val="Tahoma"/>
        <color rgb="FF000000"/>
        <sz val="10.0"/>
      </rPr>
      <t xml:space="preserve">ระบบคำนวณยอดชำระทั้งสิ้นและ แสดงหน้าจอถูกต้อง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</si>
  <si>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-ระบบแสดง error popup : </t>
    </r>
    <r>
      <rPr>
        <rFont val="Tahoma"/>
        <b/>
        <color rgb="FF000000"/>
        <sz val="10.0"/>
      </rPr>
      <t>ลบงวด</t>
    </r>
    <r>
      <rPr>
        <rFont val="Tahoma"/>
        <color rgb="FF000000"/>
        <sz val="10.0"/>
      </rPr>
      <t xml:space="preserve">
ลบงวดนี้?
-แสดงปุ่ม : ยกเลิก
-แสดงปุ่ม : ลบ
- หลังกดปุ่ม ลบ  งวดการจ่ายที่ลบออกไปไม่แสดงที่หน้า งวดเงิน </t>
    </r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</si>
  <si>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กดย้ายสถานะคอนเทนต์ "จ่อคิวโพสต์" 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บอร์ดคอนเทนต์ 
- ย้ายสถานะ  : จ่อคิวโพสต์
</t>
    </r>
  </si>
  <si>
    <t>เอกสาร</t>
  </si>
  <si>
    <t>เมนูช่วยร่างข้อความ</t>
  </si>
  <si>
    <r>
      <rPr>
        <rFont val="Tahoma"/>
        <color rgb="FF000000"/>
        <sz val="10.0"/>
      </rPr>
      <t xml:space="preserve">ตรวจสอบ หน้า บอร์ดคอนเทนต์  </t>
    </r>
    <r>
      <rPr>
        <rFont val="Tahoma"/>
        <b/>
        <color rgb="FF1155CC"/>
        <sz val="10.0"/>
      </rPr>
      <t xml:space="preserve">กรณี กดย้ายสถานะคอนเทนต์ "โพสต์แล้ว"  </t>
    </r>
    <r>
      <rPr>
        <rFont val="Tahoma"/>
        <color rgb="FF000000"/>
        <sz val="10.0"/>
      </rPr>
      <t xml:space="preserve">ระบบแสดงหน้าจอถูกต้อง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กดปุ่ม : บอร์ดคอนเทนต์ 
- ย้ายสถานะ  : โพสต์แล้ว
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</si>
  <si>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>"เอกสาร"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กรณีกดปุ่ม "+แนบเอกสาร (PDF/JPG/PNG)" และทำการแนบเอกสารจนสำเร็จ 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</si>
  <si>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กดปุ่ม "ต่อรองราคา"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ต่อรองราคา</t>
    </r>
  </si>
  <si>
    <t>-ระบบแสดงไฟล์สัญญา : RC-XXXX-XXX.pdf
-แสดงปุ่ม : ดาวน์โหลด
-แสดงปุ่ม :  ลบ</t>
  </si>
  <si>
    <t>-ระบบแสดงหน้า ช่วยร่าง ข้อความ ตอบลูกค้าได้อย่างครบถ้วนและถูกต้อง
-ระบบแสดง :  เครดิต AI เหลือเดือนนี้: XX  ครั้ง
- ระบบแสดง ปุ่ม : คัดลอก / ร่างใหม่</t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</si>
  <si>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>"เอกสาร"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กรณีกดปุ่ม : "download" เอกสาร (PDF/JPG/PNG)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</si>
  <si>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มีเครดิต AI : XX ครั้ง และกดปุ่ม "ถามรายละเอียดเพิ่มเติม"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ถามรายละเอียดเพิ่มเติม</t>
    </r>
  </si>
  <si>
    <t xml:space="preserve">-ระบบดาวน์โหลดเอกสารได้วำเร็จ 
-ไฟล์เอกสารแสดงรายละเอียด ใบเสร็จรับเงิน ถูกต้อง 
</t>
  </si>
  <si>
    <t>-ระบบแสดงหน้า ช่วยร่าง ข้อความ ตอบลูกค้าได้อย่างครบถ้วนและถูกต้อง
-ระบบแสดง :  เครดิต AI ลดลงเหลือเดือนนี้: XX  ครั้ง
- ระบบแสดง ปุ่ม : คัดลอก / ร่างใหม่</t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</si>
  <si>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>"เอกสาร"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กรณีกดปุ่ม "+แนบเอกสารหลายไฟล์ใน 1 ดีล"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</si>
  <si>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>Pass</t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</si>
  <si>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กดปุ่ม "ร่างใหม่" ใน เมนู "ต่อรองราคา"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ต่อรองราคา
-กดปุ่ม : "ร่างใหม่"</t>
    </r>
  </si>
  <si>
    <t>-ระบบสามารถแนบเอกสารหลายไฟล์ได้สำเร็จและ แสดงชื่อไฟล์สัญญา : RC-XXXX-XXX.pdf ทั้งหมดถูกต้อง
-แสดงปุ่ม : ดาวน์โหลด
-แสดงปุ่ม :  ลบ</t>
  </si>
  <si>
    <t>%</t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</si>
  <si>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1155CC"/>
        <sz val="10.0"/>
      </rPr>
      <t xml:space="preserve"> "ลบไฟล์แนบ ในกรณีที่มี 1 ไฟล์"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</si>
  <si>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>Fail</t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</si>
  <si>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กดปุ่ม "คัดลอก" ใน เมนู "ต่อรองราคา"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ต่อรองราคา
-กดปุ่ม : "คัดลอก"</t>
    </r>
  </si>
  <si>
    <t xml:space="preserve">ระบบแสดง popup ลบไฟล์  : ลบไฟล์นี้?
-แสดงปุ่ม : ยกเลิก
-แสดงปุ่ม : ลบ
-หลังจากกดปุ่ม : ลบ ระบบแสดง "ยังไม่มีไฟล์"
</t>
  </si>
  <si>
    <t xml:space="preserve">-ระบบสามารถทำการ คัดลอก ข้อความทั้งหมดได้
-ระบบแสดง :  เครดิต AI เหลือเดือนนี้: XX  ครั้ง
</t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</si>
  <si>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093D93"/>
        <sz val="10.0"/>
      </rPr>
      <t xml:space="preserve">  "เอกสาร"</t>
    </r>
    <r>
      <rPr>
        <rFont val="Tahoma"/>
        <b/>
        <color rgb="FFCC0000"/>
        <sz val="10.0"/>
      </rPr>
      <t xml:space="preserve"> </t>
    </r>
    <r>
      <rPr>
        <rFont val="Tahoma"/>
        <b/>
        <color rgb="FF1155CC"/>
        <sz val="10.0"/>
      </rPr>
      <t xml:space="preserve"> กรณี "ลบไฟล์แนบ ในกรณีที่มี &gt;1 ไฟล์"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</si>
  <si>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กดปุ่ม "ตอบรับดีล"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ตอบรับดีล</t>
    </r>
  </si>
  <si>
    <t xml:space="preserve">ระบบแสดง popup ลบไฟล์  : ลบไฟล์นี้?
-แสดงปุ่ม : ยกเลิก
-แสดงปุ่ม : ลบ
-หลังจากกดปุ่ม : ลบ ระบบแสดงไฟล์สัญญาที่ยังเหลืออยู่ในดีล
</t>
  </si>
  <si>
    <t>Pending</t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</si>
  <si>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 xml:space="preserve"> "เอกสาร"</t>
    </r>
    <r>
      <rPr>
        <rFont val="Tahoma"/>
        <b/>
        <color rgb="FFCC0000"/>
        <sz val="10.0"/>
      </rPr>
      <t xml:space="preserve"> </t>
    </r>
    <r>
      <rPr>
        <rFont val="Tahoma"/>
        <color rgb="FF000000"/>
        <sz val="10.0"/>
      </rPr>
      <t xml:space="preserve">กดปุ่ม "+แนบเอกสาร (PDF/JPG/PNG)" </t>
    </r>
    <r>
      <rPr>
        <rFont val="Tahoma"/>
        <b/>
        <color rgb="FFFF0000"/>
        <sz val="10.0"/>
      </rPr>
      <t xml:space="preserve"> กรณี แนบไฟล์ผิดประเภท (Excel)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</si>
  <si>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กดปุ่ม "ปฎิเสธสุขภาพ"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ปฎิเสธสุขภาพ</t>
    </r>
  </si>
  <si>
    <t>ไม่สามารถกดเลือกไฟล์ที่ไม่ใช่ (PDF/JPG/PNG) ได้ตั้งแต่แรก</t>
  </si>
  <si>
    <t xml:space="preserve">สร้างใบเสนอราคา </t>
  </si>
  <si>
    <t>Not Applicable</t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</si>
  <si>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>"เอกสาร"</t>
    </r>
    <r>
      <rPr>
        <rFont val="Tahoma"/>
        <b/>
        <color rgb="FFCC0000"/>
        <sz val="10.0"/>
      </rPr>
      <t xml:space="preserve"> </t>
    </r>
    <r>
      <rPr>
        <rFont val="Tahoma"/>
        <color rgb="FF000000"/>
        <sz val="10.0"/>
      </rPr>
      <t xml:space="preserve">กดปุ่ม "+แนบเอกสาร (PDF/JPG/PNG)" </t>
    </r>
    <r>
      <rPr>
        <rFont val="Tahoma"/>
        <b/>
        <color rgb="FFFF0000"/>
        <sz val="10.0"/>
      </rPr>
      <t xml:space="preserve"> กรณี แนบไฟล์ขนาดใหญ่เกินกำหนด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</si>
  <si>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>"เอกสาร"</t>
    </r>
    <r>
      <rPr>
        <rFont val="Tahoma"/>
        <b/>
        <color rgb="FF1155CC"/>
        <sz val="10.0"/>
      </rPr>
      <t xml:space="preserve"> กรณี กดปุ่ม "+ใบเสนอราคา"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</si>
  <si>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 ใบเสนอราคา " </t>
    </r>
    <r>
      <rPr>
        <rFont val="Tahoma"/>
        <b/>
        <color rgb="FF1155CC"/>
        <sz val="10.0"/>
      </rPr>
      <t>กรณี สร้างใบเสนอราคา "ดีลอยู่สถานะ "ทาบทาม"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</si>
  <si>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>-ระบบแสดงใบเสนอราคา
-ประเภท:ใบเสนอราคา  เลขที่: QT-2569-007
* ใบกำกับภาษีออกได้เมื่อจดทะเบียน VAT — เปิดที่โปรไฟล์ธุรกิจ
-ข้อมูลผู้ขาย (จากโปรไฟล์)
-ข้อมูลลูกค้า
-วันที่ออก
-วันที่ครบกำหนด
-แสดงรายละเอียด รายการสินค้า/บริการ
-แสดงปุ่ม : ยกเลิก
-แสดงปุ่ม :ออกเอกสาร</t>
  </si>
  <si>
    <t>Summary Execute Rate</t>
  </si>
  <si>
    <t>Summary Pass Rate</t>
  </si>
  <si>
    <r>
      <rPr>
        <rFont val="Tahoma"/>
        <color rgb="FF000000"/>
        <sz val="10.0"/>
      </rPr>
      <t xml:space="preserve">ตรวจสอบเมนู : </t>
    </r>
    <r>
      <rPr>
        <rFont val="Tahoma"/>
        <b/>
        <color rgb="FF093D93"/>
        <sz val="10.0"/>
      </rPr>
      <t>"เอกสาร"</t>
    </r>
    <r>
      <rPr>
        <rFont val="Tahoma"/>
        <b/>
        <color rgb="FF1155CC"/>
        <sz val="10.0"/>
      </rPr>
      <t xml:space="preserve"> กรณี กดปุ่ม "+ใบแจ้งหนี้"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</si>
  <si>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>-ระบบแสดงใบแจ้งหนี้
-ประเภท: ใบแจ้งหนี้ เลขที่: INV-2569-002
* ใบกำกับภาษีออกได้เมื่อจดทะเบียน VAT — เปิดที่โปรไฟล์ธุรกิจ
-ข้อมูลผู้ขาย (จากโปรไฟล์)
-ข้อมูลลูกค้า
-วันที่ออก
-วันที่ครบกำหนด
-แสดงรายละเอียด รายการสินค้า/บริการ
-แสดงปุ่ม : ยกเลิก
-แสดงปุ่ม :ออกเอกสาร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</si>
  <si>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 ใบเสนอราคา </t>
    </r>
    <r>
      <rPr>
        <rFont val="Tahoma"/>
        <color rgb="FFFF0000"/>
        <sz val="10.0"/>
      </rPr>
      <t xml:space="preserve">" </t>
    </r>
    <r>
      <rPr>
        <rFont val="Tahoma"/>
        <b/>
        <color rgb="FFFF0000"/>
        <sz val="10.0"/>
      </rPr>
      <t>กรณี Field เลขผู้เสียภาษี "กรอกเลข &gt; 13 หลัก "</t>
    </r>
    <r>
      <rPr>
        <rFont val="Tahoma"/>
        <color rgb="FF000000"/>
        <sz val="10.0"/>
      </rPr>
      <t xml:space="preserve"> 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</si>
  <si>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093D93"/>
        <sz val="10.0"/>
      </rPr>
      <t xml:space="preserve"> "เอกสาร"</t>
    </r>
    <r>
      <rPr>
        <rFont val="Tahoma"/>
        <b/>
        <color rgb="FF1155CC"/>
        <sz val="10.0"/>
      </rPr>
      <t xml:space="preserve"> กรณี กดปุ่ม "+ใบเสร็จรับเงิน"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</si>
  <si>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>-ระบบแสดงใบเสร็จรับเงิน
-ประเภท:ใบเสร็จรับเงิน เลขที่: QT-2569-007
* ใบกำกับภาษีออกได้เมื่อจดทะเบียน VAT — เปิดที่โปรไฟล์ธุรกิจ
-ข้อมูลผู้ขาย (จากโปรไฟล์)
-ข้อมูลลูกค้า
-วันที่ออก
-วันที่ครบกำหนด
-แสดงรายละเอียด รายการสินค้า/บริการ
-แสดงปุ่ม : ยกเลิก
-แสดงปุ่ม :ออกเอกสาร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</si>
  <si>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FF0000"/>
        <sz val="10.0"/>
      </rPr>
      <t>กรณี Field ผู้ติดต่อ / ที่อยู่ลูกค้า / หมายเหตุ "กรอกอักขระพิเศษ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</si>
  <si>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093D93"/>
        <sz val="10.0"/>
      </rPr>
      <t xml:space="preserve"> "เอกสาร"</t>
    </r>
    <r>
      <rPr>
        <rFont val="Tahoma"/>
        <b/>
        <color rgb="FF1155CC"/>
        <sz val="10.0"/>
      </rPr>
      <t xml:space="preserve"> กรณี กดปุ่ม "+ใบกำกับภาษี"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</si>
  <si>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"กรอกข้อมูลลูกค้าครบถ้วน และกด ✔️ บันทึกข้อมูลกลับเข้าแบรนด์" </t>
    </r>
    <r>
      <rPr>
        <rFont val="Tahoma"/>
        <color rgb="FF000000"/>
        <sz val="10.0"/>
      </rPr>
      <t xml:space="preserve">ระบแสดงหน้าจอถูกต้อง 
</t>
    </r>
    <r>
      <rPr>
        <rFont val="Tahoma"/>
        <color rgb="FF093D93"/>
        <sz val="10.0"/>
        <u/>
      </rPr>
      <t xml:space="preserve">
</t>
    </r>
  </si>
  <si>
    <t>-ระบบแสดงใบเสร็จรับเงิน
-ประเภท:ใบกำกับภาษี  เลขที่: TX-2569-002
* ใบกำกับภาษีออกได้เมื่อจดทะเบียน VAT — เปิดที่โปรไฟล์ธุรกิจ
-ข้อมูลผู้ขาย (จากโปรไฟล์)
-ข้อมูลลูกค้า
-วันที่ออก
-วันที่ครบกำหนด
-แสดงรายละเอียด รายการสินค้า/บริการ
-แสดงปุ่ม : ยกเลิก
-แสดงปุ่ม :ออกเอกสาร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</si>
  <si>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</t>
    </r>
    <r>
      <rPr>
        <rFont val="Tahoma"/>
        <color rgb="FF1155CC"/>
        <sz val="10.0"/>
      </rPr>
      <t>เ</t>
    </r>
    <r>
      <rPr>
        <rFont val="Tahoma"/>
        <b/>
        <color rgb="FF1155CC"/>
        <sz val="10.0"/>
      </rPr>
      <t>ปิดหัก ณ ที่จ่าย อัตราเริ่มต้น 3%</t>
    </r>
    <r>
      <rPr>
        <rFont val="Tahoma"/>
        <color rgb="FF000000"/>
        <sz val="10.0"/>
      </rPr>
      <t xml:space="preserve"> ระบแสดงยอดรวมทั้งหมดถูกต้อง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</si>
  <si>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กดปุ่ม"+ใบเสนอราคา"</t>
    </r>
    <r>
      <rPr>
        <rFont val="Tahoma"/>
        <b/>
        <color rgb="FF1155CC"/>
        <sz val="10.0"/>
      </rPr>
      <t xml:space="preserve"> กรณี ใช้ส่วนลดข 0 บาท คิด /  VAT = 0% และ ไม่หัก ภาษี 3%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</si>
  <si>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 User ช่วยร่างข้อมูล "ต่อรองราคา"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ต่อรองราคา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</si>
  <si>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ออกใบแจ้งหนี้หลายใบต่อดีลเดียว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</si>
  <si>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User มีเครดิต AI : XX ครั้ง และกดปุ่ม "ถามรายละเอียดเพิ่มเติม"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ถามรายละเอียดเพิ่มเติม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</si>
  <si>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แก้ไขราคาดีลหลังออกใบแจ้งหนี้แล้ว 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</si>
  <si>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User อยากเปลี่ยนแปลงข้อมูล "ต่อรองราคา"  โดยกดปุ่ม "ร่างใหม่ &gt; 10 ครั้ง"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ต่อรองราคา
-กดปุ่ม : "ร่างใหม่ &gt; 10 ครั้ง "</t>
    </r>
  </si>
  <si>
    <t>-ระบบแสดงหน้า ช่วยร่าง ข้อความ ตอบลูกค้าได้อย่างครบถ้วนและถูกต้อง
-ระบบแสดง :  เครดิต AI ลดลงเหลือเดือนนี้: XX  ครั้ง
-ระบบแสดงประวัติที่เคยร่าง &gt; 10 ครั้งถูกต้อง
- ระบบแสดง ปุ่ม : คัดลอก / ร่างใหม่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</si>
  <si>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>กรณี</t>
    </r>
    <r>
      <rPr>
        <rFont val="Tahoma"/>
        <color rgb="FF1155CC"/>
        <sz val="10.0"/>
      </rPr>
      <t xml:space="preserve"> </t>
    </r>
    <r>
      <rPr>
        <rFont val="Tahoma"/>
        <b/>
        <color rgb="FF1155CC"/>
        <sz val="10.0"/>
      </rPr>
      <t>สร้างใบเสนอราคาหลายครั้งจากดีลเดียว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</si>
  <si>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 User กดปุ่ม "คัดลอก" ข้อมูลต่อรองราคา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ต่อรองราคา
-กดปุ่ม : "คัดลอก"</t>
    </r>
  </si>
  <si>
    <t>สร้างใบแจ้งหนี้</t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</si>
  <si>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 User  ช่วยร่างข้อความ "ถามรายละเอียดเพิ่ม" 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-กดเมนูู : ถามรายละเอียดเพิ่ม
</t>
    </r>
  </si>
  <si>
    <t>-ระบบแสดงหน้า ช่วยร่าง ข้อความ "ถามรายละเอียดเพิ่ม" ได้อย่างครบถ้วนและถูกต้อง
-ระบบแสดง :  เครดิต AI ลดลงเหลือเดือนนี้: XX  ครั้ง
-ระบบแสดงประวัติที่เคยร่าง
- ระบบแสดง ปุ่ม : คัดลอก / ร่างใหม่</t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</si>
  <si>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  User  ช่วยร่างข้อความ  "ตอบรับดีล"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ตอบรับดีล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</si>
  <si>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>กรณี สร้างใบแจ้งหนี้จากดีล "ดีลอยู่สถานะ "ส่งงานแล้ว"/"รอจ่าย"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</si>
  <si>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>-ระบบแสดงหน้า ช่วยร่าง ข้อความ "ตอบรับดีล"  ได้อย่างครบถ้วนและถูกต้อง
-ระบบแสดง :  เครดิต AI ลดลงเหลือเดือนนี้: XX  ครั้ง
-ระบบแสดงประวัติที่เคยร่าง
- ระบบแสดง ปุ่ม : คัดลอก / ร่างใหม่</t>
  </si>
  <si>
    <r>
      <rPr>
        <rFont val="Tahoma"/>
        <color rgb="FF000000"/>
        <sz val="10.0"/>
      </rPr>
      <t>ตรวจสอบเมนู :</t>
    </r>
    <r>
      <rPr>
        <rFont val="Tahoma"/>
        <b/>
        <color rgb="FF1155CC"/>
        <sz val="10.0"/>
      </rPr>
      <t xml:space="preserve"> "ช่วยร่างข้อมูล" 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 xml:space="preserve">กรณี   User  ช่วยร่างข้อความ  "ปฎิเสธสุขภาพ" ระบบแสดงหน้าจอถูกต้อง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-กดเมนูู : ปฎิเสธสุขภาพ</t>
    </r>
  </si>
  <si>
    <t>-ระบบแสดงหน้า ช่วยร่าง ข้อความ  "ปฎิเสธสุขภาพ" ได้อย่างครบถ้วนและถูกต้อง
-ระบบแสดง :  เครดิต AI ลดลงเหลือเดือนนี้: XX  ครั้ง
-ระบบแสดงประวัติที่เคยร่าง
- ระบบแสดง ปุ่ม : คัดลอก / ร่างใหม่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</si>
  <si>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เลขผู้เสียภาษี "กรอกเลข &gt;13 หลัก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</si>
  <si>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 xml:space="preserve">Export ข้อมูลดีล 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</si>
  <si>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ผู้ติดต่อ / ที่อยู่ลูกค้า / หมายเหตุ "กรอกอักขระพิเศษ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</si>
  <si>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"กด Export ทั้งหมด" </t>
    </r>
    <r>
      <rPr>
        <rFont val="Tahoma"/>
        <color rgb="FF000000"/>
        <sz val="10.0"/>
      </rPr>
      <t>ระบบ Export ข้อมูลสำเร็จ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</si>
  <si>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 xml:space="preserve">กรณี "กรอกข้อมูลลูกค้าครบถ้วน และกด ✔️ บันทึกข้อมูลกลับเข้าแบรนด์" </t>
    </r>
    <r>
      <rPr>
        <rFont val="Tahoma"/>
        <color rgb="FF000000"/>
        <sz val="10.0"/>
      </rPr>
      <t xml:space="preserve">ระบแสดงหน้าจอถูกต้อง 
</t>
    </r>
    <r>
      <rPr>
        <rFont val="Tahoma"/>
        <color rgb="FF093D93"/>
        <sz val="10.0"/>
        <u/>
      </rPr>
      <t xml:space="preserve">
</t>
    </r>
  </si>
  <si>
    <t>-ระบบ Export ข้อมูลดีลทั้งหมดเป็น file excel สำเร็จ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</si>
  <si>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 xml:space="preserve">กรณี </t>
    </r>
    <r>
      <rPr>
        <rFont val="Tahoma"/>
        <color rgb="FF1155CC"/>
        <sz val="10.0"/>
      </rPr>
      <t>เ</t>
    </r>
    <r>
      <rPr>
        <rFont val="Tahoma"/>
        <b/>
        <color rgb="FF1155CC"/>
        <sz val="10.0"/>
      </rPr>
      <t>ปิดหัก ณ ที่จ่าย อัตราเริ่มต้น 3%</t>
    </r>
    <r>
      <rPr>
        <rFont val="Tahoma"/>
        <color rgb="FF000000"/>
        <sz val="10.0"/>
      </rPr>
      <t xml:space="preserve"> ระบแสดงยอดรวมทั้งหมดถูกต้อง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</si>
  <si>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Export "ตามช่วงเวลา (เลือกปี)" </t>
    </r>
    <r>
      <rPr>
        <rFont val="Tahoma"/>
        <color rgb="FF000000"/>
        <sz val="10.0"/>
      </rPr>
      <t>ระบบ Export ข้อมูลสำเร็จ</t>
    </r>
  </si>
  <si>
    <t>-ระบบ Export ข้อมูลดีลตามช่วงเวลาเป็น file excel สำเร็จ</t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</si>
  <si>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 Export กรองเฉพาะสถานะ "จ่ายแล้ว" </t>
    </r>
    <r>
      <rPr>
        <rFont val="Tahoma"/>
        <color rgb="FF000000"/>
        <sz val="10.0"/>
      </rPr>
      <t>ระบบ Export ข้อมูลสำเร็จ</t>
    </r>
  </si>
  <si>
    <t>-ระบบ Export ข้อมูลดีลสถานะ "จ่ายแล้ว" เป็น file excel สำเร็จ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</si>
  <si>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กดปุ่ม"+ใบแจ้งหนี้"</t>
    </r>
    <r>
      <rPr>
        <rFont val="Tahoma"/>
        <b/>
        <color rgb="FF1155CC"/>
        <sz val="10.0"/>
      </rPr>
      <t xml:space="preserve"> กรณี ใช้ส่วนลด 1,000คิด /  VAT = 7% และ หัก ภาษี 3%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</si>
  <si>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 Export "ช่วงเวลาที่ไม่มีข้อมูล" </t>
    </r>
    <r>
      <rPr>
        <rFont val="Tahoma"/>
        <color rgb="FF000000"/>
        <sz val="10.0"/>
      </rPr>
      <t>ระบบ Export ข้อมูลสำเร็จ</t>
    </r>
  </si>
  <si>
    <t>-ระบบ Export  file excel เปล่าสำเร็จ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</si>
  <si>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 xml:space="preserve">กรณี ออกใบแจ้งหนี้หลายใบต่อดีลเดียว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กด icon : แก้ไข จากหน้า ดีล
- กดเมนู : เอกสาร 
- กรอกข้อมูลให้ครบทุก Field 
-  กดปุ่ม : ออกเอกสาร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</si>
  <si>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 Export "ดีลที่ยังไม่ระบุวันได้รับเงิน" </t>
    </r>
    <r>
      <rPr>
        <rFont val="Tahoma"/>
        <color rgb="FF000000"/>
        <sz val="10.0"/>
      </rPr>
      <t>ระบบ Export ข้อมูลสำเร็จ</t>
    </r>
  </si>
  <si>
    <t>-ระบบ Export ข้อมูลดีลสถานะ "ดีลที่ยังไม่ระบุวันได้รับเงิน"  เป็น file excel สำเร็จ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</si>
  <si>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 xml:space="preserve">กรณี แก้ไขราคาดีลหลังออกใบแจ้งหนี้แล้ว 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 icon : แก้ไข จากหน้า ดีล
- แก้ไขราคา ดีล : 5,000 ---&gt; 10,000 บาท
-  กดปุ่ม : บันทึก</t>
    </r>
  </si>
  <si>
    <t>Scenario : Case validations : เมนู "คิดเรตงาน"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</si>
  <si>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>กรณี กรอกข้อมูลครบทุก Field และกด "ออกกเอกสาร"</t>
    </r>
    <r>
      <rPr>
        <rFont val="Tahoma"/>
        <color rgb="FF000000"/>
        <sz val="10.0"/>
      </rPr>
      <t xml:space="preserve">ระบแสดงหน้าจอถูกต้อง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กรอกข้อมูลครบทุก Field
-  กดปุ่ม : ออกเอกสาร </t>
    </r>
    <r>
      <rPr>
        <rFont val="Tahoma"/>
        <color rgb="FF000000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</si>
  <si>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เพิ่มดีล และ 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>กรณี กรอกยอด  Engagement  ทั้งหมด แล้วกด "คำนวณเรต"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ไลก์ : 10,000
- Field คอมเมนต์  : 1,000
- Field เซฟ : 3,000
-Filed แชร์ : 550
- กดปุ่ม : "คำนวณเรต"  
</t>
    </r>
  </si>
  <si>
    <t>สร้างใบเสร็จรับเงิน</t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</si>
  <si>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 </t>
    </r>
    <r>
      <rPr>
        <rFont val="Tahoma"/>
        <b/>
        <color rgb="FF1155CC"/>
        <sz val="10.0"/>
      </rPr>
      <t xml:space="preserve">กรณี แก้ไข  ยอดไลก์  = 20,000 แล้วกด "คำนวณเรต" อีกครั้ง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ไลก์ :  20,000 
- กดปุ่ม : "คำนวณเรต"  
</t>
    </r>
    <r>
      <rPr>
        <rFont val="Tahoma"/>
        <b/>
        <color rgb="FFFF0000"/>
        <sz val="10.0"/>
      </rPr>
      <t xml:space="preserve">FYI : ใช้ข้อมูลจากข้อ 32 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</si>
  <si>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>กรณี สร้างใบแจ้งหนี้จากดีล "ดีลอยู่สถานะ "ส่งงานแล้ว"/"รอจ่าย"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</si>
  <si>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  ดีล กดปุ่ม "ช่วยคิดเรต </t>
    </r>
    <r>
      <rPr>
        <rFont val="Tahoma"/>
        <b/>
        <color rgb="FF1155CC"/>
        <sz val="10.0"/>
      </rPr>
      <t xml:space="preserve"> Field : ผู้ติดตาม / ยอดวิวเฉลี่ย/คลิป กรณี  "ไม่กรอกข้อมูล" คำนวณเรต" อีกครั้ง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: Field : ผู้ติดตาม / ยอดวิวเฉลี่ย/คลิป กรณี : "ไม่กรอกข้อมูล"
- กดปุ่ม : "คำนวณเรต"  
</t>
    </r>
    <r>
      <rPr>
        <rFont val="Tahoma"/>
        <b/>
        <color rgb="FFFF0000"/>
        <sz val="10.0"/>
      </rPr>
      <t>FYI : ใช้ข้อมูลจากข้อ 33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</si>
  <si>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เลขผู้เสียภาษี "กรอกเลข &gt;13 หลัก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</si>
  <si>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  ดีล กดปุ่ม "ช่วยคิดเรต </t>
    </r>
    <r>
      <rPr>
        <rFont val="Tahoma"/>
        <b/>
        <color rgb="FF1155CC"/>
        <sz val="10.0"/>
      </rPr>
      <t xml:space="preserve"> Field : ผู้ติดตาม / ยอดวิวเฉลี่ย/คลิป กรณี  "กรอกข้อมูล"  แต่ไม่กรอก ข้อมูล "Engagement ทั้งหมด" และ กด "คำนวณเรต" อีกครั้ง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: Field : ผู้ติดตาม / ยอดวิวเฉลี่ย/คลิป กรณี : "กรอกข้อมูล"
- All Field  Engagement : ไม่กรอกข้อมูล
- กดปุ่ม : "คำนวณเรต"  
</t>
    </r>
    <r>
      <rPr>
        <rFont val="Tahoma"/>
        <b/>
        <color rgb="FFFF0000"/>
        <sz val="10.0"/>
      </rPr>
      <t>FYI : ใช้ข้อมูลจากข้อ 33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</si>
  <si>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ผู้ติดต่อ / ที่อยู่ลูกค้า / หมายเหตุ "กรอกอักขระพิเศษ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</si>
  <si>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>กรณี ไม่กรอกยอด  Engagement  ทั้งหมด แล้วกด "คำนวณเรต"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All Field : ไม่กรอกข้อมูล
- กดปุ่ม : "คำนวณเรต"  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</si>
  <si>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 xml:space="preserve">กรณี </t>
    </r>
    <r>
      <rPr>
        <rFont val="Tahoma"/>
        <color rgb="FF1155CC"/>
        <sz val="10.0"/>
      </rPr>
      <t>เ</t>
    </r>
    <r>
      <rPr>
        <rFont val="Tahoma"/>
        <b/>
        <color rgb="FF1155CC"/>
        <sz val="10.0"/>
      </rPr>
      <t>ปิดหัก ณ ที่จ่าย อัตราเริ่มต้น 3%</t>
    </r>
    <r>
      <rPr>
        <rFont val="Tahoma"/>
        <color rgb="FF000000"/>
        <sz val="10.0"/>
      </rPr>
      <t xml:space="preserve"> ระบแสดงยอดรวมทั้งหมดถูกต้อง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</si>
  <si>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ขนาดช่องของคุณ
Field "ผู้ติดตาม" </t>
    </r>
    <r>
      <rPr>
        <rFont val="Tahoma"/>
        <b/>
        <color rgb="FFFF0000"/>
        <sz val="10.0"/>
      </rPr>
      <t xml:space="preserve"> กรณี  กรอกข้อมูล  ป็นจำนวน - (ติดลบ)  และกดปุ่ม "คำนวณใหม่</t>
    </r>
    <r>
      <rPr>
        <rFont val="Tahoma"/>
        <color rgb="FFFF0000"/>
        <sz val="10.0"/>
      </rPr>
      <t>"</t>
    </r>
    <r>
      <rPr>
        <rFont val="Tahoma"/>
        <color rgb="FF000000"/>
        <sz val="10.0"/>
      </rPr>
      <t xml:space="preserve"> ระบบแสดงหน้าจอถูกต้อง 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"ผู้ติดตาม"  : กรอกข้อมุลเป็นจำนวน - (ติดลบ) 
- กดปุ่ม : "คำนวณใหม่" </t>
    </r>
  </si>
  <si>
    <t xml:space="preserve">-ระบบล๊อค Field ไม่ให้กรอกข้อมูลที่ไม่ใช่ตัวเลข 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</si>
  <si>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กดปุ่ม"+"ใบเสร็จรับเงิน" </t>
    </r>
    <r>
      <rPr>
        <rFont val="Tahoma"/>
        <b/>
        <color rgb="FF1155CC"/>
        <sz val="10.0"/>
      </rPr>
      <t xml:space="preserve">กรณี กรอกส่วนลด 500 บาท 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</si>
  <si>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ขนาดช่องของคุณ
Field "ผู้ติดตาม" </t>
    </r>
    <r>
      <rPr>
        <rFont val="Tahoma"/>
        <b/>
        <color rgb="FFFF0000"/>
        <sz val="10.0"/>
      </rPr>
      <t xml:space="preserve"> กรณี  กรอกข้อมูล ตัวอักษร/อักขระ  และกดปุ่ม "คำนวณใหม่"</t>
    </r>
    <r>
      <rPr>
        <rFont val="Tahoma"/>
        <b/>
        <color rgb="FF093D93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"ผู้ติดตาม"  : ตัวอักษร/อักขระ 
- กดปุ่ม : "คำนวณใหม่" 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</si>
  <si>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กดปุ่ม"+ใบเสร็จรับเงิน"</t>
    </r>
    <r>
      <rPr>
        <rFont val="Tahoma"/>
        <b/>
        <color rgb="FF1155CC"/>
        <sz val="10.0"/>
      </rPr>
      <t xml:space="preserve"> กรณี คิด VAT = 0 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</si>
  <si>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ขนาดช่องของคุณ
Field "ยอดวิวเฉลี่ย/คลิป"  </t>
    </r>
    <r>
      <rPr>
        <rFont val="Tahoma"/>
        <b/>
        <color rgb="FFFF0000"/>
        <sz val="10.0"/>
      </rPr>
      <t>กรณี กรอกข้อมูล เป็นจำนวน - (ติดลบ) 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 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"ยอดวิวเฉลี่ย/คลิป" :  เป็นจำนวน - (ติดลบ) 
- กดปุ่ม : "คำนวณใหม่" 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</si>
  <si>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กดปุ่ม"+ใบเสร็จรับเงิน"</t>
    </r>
    <r>
      <rPr>
        <rFont val="Tahoma"/>
        <b/>
        <color rgb="FF1155CC"/>
        <sz val="10.0"/>
      </rPr>
      <t xml:space="preserve"> กรณี ใช้ส่วนลดทั้งหมด 500คิด /  VAT = 0 และ หัก ภาษี 3%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</si>
  <si>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ขนาดช่องของคุณ
Field "ยอดวิวเฉลี่ย/คลิป"  </t>
    </r>
    <r>
      <rPr>
        <rFont val="Tahoma"/>
        <b/>
        <color rgb="FFFF0000"/>
        <sz val="10.0"/>
      </rPr>
      <t>กรณี  กรอกข้อมูล  ตัวอักษร/อักขระ 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"ยอดวิวเฉลี่ย/คลิป" :  ตัวอักษร/อักขระ 
- กดปุ่ม : "คำนวณใหม่" 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</si>
  <si>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 xml:space="preserve">กรณี ออกใบเสนอราคาหลายใบต่อดีลเดียว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</si>
  <si>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</t>
    </r>
    <r>
      <rPr>
        <rFont val="Tahoma"/>
        <b/>
        <color rgb="FFFF0000"/>
        <sz val="10.0"/>
      </rPr>
      <t xml:space="preserve">
</t>
    </r>
    <r>
      <rPr>
        <rFont val="Tahoma"/>
        <b/>
        <color rgb="FF000000"/>
        <sz val="10.0"/>
      </rPr>
      <t xml:space="preserve">Field "ไลก์/คอมเมนต์" </t>
    </r>
    <r>
      <rPr>
        <rFont val="Tahoma"/>
        <b/>
        <color rgb="FFFF0000"/>
        <sz val="10.0"/>
      </rPr>
      <t xml:space="preserve"> กรณี  กรอกข้อมูล  เป็นจำนวน - (ติดลบ) โดย field อื่นๆกรอกข้อมูลถูกต้อง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 "ไลก์/คอมเมนต์":  จำนวน - (ติดลบ)
- กดปุ่ม : "คำนวณใหม่"</t>
    </r>
  </si>
  <si>
    <t xml:space="preserve">"-ระบบล๊อค Field ไม่ให้กรอกข้อมูลที่ไม่ใช่ตัวเลข 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</si>
  <si>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 xml:space="preserve">กรณี "+เพิ่มรายการ"  &gt; 1  รายการ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</si>
  <si>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
 Field "เซฟ/แชร์" </t>
    </r>
    <r>
      <rPr>
        <rFont val="Tahoma"/>
        <b/>
        <color rgb="FFFF0000"/>
        <sz val="10.0"/>
      </rPr>
      <t>กรณี  กรอกข้อมูล   ตัวอักษร/อักขระ  โดย field อื่นๆกรอกข้อมูลถูกต้อง และกดปุ่ม "คำนวณใหม่"</t>
    </r>
    <r>
      <rPr>
        <rFont val="Tahoma"/>
        <color rgb="FF000000"/>
        <sz val="10.0"/>
      </rPr>
      <t xml:space="preserve"> 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  "เซฟ/แชร์" :  ตัวอักษร/อักขระ 
- กดปุ่ม : "คำนวณใหม่"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</si>
  <si>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 xml:space="preserve">กรณี แก้ไขราคาดีลหลังออกใบเสนอราคาแล้ว 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</si>
  <si>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
Field "เซฟ/แชร์" </t>
    </r>
    <r>
      <rPr>
        <rFont val="Tahoma"/>
        <b/>
        <color rgb="FFFF0000"/>
        <sz val="10.0"/>
      </rPr>
      <t>เกรณี  กรอกข้อมูล  ป็นจำนวน - (ติดลบ)  โดย field อื่นๆกรอกข้อมูลถูกต้อง และกดปุ่ม "คำนวณใหม่"</t>
    </r>
    <r>
      <rPr>
        <rFont val="Tahoma"/>
        <color rgb="FF000000"/>
        <sz val="10.0"/>
      </rPr>
      <t xml:space="preserve"> 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  "เซฟ/แชร์" :  จำนวน - (ติดลบ)  
- กดปุ่ม : "คำนวณใหม่"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</si>
  <si>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>กรณี กรแกข้อมูลครบทุก Field และกด "ออกกเอกสาร"</t>
    </r>
    <r>
      <rPr>
        <rFont val="Tahoma"/>
        <color rgb="FF000000"/>
        <sz val="10.0"/>
      </rPr>
      <t xml:space="preserve">ระบแสดงหน้าจอถูกต้อง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กรอกข้อมูลครบทุก Field
-  กดปุ่ม : ออกเอกสาร </t>
    </r>
    <r>
      <rPr>
        <rFont val="Tahoma"/>
        <color rgb="FF000000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</si>
  <si>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</t>
    </r>
    <r>
      <rPr>
        <rFont val="Tahoma"/>
        <b/>
        <color rgb="FFFF0000"/>
        <sz val="10.0"/>
      </rPr>
      <t xml:space="preserve">
</t>
    </r>
    <r>
      <rPr>
        <rFont val="Tahoma"/>
        <b/>
        <color rgb="FF000000"/>
        <sz val="10.0"/>
      </rPr>
      <t xml:space="preserve">Field " ส่วนลดแพ็กเกจ (%) " </t>
    </r>
    <r>
      <rPr>
        <rFont val="Tahoma"/>
        <b/>
        <color rgb="FFFF0000"/>
        <sz val="10.0"/>
      </rPr>
      <t>กรณี  กรอกข้อมูล เป็นจำนวน - (ติดลบ)  โดย field อื่นๆกรอกข้อมูลถูกต้อง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"ส่วนลดแพ็กเกจ (%)" :  จำนวน - (ติดลบ)  
- กดปุ่ม : "คำนวณใหม่"</t>
    </r>
  </si>
  <si>
    <t xml:space="preserve">
สร้างใบกำกับภาษี
</t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</si>
  <si>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
Field " ส่วนลดแพ็กเกจ (%) </t>
    </r>
    <r>
      <rPr>
        <rFont val="Tahoma"/>
        <b/>
        <color rgb="FFFF0000"/>
        <sz val="10.0"/>
      </rPr>
      <t>กรณี  กรอกข้อมูล  "ตัวอักษร/อักขระ" โดย field อื่นๆกรอกข้อมูลถูกต้อง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"ส่วนลดแพ็กเกจ (%)" : "ตัวอักษร/อักขระ"
- กดปุ่ม : "คำนวณใหม่"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</si>
  <si>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>กรณี สร้างใบแจ้งหนี้จากดีล "ดีลอยู่สถานะ "ส่งงานแล้ว"/"รอจ่าย"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</si>
  <si>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เลขผู้เสียภาษี "กรอกเลข &gt;13 หลัก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</si>
  <si>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ผู้ติดต่อ / ที่อยู่ลูกค้า / หมายเหตุ "กรอกอักขระพิเศษ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</si>
  <si>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</t>
    </r>
    <r>
      <rPr>
        <rFont val="Tahoma"/>
        <color rgb="FF1155CC"/>
        <sz val="10.0"/>
      </rPr>
      <t>เ</t>
    </r>
    <r>
      <rPr>
        <rFont val="Tahoma"/>
        <b/>
        <color rgb="FF1155CC"/>
        <sz val="10.0"/>
      </rPr>
      <t>ปิดหัก ณ ที่จ่าย อัตราเริ่มต้น 3%</t>
    </r>
    <r>
      <rPr>
        <rFont val="Tahoma"/>
        <color rgb="FF000000"/>
        <sz val="10.0"/>
      </rPr>
      <t xml:space="preserve"> ระบแสดงยอดรวมทั้งหมดถูกต้อง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</si>
  <si>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กดปุ่ม"+"ใบเสนอราคา" </t>
    </r>
    <r>
      <rPr>
        <rFont val="Tahoma"/>
        <b/>
        <color rgb="FF1155CC"/>
        <sz val="10.0"/>
      </rPr>
      <t xml:space="preserve">กรณี กรอกส่วนลด 300 บาท 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</si>
  <si>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กดปุ่ม"+ใบเสนอราคา"</t>
    </r>
    <r>
      <rPr>
        <rFont val="Tahoma"/>
        <b/>
        <color rgb="FF1155CC"/>
        <sz val="10.0"/>
      </rPr>
      <t xml:space="preserve"> กรณี คิด VAT = 0 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</si>
  <si>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กดปุ่ม"+ใบเสนอราคา"</t>
    </r>
    <r>
      <rPr>
        <rFont val="Tahoma"/>
        <b/>
        <color rgb="FF1155CC"/>
        <sz val="10.0"/>
      </rPr>
      <t xml:space="preserve"> กรณี ใช้ส่วนลดทั้งหมด 300 /  VAT = 0 และ หัก ภาษี 3%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</si>
  <si>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ออกใบเสนอราคาหลายใบต่อดีลเดียว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</si>
  <si>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"+เพิ่มรายการ"  &gt; 1  รายการ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</si>
  <si>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แก้ไขราคาดีลหลังออกใบเสนอราคาแล้ว 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</si>
  <si>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"กด Export ทั้งหมด" </t>
    </r>
    <r>
      <rPr>
        <rFont val="Tahoma"/>
        <color rgb="FF000000"/>
        <sz val="10.0"/>
      </rPr>
      <t>ระบบ Export ข้อมูลสำเร็จ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</si>
  <si>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Export "ตามช่วงเวลา (เลือกปี)" </t>
    </r>
    <r>
      <rPr>
        <rFont val="Tahoma"/>
        <color rgb="FF000000"/>
        <sz val="10.0"/>
      </rPr>
      <t>ระบบ Export ข้อมูลสำเร็จ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</si>
  <si>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 Export กรองเฉพาะสถานะ "จ่ายแล้ว"" </t>
    </r>
    <r>
      <rPr>
        <rFont val="Tahoma"/>
        <color rgb="FF000000"/>
        <sz val="10.0"/>
      </rPr>
      <t>ระบบ Export ข้อมูลสำเร็จ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</si>
  <si>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 Export "ช่วงเวลาที่ไม่มีข้อมูล" </t>
    </r>
    <r>
      <rPr>
        <rFont val="Tahoma"/>
        <color rgb="FF000000"/>
        <sz val="10.0"/>
      </rPr>
      <t>ระบบ Export ข้อมูลสำเร็จ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</si>
  <si>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 Export "ดีลที่ยังไม่ระบุวันได้รับเงิน" </t>
    </r>
    <r>
      <rPr>
        <rFont val="Tahoma"/>
        <color rgb="FF000000"/>
        <sz val="10.0"/>
      </rPr>
      <t>ระบบ Export ข้อมูลสำเร็จ</t>
    </r>
  </si>
  <si>
    <r>
      <rPr>
        <rFont val="Tahoma"/>
        <color rgb="FF000000"/>
        <sz val="10.0"/>
      </rPr>
      <t xml:space="preserve">ตรวจสอบเมนู : ดีล </t>
    </r>
    <r>
      <rPr>
        <rFont val="Tahoma"/>
        <b/>
        <color rgb="FF1155CC"/>
        <sz val="10.0"/>
      </rPr>
      <t xml:space="preserve">กรณี  Export "ข้อมูลจำนวนมาก" </t>
    </r>
    <r>
      <rPr>
        <rFont val="Tahoma"/>
        <color rgb="FF000000"/>
        <sz val="10.0"/>
      </rPr>
      <t>ระบบ Export ข้อมูลสำเร็จ</t>
    </r>
  </si>
  <si>
    <r>
      <rPr>
        <rFont val="Tahoma"/>
        <color rgb="FF000000"/>
        <sz val="10.0"/>
      </rPr>
      <t>ตรวจสอบเมนู : เพิ่มดีล และ 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>กรณี กรอกยอด  Engagement  ทั้งหมด แล้วกด "คำนวณเรต"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ไลก์ : 10,000
- Field คอมเมนต์  : 1,000
- Field เซฟ : 3,000
-Filed แชร์ : 550
- กดปุ่ม : "คำนวณเรต"  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</si>
  <si>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 </t>
    </r>
    <r>
      <rPr>
        <rFont val="Tahoma"/>
        <b/>
        <color rgb="FF1155CC"/>
        <sz val="10.0"/>
      </rPr>
      <t xml:space="preserve">กรณี แก้ไข  ยอดไลก์  = 20,000 แล้วกด "คำนวณเรต" อีกครั้ง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ไลก์ :  20,000 
- กดปุ่ม : "คำนวณเรต"  
</t>
    </r>
    <r>
      <rPr>
        <rFont val="Tahoma"/>
        <b/>
        <color rgb="FFFF0000"/>
        <sz val="10.0"/>
      </rPr>
      <t xml:space="preserve">FYI : ใช้ข้อมูลจากข้อ 32 </t>
    </r>
  </si>
  <si>
    <r>
      <rPr>
        <rFont val="Tahoma"/>
        <color rgb="FF000000"/>
        <sz val="10.0"/>
      </rPr>
      <t xml:space="preserve">ตรวจสอบเมนู :  ดีล กดปุ่ม "ช่วยคิดเรต </t>
    </r>
    <r>
      <rPr>
        <rFont val="Tahoma"/>
        <b/>
        <color rgb="FF1155CC"/>
        <sz val="10.0"/>
      </rPr>
      <t xml:space="preserve"> Field : ผู้ติดตาม / ยอดวิวเฉลี่ย/คลิป กรณี  "ไม่กรอกข้อมูล" คำนวณเรต" อีกครั้ง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: Field : ผู้ติดตาม / ยอดวิวเฉลี่ย/คลิป กรณี : "ไม่กรอกข้อมูล"
- กดปุ่ม : "คำนวณเรต"  
</t>
    </r>
    <r>
      <rPr>
        <rFont val="Tahoma"/>
        <b/>
        <color rgb="FFFF0000"/>
        <sz val="10.0"/>
      </rPr>
      <t>FYI : ใช้ข้อมูลจากข้อ 33</t>
    </r>
  </si>
  <si>
    <r>
      <rPr>
        <rFont val="Tahoma"/>
        <color rgb="FF000000"/>
        <sz val="10.0"/>
      </rPr>
      <t xml:space="preserve">ตรวจสอบเมนู :  ดีล กดปุ่ม "ช่วยคิดเรต </t>
    </r>
    <r>
      <rPr>
        <rFont val="Tahoma"/>
        <b/>
        <color rgb="FF1155CC"/>
        <sz val="10.0"/>
      </rPr>
      <t xml:space="preserve"> Field : ผู้ติดตาม / ยอดวิวเฉลี่ย/คลิป กรณี  "กรอกข้อมูล"  แต่ไม่กรอก ข้อมูล "Engagement ทั้งหมด" และ กด "คำนวณเรต" อีกครั้ง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: Field : ผู้ติดตาม / ยอดวิวเฉลี่ย/คลิป กรณี : "กรอกข้อมูล"
- All Field  Engagement : ไม่กรอกข้อมูล
- กดปุ่ม : "คำนวณเรต"  
</t>
    </r>
    <r>
      <rPr>
        <rFont val="Tahoma"/>
        <b/>
        <color rgb="FFFF0000"/>
        <sz val="10.0"/>
      </rPr>
      <t>FYI : ใช้ข้อมูลจากข้อ 33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</si>
  <si>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>กรณี ไม่กรอกยอด  Engagement  ทั้งหมด แล้วกด "คำนวณเรต"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All Field : ไม่กรอกข้อมูล
- กดปุ่ม : "คำนวณเรต"  
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</si>
  <si>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ขนาดช่องของคุณ
Field "ผู้ติดตาม" </t>
    </r>
    <r>
      <rPr>
        <rFont val="Tahoma"/>
        <b/>
        <color rgb="FFFF0000"/>
        <sz val="10.0"/>
      </rPr>
      <t xml:space="preserve"> กรณี  กรอกข้อมูล  ป็นจำนวน - (ติดลบ)  และกดปุ่ม "คำนวณใหม่</t>
    </r>
    <r>
      <rPr>
        <rFont val="Tahoma"/>
        <color rgb="FFFF0000"/>
        <sz val="10.0"/>
      </rPr>
      <t>"</t>
    </r>
    <r>
      <rPr>
        <rFont val="Tahoma"/>
        <color rgb="FF000000"/>
        <sz val="10.0"/>
      </rPr>
      <t xml:space="preserve"> ระบบแสดงหน้าจอถูกต้อง 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"ผู้ติดตาม"  : กรอกข้อมุลเป็นจำนวน - (ติดลบ) 
- กดปุ่ม : "คำนวณใหม่" 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</si>
  <si>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ขนาดช่องของคุณ
Field "ผู้ติดตาม" </t>
    </r>
    <r>
      <rPr>
        <rFont val="Tahoma"/>
        <b/>
        <color rgb="FFFF0000"/>
        <sz val="10.0"/>
      </rPr>
      <t xml:space="preserve"> กรณี  กรอกข้อมูล ตัวอักษร/อักขระ  และกดปุ่ม "คำนวณใหม่"</t>
    </r>
    <r>
      <rPr>
        <rFont val="Tahoma"/>
        <b/>
        <color rgb="FF093D93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"ผู้ติดตาม"  : ตัวอักษร/อักขระ 
- กดปุ่ม : "คำนวณใหม่" 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</si>
  <si>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ขนาดช่องของคุณ
Field "ยอดวิวเฉลี่ย/คลิป"  </t>
    </r>
    <r>
      <rPr>
        <rFont val="Tahoma"/>
        <b/>
        <color rgb="FFFF0000"/>
        <sz val="10.0"/>
      </rPr>
      <t>กรณี กรอกข้อมูล เป็นจำนวน - (ติดลบ) 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 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"ยอดวิวเฉลี่ย/คลิป" :  เป็นจำนวน - (ติดลบ) 
- กดปุ่ม : "คำนวณใหม่" 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</si>
  <si>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ขนาดช่องของคุณ
Field "ยอดวิวเฉลี่ย/คลิป"  </t>
    </r>
    <r>
      <rPr>
        <rFont val="Tahoma"/>
        <b/>
        <color rgb="FFFF0000"/>
        <sz val="10.0"/>
      </rPr>
      <t>กรณี  กรอกข้อมูล  ตัวอักษร/อักขระ 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 xml:space="preserve">- กด : ช่วยคิดเรต
- Field "ยอดวิวเฉลี่ย/คลิป" :  ตัวอักษร/อักขระ 
- กดปุ่ม : "คำนวณใหม่" 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</si>
  <si>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</t>
    </r>
    <r>
      <rPr>
        <rFont val="Tahoma"/>
        <b/>
        <color rgb="FFFF0000"/>
        <sz val="10.0"/>
      </rPr>
      <t xml:space="preserve">
</t>
    </r>
    <r>
      <rPr>
        <rFont val="Tahoma"/>
        <b/>
        <color rgb="FF000000"/>
        <sz val="10.0"/>
      </rPr>
      <t xml:space="preserve">Field "ไลก์/คอมเมนต์" </t>
    </r>
    <r>
      <rPr>
        <rFont val="Tahoma"/>
        <b/>
        <color rgb="FFFF0000"/>
        <sz val="10.0"/>
      </rPr>
      <t xml:space="preserve"> กรณี  กรอกข้อมูล  เป็นจำนวน - (ติดลบ) โดย field อื่นๆกรอกข้อมูลถูกต้อง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 "ไลก์/คอมเมนต์":  จำนวน - (ติดลบ)
- กดปุ่ม : "คำนวณใหม่"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</si>
  <si>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
 Field "เซฟ/แชร์" </t>
    </r>
    <r>
      <rPr>
        <rFont val="Tahoma"/>
        <b/>
        <color rgb="FFFF0000"/>
        <sz val="10.0"/>
      </rPr>
      <t>กรณี  กรอกข้อมูล   ตัวอักษร/อักขระ  โดย field อื่นๆกรอกข้อมูลถูกต้อง และกดปุ่ม "คำนวณใหม่"</t>
    </r>
    <r>
      <rPr>
        <rFont val="Tahoma"/>
        <color rgb="FF000000"/>
        <sz val="10.0"/>
      </rPr>
      <t xml:space="preserve"> 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  "เซฟ/แชร์" :  ตัวอักษร/อักขระ 
- กดปุ่ม : "คำนวณใหม่"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</si>
  <si>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
Field "เซฟ/แชร์" </t>
    </r>
    <r>
      <rPr>
        <rFont val="Tahoma"/>
        <b/>
        <color rgb="FFFF0000"/>
        <sz val="10.0"/>
      </rPr>
      <t>เกรณี  กรอกข้อมูล  ป็นจำนวน - (ติดลบ)  โดย field อื่นๆกรอกข้อมูลถูกต้อง และกดปุ่ม "คำนวณใหม่"</t>
    </r>
    <r>
      <rPr>
        <rFont val="Tahoma"/>
        <color rgb="FF000000"/>
        <sz val="10.0"/>
      </rPr>
      <t xml:space="preserve"> 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  "เซฟ/แชร์" :  จำนวน - (ติดลบ)  
- กดปุ่ม : "คำนวณใหม่"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</si>
  <si>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</t>
    </r>
    <r>
      <rPr>
        <rFont val="Tahoma"/>
        <b/>
        <color rgb="FFFF0000"/>
        <sz val="10.0"/>
      </rPr>
      <t xml:space="preserve">
</t>
    </r>
    <r>
      <rPr>
        <rFont val="Tahoma"/>
        <b/>
        <color rgb="FF000000"/>
        <sz val="10.0"/>
      </rPr>
      <t xml:space="preserve">Field " ส่วนลดแพ็กเกจ (%) " </t>
    </r>
    <r>
      <rPr>
        <rFont val="Tahoma"/>
        <b/>
        <color rgb="FFFF0000"/>
        <sz val="10.0"/>
      </rPr>
      <t>กรณี  กรอกข้อมูล เป็นจำนวน - (ติดลบ)  โดย field อื่นๆกรอกข้อมูลถูกต้อง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"ส่วนลดแพ็กเกจ (%)" :  จำนวน - (ติดลบ)  
- กดปุ่ม : "คำนวณใหม่"</t>
    </r>
  </si>
  <si>
    <r>
      <rPr>
        <rFont val="Tahoma"/>
        <color rgb="FF000000"/>
        <sz val="10.0"/>
      </rPr>
      <t>ตรวจสอบเมนู :  ดีล กดปุ่ม "ช่วยคิดเรต"</t>
    </r>
    <r>
      <rPr>
        <rFont val="Tahoma"/>
        <b/>
        <color rgb="FF000000"/>
        <sz val="10.0"/>
      </rPr>
      <t xml:space="preserve"> Engagement
Field " ส่วนลดแพ็กเกจ (%) </t>
    </r>
    <r>
      <rPr>
        <rFont val="Tahoma"/>
        <b/>
        <color rgb="FFFF0000"/>
        <sz val="10.0"/>
      </rPr>
      <t>กรณี  กรอกข้อมูล  "ตัวอักษร/อักขระ" โดย field อื่นๆกรอกข้อมูลถูกต้อง และกดปุ่ม "คำนวณใหม่"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 xml:space="preserve">ระบบแสดงหน้าจอถูกต้อง  </t>
    </r>
    <r>
      <rPr>
        <rFont val="Tahoma"/>
        <b/>
        <color rgb="FF093D93"/>
        <sz val="10.0"/>
      </rPr>
      <t xml:space="preserve">
</t>
    </r>
    <r>
      <rPr>
        <rFont val="Tahoma"/>
        <b/>
        <color rgb="FF093D93"/>
        <sz val="10.0"/>
        <u/>
      </rPr>
      <t xml:space="preserve">เงื่อนไข
</t>
    </r>
    <r>
      <rPr>
        <rFont val="Tahoma"/>
        <color rgb="FF000000"/>
        <sz val="10.0"/>
      </rPr>
      <t>- กด : ช่วยคิดเรต
- Field "ส่วนลดแพ็กเกจ (%)" : "ตัวอักษร/อักขระ"
- กดปุ่ม : "คำนวณใหม่"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</si>
  <si>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 ใบเสนอราคา " </t>
    </r>
    <r>
      <rPr>
        <rFont val="Tahoma"/>
        <b/>
        <color rgb="FF1155CC"/>
        <sz val="10.0"/>
      </rPr>
      <t>กรณี สร้างใบเสนอราคา "ดีลอยู่สถานะ "ทาบทาม"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</si>
  <si>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 ใบเสนอราคา </t>
    </r>
    <r>
      <rPr>
        <rFont val="Tahoma"/>
        <color rgb="FFFF0000"/>
        <sz val="10.0"/>
      </rPr>
      <t xml:space="preserve">" </t>
    </r>
    <r>
      <rPr>
        <rFont val="Tahoma"/>
        <b/>
        <color rgb="FFFF0000"/>
        <sz val="10.0"/>
      </rPr>
      <t>กรณี Field เลขผู้เสียภาษี "กรอกเลข &gt; 13 หลัก "</t>
    </r>
    <r>
      <rPr>
        <rFont val="Tahoma"/>
        <color rgb="FF000000"/>
        <sz val="10.0"/>
      </rPr>
      <t xml:space="preserve"> 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</si>
  <si>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FF0000"/>
        <sz val="10.0"/>
      </rPr>
      <t>กรณี Field ผู้ติดต่อ / ที่อยู่ลูกค้า / หมายเหตุ "กรอกอักขระพิเศษ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</si>
  <si>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"กรอกข้อมูลลูกค้าครบถ้วน และกด ✔️ บันทึกข้อมูลกลับเข้าแบรนด์" </t>
    </r>
    <r>
      <rPr>
        <rFont val="Tahoma"/>
        <color rgb="FF000000"/>
        <sz val="10.0"/>
      </rPr>
      <t xml:space="preserve">ระบแสดงหน้าจอถูกต้อง 
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</si>
  <si>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</t>
    </r>
    <r>
      <rPr>
        <rFont val="Tahoma"/>
        <color rgb="FF1155CC"/>
        <sz val="10.0"/>
      </rPr>
      <t>เ</t>
    </r>
    <r>
      <rPr>
        <rFont val="Tahoma"/>
        <b/>
        <color rgb="FF1155CC"/>
        <sz val="10.0"/>
      </rPr>
      <t>ปิดหัก ณ ที่จ่าย อัตราเริ่มต้น 3%</t>
    </r>
    <r>
      <rPr>
        <rFont val="Tahoma"/>
        <color rgb="FF000000"/>
        <sz val="10.0"/>
      </rPr>
      <t xml:space="preserve"> ระบแสดงยอดรวมทั้งหมดถูกต้อง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</si>
  <si>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กดปุ่ม"+ใบเสนอราคา"</t>
    </r>
    <r>
      <rPr>
        <rFont val="Tahoma"/>
        <b/>
        <color rgb="FF1155CC"/>
        <sz val="10.0"/>
      </rPr>
      <t xml:space="preserve"> กรณี ใช้ส่วนลดข 0 บาท คิด /  VAT = 0% และ ไม่หัก ภาษี 3%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</si>
  <si>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ออกใบแจ้งหนี้หลายใบต่อดีลเดียว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</si>
  <si>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แก้ไขราคาดีลหลังออกใบแจ้งหนี้แล้ว 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</si>
  <si>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>กรณี</t>
    </r>
    <r>
      <rPr>
        <rFont val="Tahoma"/>
        <color rgb="FF1155CC"/>
        <sz val="10.0"/>
      </rPr>
      <t xml:space="preserve"> </t>
    </r>
    <r>
      <rPr>
        <rFont val="Tahoma"/>
        <b/>
        <color rgb="FF1155CC"/>
        <sz val="10.0"/>
      </rPr>
      <t>สร้างใบเสนอราคาหลายครั้งจากดีลเดียว</t>
    </r>
    <r>
      <rPr>
        <rFont val="Tahoma"/>
        <b/>
        <color rgb="FF000000"/>
        <sz val="10.0"/>
      </rPr>
      <t xml:space="preserve">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</si>
  <si>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>กรณี สร้างใบแจ้งหนี้จากดีล "ดีลอยู่สถานะ "ส่งงานแล้ว"/"รอจ่าย"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</si>
  <si>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เลขผู้เสียภาษี "กรอกเลข &gt;13 หลัก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</si>
  <si>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ผู้ติดต่อ / ที่อยู่ลูกค้า / หมายเหตุ "กรอกอักขระพิเศษ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</si>
  <si>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 xml:space="preserve">กรณี "กรอกข้อมูลลูกค้าครบถ้วน และกด ✔️ บันทึกข้อมูลกลับเข้าแบรนด์" </t>
    </r>
    <r>
      <rPr>
        <rFont val="Tahoma"/>
        <color rgb="FF000000"/>
        <sz val="10.0"/>
      </rPr>
      <t xml:space="preserve">ระบแสดงหน้าจอถูกต้อง 
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</si>
  <si>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 xml:space="preserve">กรณี </t>
    </r>
    <r>
      <rPr>
        <rFont val="Tahoma"/>
        <color rgb="FF1155CC"/>
        <sz val="10.0"/>
      </rPr>
      <t>เ</t>
    </r>
    <r>
      <rPr>
        <rFont val="Tahoma"/>
        <b/>
        <color rgb="FF1155CC"/>
        <sz val="10.0"/>
      </rPr>
      <t>ปิดหัก ณ ที่จ่าย อัตราเริ่มต้น 3%</t>
    </r>
    <r>
      <rPr>
        <rFont val="Tahoma"/>
        <color rgb="FF000000"/>
        <sz val="10.0"/>
      </rPr>
      <t xml:space="preserve"> ระบแสดงยอดรวมทั้งหมดถูกต้อง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</si>
  <si>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กดปุ่ม"+ใบแจ้งหนี้"</t>
    </r>
    <r>
      <rPr>
        <rFont val="Tahoma"/>
        <b/>
        <color rgb="FF1155CC"/>
        <sz val="10.0"/>
      </rPr>
      <t xml:space="preserve"> กรณี ใช้ส่วนลด 1,000คิด /  VAT = 7% และ หัก ภาษี 3%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</si>
  <si>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 xml:space="preserve">กรณี ออกใบแจ้งหนี้หลายใบต่อดีลเดียว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>เงื่อนไข</t>
    </r>
    <r>
      <rPr>
        <rFont val="Tahoma"/>
        <color rgb="FF000000"/>
        <sz val="10.0"/>
      </rPr>
      <t xml:space="preserve">
- กด icon : แก้ไข จากหน้า ดีล
- กดเมนู : เอกสาร 
- กรอกข้อมูลให้ครบทุก Field 
-  กดปุ่ม : ออกเอกสาร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</si>
  <si>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 xml:space="preserve">กรณี แก้ไขราคาดีลหลังออกใบแจ้งหนี้แล้ว 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>- กด icon : แก้ไข จากหน้า ดีล
- แก้ไขราคา ดีล : 5,000 ---&gt; 10,000 บาท
-  กดปุ่ม : บันทึก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</si>
  <si>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>กรณี กรอกข้อมูลครบทุก Field และกด "ออกกเอกสาร"</t>
    </r>
    <r>
      <rPr>
        <rFont val="Tahoma"/>
        <color rgb="FF000000"/>
        <sz val="10.0"/>
      </rPr>
      <t xml:space="preserve">ระบแสดงหน้าจอถูกต้อง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กรอกข้อมูลครบทุก Field
-  กดปุ่ม : ออกเอกสาร </t>
    </r>
    <r>
      <rPr>
        <rFont val="Tahoma"/>
        <color rgb="FF000000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</si>
  <si>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>กรณี สร้างใบแจ้งหนี้จากดีล "ดีลอยู่สถานะ "ส่งงานแล้ว"/"รอจ่าย"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</si>
  <si>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เลขผู้เสียภาษี "กรอกเลข &gt;13 หลัก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</si>
  <si>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ผู้ติดต่อ / ที่อยู่ลูกค้า / หมายเหตุ "กรอกอักขระพิเศษ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</si>
  <si>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 xml:space="preserve">กรณี </t>
    </r>
    <r>
      <rPr>
        <rFont val="Tahoma"/>
        <color rgb="FF1155CC"/>
        <sz val="10.0"/>
      </rPr>
      <t>เ</t>
    </r>
    <r>
      <rPr>
        <rFont val="Tahoma"/>
        <b/>
        <color rgb="FF1155CC"/>
        <sz val="10.0"/>
      </rPr>
      <t>ปิดหัก ณ ที่จ่าย อัตราเริ่มต้น 3%</t>
    </r>
    <r>
      <rPr>
        <rFont val="Tahoma"/>
        <color rgb="FF000000"/>
        <sz val="10.0"/>
      </rPr>
      <t xml:space="preserve"> ระบแสดงยอดรวมทั้งหมดถูกต้อง</t>
    </r>
  </si>
  <si>
    <t>Scenario : Case validations  ตั้งค่า "โปรไฟล์ธุรกิจ"</t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</si>
  <si>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กดปุ่ม"+"ใบเสร็จรับเงิน" </t>
    </r>
    <r>
      <rPr>
        <rFont val="Tahoma"/>
        <b/>
        <color rgb="FF1155CC"/>
        <sz val="10.0"/>
      </rPr>
      <t xml:space="preserve">กรณี กรอกส่วนลด 500 บาท 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</si>
  <si>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1155CC"/>
        <sz val="10.0"/>
      </rPr>
      <t>กรณี "กรอกข้อมูลครบถ้วน"</t>
    </r>
    <r>
      <rPr>
        <rFont val="Tahoma"/>
        <color rgb="FF000000"/>
        <sz val="10.0"/>
      </rPr>
      <t>ระบบบันทึกข้อมูลและแสดงหน้าจอถูกต้อง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</si>
  <si>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กดปุ่ม"+ใบเสร็จรับเงิน"</t>
    </r>
    <r>
      <rPr>
        <rFont val="Tahoma"/>
        <b/>
        <color rgb="FF1155CC"/>
        <sz val="10.0"/>
      </rPr>
      <t xml:space="preserve"> กรณี คิด VAT = 0 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</si>
  <si>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:โปรไฟล์ธุรกิจ</t>
    </r>
    <r>
      <rPr>
        <rFont val="Tahoma"/>
        <color rgb="FFFF0000"/>
        <sz val="10.0"/>
      </rPr>
      <t xml:space="preserve"> </t>
    </r>
    <r>
      <rPr>
        <rFont val="Tahoma"/>
        <b/>
        <color rgb="FFFF0000"/>
        <sz val="10.0"/>
      </rPr>
      <t xml:space="preserve">กรณี  Field : ชื่อ/นามปากกา  "กรอกข้อมูลอักขระพิเศษ" และกรอกข้อมูล Field อื่นครบถ้วน แล้วกด "บันทึกโปร์ไฟล์"  </t>
    </r>
    <r>
      <rPr>
        <rFont val="Tahoma"/>
        <color rgb="FF000000"/>
        <sz val="10.0"/>
      </rPr>
      <t xml:space="preserve">ระบบแสดง error ถูกต้อง 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</si>
  <si>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กดปุ่ม"+ใบเสร็จรับเงิน"</t>
    </r>
    <r>
      <rPr>
        <rFont val="Tahoma"/>
        <b/>
        <color rgb="FF1155CC"/>
        <sz val="10.0"/>
      </rPr>
      <t xml:space="preserve"> กรณี ใช้ส่วนลดทั้งหมด 500คิด /  VAT = 0 และ หัก ภาษี 3%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</si>
  <si>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FF0000"/>
        <sz val="10.0"/>
      </rPr>
      <t xml:space="preserve">กรณี  Field : เลขบัตรประชาชน  "กรอกตัวเลขเกิน 13 หลัก" และกรอกข้อมูล Field อื่นครบถ้วน แล้วกด "บันทึกโปร์ไฟล์" </t>
    </r>
    <r>
      <rPr>
        <rFont val="Tahoma"/>
        <b/>
        <color rgb="FF1155CC"/>
        <sz val="10.0"/>
      </rPr>
      <t xml:space="preserve">   </t>
    </r>
    <r>
      <rPr>
        <rFont val="Tahoma"/>
        <color rgb="FF000000"/>
        <sz val="10.0"/>
      </rPr>
      <t xml:space="preserve">ระบบแสดง error ถูกต้อง 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</si>
  <si>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 xml:space="preserve">กรณี ออกใบเสนอราคาหลายใบต่อดีลเดียว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</si>
  <si>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 xml:space="preserve">กรณี "+เพิ่มรายการ"  &gt; 1  รายการ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</si>
  <si>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FF0000"/>
        <sz val="10.0"/>
      </rPr>
      <t>กรณี  Field : โทรศัพท์  "กรอกตัวเลขเกิน 10 หลัก"  แล้วกด "บันทึกโปร์ไฟล์"</t>
    </r>
    <r>
      <rPr>
        <rFont val="Tahoma"/>
        <b/>
        <color rgb="FF1155CC"/>
        <sz val="10.0"/>
      </rPr>
      <t xml:space="preserve">  </t>
    </r>
    <r>
      <rPr>
        <rFont val="Tahoma"/>
        <color rgb="FF000000"/>
        <sz val="10.0"/>
      </rPr>
      <t xml:space="preserve">ระบบแสดง error ถูกต้อง 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</si>
  <si>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"+ใบเสร็จรับเงิน" </t>
    </r>
    <r>
      <rPr>
        <rFont val="Tahoma"/>
        <b/>
        <color rgb="FF1155CC"/>
        <sz val="10.0"/>
      </rPr>
      <t xml:space="preserve">กรณี แก้ไขราคาดีลหลังออกใบเสนอราคาแล้ว 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</si>
  <si>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FF0000"/>
        <sz val="10.0"/>
      </rPr>
      <t>กรณี  Field : e-mail  กรอกข้อมูล "ภาษาไทย/อักขระพิเศษ"  แล้วกด "บันทึกโปร์ไฟล์"</t>
    </r>
    <r>
      <rPr>
        <rFont val="Tahoma"/>
        <b/>
        <color rgb="FF1155CC"/>
        <sz val="10.0"/>
      </rPr>
      <t xml:space="preserve">  </t>
    </r>
    <r>
      <rPr>
        <rFont val="Tahoma"/>
        <color rgb="FF000000"/>
        <sz val="10.0"/>
      </rPr>
      <t xml:space="preserve">ระบบแสดง error ถูกต้อง 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</si>
  <si>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1155CC"/>
        <sz val="10.0"/>
      </rPr>
      <t>กรณี กรแกข้อมูลครบทุก Field และกด "ออกกเอกสาร"</t>
    </r>
    <r>
      <rPr>
        <rFont val="Tahoma"/>
        <color rgb="FF000000"/>
        <sz val="10.0"/>
      </rPr>
      <t xml:space="preserve">ระบแสดงหน้าจอถูกต้อง
</t>
    </r>
    <r>
      <rPr>
        <rFont val="Tahoma"/>
        <b/>
        <color rgb="FF000000"/>
        <sz val="10.0"/>
      </rPr>
      <t xml:space="preserve">เงื่อนไข
</t>
    </r>
    <r>
      <rPr>
        <rFont val="Tahoma"/>
        <color rgb="FF000000"/>
        <sz val="10.0"/>
      </rPr>
      <t xml:space="preserve">- กรอกข้อมูลครบทุก Field
-  กดปุ่ม : ออกเอกสาร </t>
    </r>
    <r>
      <rPr>
        <rFont val="Tahoma"/>
        <color rgb="FF000000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</si>
  <si>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FF0000"/>
        <sz val="10.0"/>
      </rPr>
      <t xml:space="preserve">กรณี  "อัปโหลดโลโก้ใหญ่เกิน"  </t>
    </r>
    <r>
      <rPr>
        <rFont val="Tahoma"/>
        <color rgb="FF000000"/>
        <sz val="10.0"/>
      </rPr>
      <t xml:space="preserve">ระบบแสดง error ถูกต้อง 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</si>
  <si>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FF0000"/>
        <sz val="10.0"/>
      </rPr>
      <t>กรณี  Field เลขบัญชี "กรอกเลขบัญชี เกิน 10 หลัก"</t>
    </r>
    <r>
      <rPr>
        <rFont val="Tahoma"/>
        <b/>
        <color rgb="FF1155CC"/>
        <sz val="10.0"/>
      </rPr>
      <t xml:space="preserve">  </t>
    </r>
    <r>
      <rPr>
        <rFont val="Tahoma"/>
        <color rgb="FF000000"/>
        <sz val="10.0"/>
      </rPr>
      <t xml:space="preserve">ระบบแสดง error ถูกต้อง 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</si>
  <si>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FF0000"/>
        <sz val="10.0"/>
      </rPr>
      <t>กรณี  Field : ชื่อบัญชี  "กรอกข้อมูลอักขระพิเศษ" และกรอกข้อมูล Field อื่นครบถ้วน แล้วกด "บันทึกโปร์ไฟล์"</t>
    </r>
    <r>
      <rPr>
        <rFont val="Tahoma"/>
        <b/>
        <color rgb="FFCC0000"/>
        <sz val="10.0"/>
      </rPr>
      <t xml:space="preserve">  </t>
    </r>
    <r>
      <rPr>
        <rFont val="Tahoma"/>
        <color rgb="FF000000"/>
        <sz val="10.0"/>
      </rPr>
      <t xml:space="preserve">ระบบแสดง error ถูกต้อง 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</si>
  <si>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>กรณี สร้างใบแจ้งหนี้จากดีล "ดีลอยู่สถานะ "ส่งงานแล้ว"/"รอจ่าย"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</si>
  <si>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FF0000"/>
        <sz val="10.0"/>
      </rPr>
      <t xml:space="preserve">กรณี  Field : พร้อมเพย์ "กรอกตัวเลขเกิน 10 หลัก" </t>
    </r>
    <r>
      <rPr>
        <rFont val="Tahoma"/>
        <b/>
        <color rgb="FF1155CC"/>
        <sz val="10.0"/>
      </rPr>
      <t xml:space="preserve"> </t>
    </r>
    <r>
      <rPr>
        <rFont val="Tahoma"/>
        <color rgb="FF000000"/>
        <sz val="10.0"/>
      </rPr>
      <t xml:space="preserve">ระบบแสดง error ถูกต้อง </t>
    </r>
  </si>
  <si>
    <r>
      <rPr>
        <rFont val="Tahoma"/>
        <color rgb="FF000000"/>
        <sz val="10.0"/>
      </rPr>
      <t>ตรวจสอบเมนู :โปรไฟล์ธุรกิจ</t>
    </r>
    <r>
      <rPr>
        <rFont val="Tahoma"/>
        <color rgb="FFFF0000"/>
        <sz val="10.0"/>
      </rPr>
      <t xml:space="preserve"> </t>
    </r>
    <r>
      <rPr>
        <rFont val="Tahoma"/>
        <b/>
        <color rgb="FFFF0000"/>
        <sz val="10.0"/>
      </rPr>
      <t xml:space="preserve">กรณี  แก้ไขข้อมูล ธนาคาร เลือก "-ไม่ระบุ-"  </t>
    </r>
    <r>
      <rPr>
        <rFont val="Tahoma"/>
        <b/>
        <color rgb="FF1155CC"/>
        <sz val="10.0"/>
      </rPr>
      <t>กด "บันทึกโปร์ไฟล์"  และไปทำการออกเอหสาร "ใบแจ้งหนี้"</t>
    </r>
    <r>
      <rPr>
        <rFont val="Tahoma"/>
        <color rgb="FF000000"/>
        <sz val="10.0"/>
      </rPr>
      <t xml:space="preserve"> ระบบแสดงข้อมูลถูกต้อง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</si>
  <si>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เลขผู้เสียภาษี "กรอกเลข &gt;13 หลัก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</si>
  <si>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FF0000"/>
        <sz val="10.0"/>
      </rPr>
      <t xml:space="preserve">กรณี  "ไม่ ✔️ จดทะเบียน VAT " </t>
    </r>
    <r>
      <rPr>
        <rFont val="Tahoma"/>
        <b/>
        <color rgb="FF1155CC"/>
        <sz val="10.0"/>
      </rPr>
      <t>และไปออกเอกสาร "ใบเสนอราคา"</t>
    </r>
    <r>
      <rPr>
        <rFont val="Tahoma"/>
        <color rgb="FF000000"/>
        <sz val="10.0"/>
      </rPr>
      <t xml:space="preserve"> ระบบแสดงข้อมูลถูกต้อง</t>
    </r>
  </si>
  <si>
    <r>
      <rPr>
        <rFont val="Tahoma"/>
        <color rgb="FF000000"/>
        <sz val="10.0"/>
      </rPr>
      <t xml:space="preserve">ตรวจสอบเมนู :โปรไฟล์ธุรกิจ </t>
    </r>
    <r>
      <rPr>
        <rFont val="Tahoma"/>
        <b/>
        <color rgb="FFFF0000"/>
        <sz val="10.0"/>
      </rPr>
      <t xml:space="preserve">กรณี  "✔️จดทะเบียน VAT " </t>
    </r>
    <r>
      <rPr>
        <rFont val="Tahoma"/>
        <b/>
        <color rgb="FF1155CC"/>
        <sz val="10.0"/>
      </rPr>
      <t>และไปออกเอกสาร "ใบเสนอราคา"</t>
    </r>
    <r>
      <rPr>
        <rFont val="Tahoma"/>
        <color rgb="FF000000"/>
        <sz val="10.0"/>
      </rPr>
      <t xml:space="preserve"> ระบบแสดงข้อมูลถูกต้อง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</si>
  <si>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"+ใบแจ้งหนี้" </t>
    </r>
    <r>
      <rPr>
        <rFont val="Tahoma"/>
        <b/>
        <color rgb="FFFF0000"/>
        <sz val="10.0"/>
      </rPr>
      <t>กรณี Field ผู้ติดต่อ / ที่อยู่ลูกค้า / หมายเหตุ "กรอกอักขระพิเศษ "</t>
    </r>
    <r>
      <rPr>
        <rFont val="Tahoma"/>
        <color rgb="FFFF0000"/>
        <sz val="10.0"/>
      </rPr>
      <t xml:space="preserve"> </t>
    </r>
    <r>
      <rPr>
        <rFont val="Tahoma"/>
        <color rgb="FF000000"/>
        <sz val="10.0"/>
      </rPr>
      <t>ระบแสดง error 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</si>
  <si>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:โปรไฟล์ธุรกิ</t>
    </r>
    <r>
      <rPr>
        <rFont val="Tahoma"/>
        <color rgb="FF1155CC"/>
        <sz val="10.0"/>
      </rPr>
      <t xml:space="preserve">จ </t>
    </r>
    <r>
      <rPr>
        <rFont val="Tahoma"/>
        <b/>
        <color rgb="FF1155CC"/>
        <sz val="10.0"/>
      </rPr>
      <t>กรณี  " หัก ณ ที่จ่าย default (%) = 3 " และไปออกเอกสาร "ใบเสนอราคา"</t>
    </r>
    <r>
      <rPr>
        <rFont val="Tahoma"/>
        <color rgb="FF1155CC"/>
        <sz val="10.0"/>
      </rPr>
      <t xml:space="preserve"> </t>
    </r>
    <r>
      <rPr>
        <rFont val="Tahoma"/>
        <color rgb="FF000000"/>
        <sz val="10.0"/>
      </rPr>
      <t>ระบบแสดงข้อมูล หัก ณ ที่จ่าย default (%) ถูกต้อง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</si>
  <si>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</t>
    </r>
    <r>
      <rPr>
        <rFont val="Tahoma"/>
        <color rgb="FF1155CC"/>
        <sz val="10.0"/>
      </rPr>
      <t>เ</t>
    </r>
    <r>
      <rPr>
        <rFont val="Tahoma"/>
        <b/>
        <color rgb="FF1155CC"/>
        <sz val="10.0"/>
      </rPr>
      <t>ปิดหัก ณ ที่จ่าย อัตราเริ่มต้น 3%</t>
    </r>
    <r>
      <rPr>
        <rFont val="Tahoma"/>
        <color rgb="FF000000"/>
        <sz val="10.0"/>
      </rPr>
      <t xml:space="preserve"> ระบแสดงยอดรวมทั้งหมดถูกต้อง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</si>
  <si>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กดปุ่ม"+"ใบเสนอราคา" </t>
    </r>
    <r>
      <rPr>
        <rFont val="Tahoma"/>
        <b/>
        <color rgb="FF1155CC"/>
        <sz val="10.0"/>
      </rPr>
      <t xml:space="preserve">กรณี กรอกส่วนลด 300 บาท 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</si>
  <si>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กดปุ่ม"+ใบเสนอราคา"</t>
    </r>
    <r>
      <rPr>
        <rFont val="Tahoma"/>
        <b/>
        <color rgb="FF1155CC"/>
        <sz val="10.0"/>
      </rPr>
      <t xml:space="preserve"> กรณี คิด VAT = 0 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</si>
  <si>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>"เอกสาร" กดปุ่ม"+ใบเสนอราคา"</t>
    </r>
    <r>
      <rPr>
        <rFont val="Tahoma"/>
        <b/>
        <color rgb="FF1155CC"/>
        <sz val="10.0"/>
      </rPr>
      <t xml:space="preserve"> กรณี ใช้ส่วนลดทั้งหมด 300 /  VAT = 0 และ หัก ภาษี 3%</t>
    </r>
    <r>
      <rPr>
        <rFont val="Tahoma"/>
        <color rgb="FF000000"/>
        <sz val="10.0"/>
      </rPr>
      <t xml:space="preserve"> ระบแสดงยอดรวมทั้งหมดถูกต้อง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</si>
  <si>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ออกใบเสนอราคาหลายใบต่อดีลเดียว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</si>
  <si>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"+เพิ่มรายการ"  &gt; 1  รายการ </t>
    </r>
    <r>
      <rPr>
        <rFont val="Tahoma"/>
        <color rgb="FF000000"/>
        <sz val="10.0"/>
      </rPr>
      <t>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</si>
  <si>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r>
      <rPr>
        <rFont val="Tahoma"/>
        <color rgb="FF000000"/>
        <sz val="10.0"/>
      </rPr>
      <t>ตรวจสอบเมนู : "แก้ไข" หัวข้อ</t>
    </r>
    <r>
      <rPr>
        <rFont val="Tahoma"/>
        <b/>
        <color rgb="FF093D93"/>
        <sz val="10.0"/>
      </rPr>
      <t xml:space="preserve">  </t>
    </r>
    <r>
      <rPr>
        <rFont val="Tahoma"/>
        <color rgb="FF000000"/>
        <sz val="10.0"/>
      </rPr>
      <t xml:space="preserve">"เอกสาร" กดปุ่ม "+ใบเสนอราคา" </t>
    </r>
    <r>
      <rPr>
        <rFont val="Tahoma"/>
        <b/>
        <color rgb="FF1155CC"/>
        <sz val="10.0"/>
      </rPr>
      <t xml:space="preserve">กรณี แก้ไขราคาดีลหลังออกใบเสนอราคาแล้ว </t>
    </r>
    <r>
      <rPr>
        <rFont val="Tahoma"/>
        <color rgb="FF000000"/>
        <sz val="10.0"/>
      </rPr>
      <t xml:space="preserve"> ระบแสดงหน้าจอถูกต้อง</t>
    </r>
    <r>
      <rPr>
        <rFont val="Tahoma"/>
        <color rgb="FFFF0000"/>
        <sz val="10.0"/>
      </rPr>
      <t xml:space="preserve"> </t>
    </r>
    <r>
      <rPr>
        <rFont val="Tahoma"/>
        <color rgb="FF093D93"/>
        <sz val="10.0"/>
        <u/>
      </rPr>
      <t xml:space="preserve">
</t>
    </r>
  </si>
  <si>
    <t>Execution Package</t>
  </si>
  <si>
    <t>Scenario : Case validations : เมนู "แพ็กเกจสมาชิก"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</si>
  <si>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สมัครใช้งานครั้งแรก
</t>
    </r>
    <r>
      <rPr>
        <rFont val="Tahoma"/>
        <color rgb="FF000000"/>
        <sz val="10.0"/>
      </rPr>
      <t>- New User</t>
    </r>
  </si>
  <si>
    <r>
      <rPr>
        <rFont val="Tahoma"/>
        <color rgb="FF000000"/>
        <sz val="10.0"/>
      </rPr>
      <t xml:space="preserve">1. ระบบต้อง default ที่ Free Package
2. </t>
    </r>
    <r>
      <rPr>
        <rFont val="Tahoma"/>
        <color rgb="FF6AA84F"/>
        <sz val="10.0"/>
      </rPr>
      <t>แสดง</t>
    </r>
    <r>
      <rPr>
        <rFont val="Tahoma"/>
        <color rgb="FF000000"/>
        <sz val="10.0"/>
      </rPr>
      <t>ปุ่มทดลองใช้งานฟรี 14 วันที่ตัว Pro Package</t>
    </r>
  </si>
  <si>
    <t>James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</si>
  <si>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เคยใช้ตัว Pro แต่ยกเลิกการ subscription ไปแล้ว
</t>
    </r>
    <r>
      <rPr>
        <rFont val="Tahoma"/>
        <color rgb="FF000000"/>
        <sz val="10.0"/>
      </rPr>
      <t>- Old User</t>
    </r>
  </si>
  <si>
    <r>
      <rPr>
        <rFont val="Tahoma"/>
        <color rgb="FF000000"/>
        <sz val="10.0"/>
      </rPr>
      <t xml:space="preserve">1. ระบบต้อง default ที่ Free Package
2. </t>
    </r>
    <r>
      <rPr>
        <rFont val="Tahoma"/>
        <color rgb="FFFF0000"/>
        <sz val="10.0"/>
      </rPr>
      <t>ไม่แสดง</t>
    </r>
    <r>
      <rPr>
        <rFont val="Tahoma"/>
        <color rgb="FF000000"/>
        <sz val="10.0"/>
      </rPr>
      <t>ปุ่มทดลองใช้งานฟรี 14 วันที่ตัว Pro Package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</si>
  <si>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สมัครใช้งานครั้งแรก และ ทำการทดลองใช้ตัว Pro Package 14 วัน
</t>
    </r>
    <r>
      <rPr>
        <rFont val="Tahoma"/>
        <color rgb="FF000000"/>
        <sz val="10.0"/>
      </rPr>
      <t>- New User
- Activate Free Trial</t>
    </r>
  </si>
  <si>
    <t>1. ระบบต้อง default ที่ Pro Package
2. แสดงวันที่ต่ออายุอัตโนมัติ (14 วันหลังจากจากรับสิทธิ์ ทดลองใช้งาน)
3. แสดงปุ่ม "จัดการการเรียกเก็บเงิน"</t>
  </si>
  <si>
    <t>https://trello.com/c/9qRGckij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</si>
  <si>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สมัครใช้งานครั้งแรก และ ซื้อ Pro Package เลยแบบรายเดือน (ข้ามทดลองใช้งาน)
</t>
    </r>
    <r>
      <rPr>
        <rFont val="Tahoma"/>
        <color rgb="FF000000"/>
        <sz val="10.0"/>
      </rPr>
      <t>- ไม่เคยใช้ Free Trial
- ซื้อรายเดือน</t>
    </r>
  </si>
  <si>
    <r>
      <rPr>
        <rFont val="Tahoma"/>
        <color rgb="FF000000"/>
        <sz val="10.0"/>
      </rPr>
      <t xml:space="preserve">1. ระบบต้อง default ที่ Pro Package
</t>
    </r>
    <r>
      <rPr>
        <rFont val="Tahoma"/>
        <strike/>
        <color rgb="FF000000"/>
        <sz val="12.0"/>
      </rPr>
      <t xml:space="preserve">2. แสดงวันที่ต่ออายุอัตโนมัติ (44 วันหลังจากสมัคร -&gt; Pro Package (30 days) + Free trial (14 days)
</t>
    </r>
    <r>
      <rPr>
        <rFont val="Tahoma"/>
        <color rgb="FF000000"/>
        <sz val="10.0"/>
      </rPr>
      <t>2. แสดงวันที่ต่ออายุอัตโนมัติ 30 วันหลังจากสมัคร -&gt; Pro Package (30 days)
3. แสดงปุ่ม "จัดการการเรียกเก็บเงิน"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</si>
  <si>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สมัครใช้งานครั้งแรก และ ซื้อ Pro Package เลยแบบรายปี (ข้ามทดลองใช้งาน)
</t>
    </r>
    <r>
      <rPr>
        <rFont val="Tahoma"/>
        <color rgb="FF000000"/>
        <sz val="10.0"/>
      </rPr>
      <t>- ไม่เคยใช้ Free Trial
- ซื้อรายปี</t>
    </r>
  </si>
  <si>
    <r>
      <rPr>
        <rFont val="Tahoma"/>
        <color rgb="FF000000"/>
        <sz val="10.0"/>
      </rPr>
      <t xml:space="preserve">1. ระบบต้อง default ที่ Pro Package
</t>
    </r>
    <r>
      <rPr>
        <rFont val="Tahoma"/>
        <strike/>
        <color rgb="FF000000"/>
        <sz val="12.0"/>
      </rPr>
      <t xml:space="preserve">2. แสดงวันที่ต่ออายุอัตโนมัติ (379 วันหลังจากสมัคร -&gt; Pro Package (365 days) + Free trial (14 days)
</t>
    </r>
    <r>
      <rPr>
        <rFont val="Tahoma"/>
        <color rgb="FF000000"/>
        <sz val="10.0"/>
      </rPr>
      <t>2. แสดงวันที่ต่ออายุอัตโนมัติ 365 วันหลังจากสมัคร -&gt; Pro Package (365 days)
3. ราคาต้องถูกลง 2 เดือน
4. แสดงปุ่ม "จัดการการเรียกเก็บเงิน"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</si>
  <si>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กำลังอยู่ในช่วงทดลองใช้งาน Pro และตัดสินใจสมัคร Package Pro
</t>
    </r>
    <r>
      <rPr>
        <rFont val="Tahoma"/>
        <color rgb="FF000000"/>
        <sz val="10.0"/>
      </rPr>
      <t>- Free Trial Activating
- ซื้อแพ็กเกจ Pro</t>
    </r>
  </si>
  <si>
    <r>
      <rPr>
        <rFont val="Tahoma"/>
        <color rgb="FF000000"/>
        <sz val="10.0"/>
      </rPr>
      <t xml:space="preserve">1. ระบบต้อง default ที่ Pro Package
</t>
    </r>
    <r>
      <rPr>
        <rFont val="Tahoma"/>
        <strike/>
        <color rgb="FF000000"/>
        <sz val="12.0"/>
      </rPr>
      <t>2.</t>
    </r>
    <r>
      <rPr>
        <rFont val="Tahoma"/>
        <strike/>
        <color rgb="FFBF9000"/>
        <sz val="10.0"/>
      </rPr>
      <t xml:space="preserve"> แสดงวันที่ต่ออายุอัตโนมัติ (วันที่คงเหลือของ Free Trail + วันที่ของ package ที่ซื้อ (Monthly/Weekly))
</t>
    </r>
    <r>
      <rPr>
        <rFont val="Tahoma"/>
        <color rgb="FF000000"/>
        <sz val="10.0"/>
      </rPr>
      <t>2. ระบบต้อง Reset วันที่คงเหลือตาม package ที่ซื้อ (โดยไม่เอาวันที่คงเหลือของ Free trial มาบวก)
3. แสดงปุ่ม "จัดการการเรียกเก็บเงิน"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</si>
  <si>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ใช้แพ็กเกจแบบรายเดือนอยู่ และ ปล่อยให้ระบบต่ออายุอัตโนมัติ แบบมีวงเงินในบัตรเครดิต</t>
    </r>
    <r>
      <rPr>
        <rFont val="Tahoma"/>
        <b/>
        <color rgb="FF93C47D"/>
        <sz val="10.0"/>
      </rPr>
      <t xml:space="preserve">เพียงพอ
</t>
    </r>
    <r>
      <rPr>
        <rFont val="Tahoma"/>
        <color rgb="FF000000"/>
        <sz val="10.0"/>
      </rPr>
      <t>- รายเดือน
- ต่ออายุอัตโนมัติ</t>
    </r>
  </si>
  <si>
    <t>1. ระบบสามารถต่ออายุได้
2. แสดงวันที่ต่ออายุอัตโนมัติ (30 วันหลังจากวันที่ต่ออายุ)
3. แสดงปุ่ม "จัดการการเรียกเก็บเงิน"</t>
  </si>
  <si>
    <t>https://trello.com/c/mJi7vaRw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</si>
  <si>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ใช้แพ็กเกจแบบรายปีอยู่ และ ปล่อยให้ระบบต่ออายุอัตโนมัติ แบบมีวงเงินในบัตรเครดิต</t>
    </r>
    <r>
      <rPr>
        <rFont val="Tahoma"/>
        <b/>
        <color rgb="FF93C47D"/>
        <sz val="10.0"/>
      </rPr>
      <t xml:space="preserve">เพียงพอ
</t>
    </r>
    <r>
      <rPr>
        <rFont val="Tahoma"/>
        <color rgb="FF000000"/>
        <sz val="10.0"/>
      </rPr>
      <t>- รายปี
- ต่ออายุอัตโนมัติ</t>
    </r>
  </si>
  <si>
    <t>1. ระบบสามารถต่ออายุได้
2. แสดงวันที่ต่ออายุอัตโนมัติ (425 วันหลังจากวันที่ต่ออายุ)
3. แสดงปุ่ม "จัดการการเรียกเก็บเงิน"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</si>
  <si>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ปล่อยให้ระบบต่ออายุอัตโนมัติ แต่มีการเปลี่ยนบัตรเครดิตที่จะใช้ชำระเงิน
</t>
    </r>
    <r>
      <rPr>
        <rFont val="Tahoma"/>
        <color rgb="FF000000"/>
        <sz val="10.0"/>
      </rPr>
      <t>- ต่ออายุอัตโนมัติ
- เปลี่ยนบัตรเครดิตที่ใช้ตัดเงิน</t>
    </r>
  </si>
  <si>
    <t>1. ระบบสามารถต่ออายุได้
2. เงินจะต้องถูกหักจากบัตรเครดิตใบใหม่
3. แสดงวันที่ต่ออายุอัตโนมัติ
4. แสดงปุ่ม "จัดการการเรียกเก็บเงิน"</t>
  </si>
  <si>
    <t>Blocked</t>
  </si>
  <si>
    <t>ไม่มี data ของบัตรเครดิตที่ใช้งานได้ อีกใบ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</si>
  <si>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ปล่อยให้ระบบต่ออายุอัตโนมัติ แต่มีวงเงินในบัตรเครดิต</t>
    </r>
    <r>
      <rPr>
        <rFont val="Tahoma"/>
        <b/>
        <color rgb="FFFF0000"/>
        <sz val="10.0"/>
      </rPr>
      <t>ไม่เพียงพอ</t>
    </r>
  </si>
  <si>
    <t>1. ระบบไม่สามารถต่ออายุได้
2. User รายนี้กลับไปเป็น Free Package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</si>
  <si>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ปล่อยให้ระบบต่ออายุอัตโนมัติ แต่</t>
    </r>
    <r>
      <rPr>
        <rFont val="Tahoma"/>
        <b/>
        <color rgb="FFFF0000"/>
        <sz val="10.0"/>
      </rPr>
      <t>บัตรหมดอายุ</t>
    </r>
  </si>
  <si>
    <t>Current month = 07/2026
EXP credit card = 07/2026
New Month = 08/2026 -&gt;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</si>
  <si>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ทำการซื้อ Pro Package แบบรายเดือน ด้วยการสแกนจ่าย QR Code
</t>
    </r>
    <r>
      <rPr>
        <rFont val="Tahoma"/>
        <color rgb="FF000000"/>
        <sz val="10.0"/>
      </rPr>
      <t>- QR Code
- รายเดือน</t>
    </r>
  </si>
  <si>
    <t>Pay 1 = 01/07
Pay 2 = 02/07 -&gt; + Membership 30 days</t>
  </si>
  <si>
    <t>1. ระบบต้อง default ที่ Pro Package
2. แสดงวันที่ต่ออายุอัตโนมัติ (30 วันหลังจากซื้อแพ็กเกจ)
3. แสดงปุ่ม "จัดการการเรียกเก็บเงิน"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</si>
  <si>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ทำการซื้อ Pro Package แบบรายปี ด้วยการสแกนจ่าย QR Code
</t>
    </r>
    <r>
      <rPr>
        <rFont val="Tahoma"/>
        <color rgb="FF000000"/>
        <sz val="10.0"/>
      </rPr>
      <t>- QR Code
- รายปี</t>
    </r>
  </si>
  <si>
    <t>1. ระบบต้อง default ที่ Pro Package
2. แสดงวันที่ต่ออายุอัตโนมัติ (425 วันหลังจากซื้อแพ็กเกจ)
3. แสดงปุ่ม "จัดการการเรียกเก็บเงิน"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</si>
  <si>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 Cancel Subscription โดยไม่กรอกเหตุผลในการยกเลิก
</t>
    </r>
    <r>
      <rPr>
        <rFont val="Tahoma"/>
        <color rgb="FF000000"/>
        <sz val="10.0"/>
      </rPr>
      <t>- Cancel with no reason
- Monthly
- ได้รับ Email</t>
    </r>
  </si>
  <si>
    <t>1. สามารถทำการยกเลิกได้
2. User ยังคงสามารถเข้าถึง features ของ Pro Package ได้ถึงวันที่กำหนด
3. แสดง Label "แผนของคุณจะหมดวันที่ xx"
4. แสดงปุ่ม "จัดการการเรียกเก็บเงิน"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</si>
  <si>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 Cancel Subscription โดยทำการกรอกเหตุผลในการยกเลิก
</t>
    </r>
    <r>
      <rPr>
        <rFont val="Tahoma"/>
        <color rgb="FF000000"/>
        <sz val="10.0"/>
      </rPr>
      <t>- Cancel with a reason
- Monthly
- ได้รับ Email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</si>
  <si>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 Cancel Subscription โดยไม่กรอกเหตุผลในการยกเลิก
</t>
    </r>
    <r>
      <rPr>
        <rFont val="Tahoma"/>
        <color rgb="FF000000"/>
        <sz val="10.0"/>
      </rPr>
      <t>- Cancel with no reason
- Yearly
- ได้รับ Email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</si>
  <si>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 Cancel Subscription โดยทำการกรอกเหตุผลในการยกเลิก
</t>
    </r>
    <r>
      <rPr>
        <rFont val="Tahoma"/>
        <color rgb="FF000000"/>
        <sz val="10.0"/>
      </rPr>
      <t>- Cancel with a reason
- Yearly
- ได้รับ Email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</si>
  <si>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 Cancel Subscription และรอให้เลยวันสุดท้ายของ Pro Package
</t>
    </r>
    <r>
      <rPr>
        <rFont val="Tahoma"/>
        <color rgb="FF000000"/>
        <sz val="10.0"/>
      </rPr>
      <t>- Cancel and wait for Pro period to run out</t>
    </r>
  </si>
  <si>
    <t>1. User กลับไปเป็น Free Package (ระบบต้องไม่ต่ออายุให้ User รายนั้น)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</si>
  <si>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 Cancel Subscription ไปแล้วแต่เปลี่ยนใจจะไม่ยกเลิก (Renew Subscription)
</t>
    </r>
    <r>
      <rPr>
        <rFont val="Tahoma"/>
        <color rgb="FF000000"/>
        <sz val="10.0"/>
      </rPr>
      <t>- Renew subscription</t>
    </r>
  </si>
  <si>
    <t>1. ระบบต้องทำการ Renew ได้สำเร็จ
2. พอถึงวันต่ออายุอัตโนมัติ ระบบต้องทำการต่ออายุให้</t>
  </si>
  <si>
    <r>
      <rPr>
        <rFont val="Tahoma"/>
        <b/>
        <color rgb="FF000000"/>
        <sz val="12.0"/>
      </rPr>
      <t xml:space="preserve">Scenario : สิ่งที่ User ที่ใช้ Free Package </t>
    </r>
    <r>
      <rPr>
        <rFont val="Tahoma"/>
        <b/>
        <color rgb="FF6AA84F"/>
        <sz val="12.0"/>
      </rPr>
      <t>ทำได้</t>
    </r>
  </si>
  <si>
    <t>Scenario : Case validations : เมนู "ปฏิทิน" จากการสร้างดีล</t>
  </si>
  <si>
    <r>
      <rPr>
        <rFont val="Tahoma"/>
        <color rgb="FF000000"/>
        <sz val="10.0"/>
      </rPr>
      <t xml:space="preserve">ตรวจสอบเมนู : ดีล (Free Package)
</t>
    </r>
    <r>
      <rPr>
        <rFont val="Tahoma"/>
        <b/>
        <color rgb="FF1155CC"/>
        <sz val="10.0"/>
      </rPr>
      <t>กรณี : User ยังสร้างดีลไม่ครบ 3 ดีล</t>
    </r>
  </si>
  <si>
    <t>1. ระบบจะยัง enable ปุ่ม "เพิ่มดีล" ให้ลูกค้าสามารถเพิ่มดีลได้อยู่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</si>
  <si>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ยังไม่เคยมีการสร้างดีล + ไม่ได้เชื่อม Google Calendar</t>
    </r>
  </si>
  <si>
    <r>
      <rPr>
        <rFont val="Tahoma"/>
        <color rgb="FF000000"/>
        <sz val="10.0"/>
      </rPr>
      <t xml:space="preserve">ตรวจสอบเมนู : ดีล (Free Package)
</t>
    </r>
    <r>
      <rPr>
        <rFont val="Tahoma"/>
        <b/>
        <color rgb="FF1155CC"/>
        <sz val="10.0"/>
      </rPr>
      <t>กรณี : User สร้างดีลครบ 3 ดีล</t>
    </r>
  </si>
  <si>
    <t>1. ใน Calendar ไม่มีการลง event ใดๆ
2. มีปุ่มให้กดเพื่อ เชื่อมบัญชี Google
3. มีปุ่มให้กดเพื่อ ไปหน้าดีล</t>
  </si>
  <si>
    <t>1. ระบบจะยัง enable ปุ่ม "เพิ่มดีล" แต่เมื่อกดแล้วจะแสดง popup ให้ไปสมัคร package pro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</si>
  <si>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วันที่นัดส่งสคริปต์ให้แบรนด์รีวิว และยังห่างจากวันปัจจุบันเกิน 3 วัน
</t>
    </r>
    <r>
      <rPr>
        <rFont val="Tahoma"/>
        <color rgb="FF000000"/>
        <sz val="10.0"/>
      </rPr>
      <t>-  วันที่นัดส่งสคริปต์ให้แบรนด์รีวิว &gt; (Current date + 3 วัน)</t>
    </r>
  </si>
  <si>
    <r>
      <rPr>
        <rFont val="Tahoma"/>
        <color rgb="FF000000"/>
        <sz val="10.0"/>
      </rPr>
      <t xml:space="preserve">ตรวจสอบเมนู : ดีล (Free Package)
</t>
    </r>
    <r>
      <rPr>
        <rFont val="Tahoma"/>
        <b/>
        <color rgb="FF1155CC"/>
        <sz val="10.0"/>
      </rPr>
      <t>กรณี : User สร้างดีลครบ 3 ดีลแต่มีการลบไป 1 ดีล</t>
    </r>
  </si>
  <si>
    <t>1. แสดง Event ส่งสคริปต์ - (ชื่อแบรนด์) (Highlight สีชมพู)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</si>
  <si>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วันที่นัดส่งสคริปต์ให้แบรนด์รีวิว และเกือบจะถึง deadline แล้ว (&lt;= 3 วัน)
</t>
    </r>
    <r>
      <rPr>
        <rFont val="Tahoma"/>
        <color rgb="FF000000"/>
        <sz val="10.0"/>
      </rPr>
      <t>-  วันที่นัดส่งสคริปต์ให้แบรนด์รีวิว &lt;= (Current date + 3 วัน) แต่ไม่ต่ำกว่า Current Date</t>
    </r>
  </si>
  <si>
    <t>Scenario : Case validations : เมนู "ทีม" (Section สมาชิกในทีม)</t>
  </si>
  <si>
    <r>
      <rPr>
        <rFont val="Tahoma"/>
        <color rgb="FF000000"/>
        <sz val="10.0"/>
      </rPr>
      <t xml:space="preserve">ตรวจสอบเมนู : ดีล (Free Package)
</t>
    </r>
    <r>
      <rPr>
        <rFont val="Tahoma"/>
        <b/>
        <color rgb="FF1155CC"/>
        <sz val="10.0"/>
      </rPr>
      <t xml:space="preserve">กรณี : User สามารถออกใบเสนอราคา / แจ้งหนี้ / ใบเสร็จ / ใบกำกับภาษี ได้ไม่จำกัด
</t>
    </r>
    <r>
      <rPr>
        <rFont val="Tahoma"/>
        <color rgb="FF000000"/>
        <sz val="10.0"/>
      </rPr>
      <t>- ออกใบเสนอราคา 2 ใบ
- ออกแจ้งหนี้ 2 ใบ
- ออกใบเสร็จ 2 ใบ
- ใบกำกับภาษี 2 ใบ</t>
    </r>
  </si>
  <si>
    <t>1. แสดง Event ส่งสคริปต์ - (ชื่อแบรนด์) (Highlight สีชมพู) (จุดเหลือง)</t>
  </si>
  <si>
    <t>1. User ต้องสามารถออกใบเสนอราคา / แจ้งหนี้ / ใบเสร็จ / ใบกำกับภาษี ได้ไม่จำกัด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</si>
  <si>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วันที่นัดส่งสคริปต์ให้แบรนด์รีวิว แต่เลย deadline แล้ว (&lt; Current date)
</t>
    </r>
    <r>
      <rPr>
        <rFont val="Tahoma"/>
        <color rgb="FF000000"/>
        <sz val="10.0"/>
      </rPr>
      <t>-  วันที่นัดส่งสคริปต์ให้แบรนด์รีวิว &lt; (Current date)</t>
    </r>
  </si>
  <si>
    <t>1. แสดง Event ส่งสคริปต์ - (ชื่อแบรนด์) (Highlight สีชมพู) (จุดแดง)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</si>
  <si>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ยังไม่ได้มีการเพิ่มสมาชิกในทีม</t>
    </r>
  </si>
  <si>
    <t>1. ระบบต้องแสดงเพียงเจ้าของธุรกิจภายใต้ "สมาชิกในทีม"</t>
  </si>
  <si>
    <r>
      <rPr>
        <rFont val="Tahoma"/>
        <color rgb="FF000000"/>
        <sz val="10.0"/>
      </rPr>
      <t xml:space="preserve">ตรวจสอบเมนู : ดีล (Free Package)
</t>
    </r>
    <r>
      <rPr>
        <rFont val="Tahoma"/>
        <b/>
        <color rgb="FF1155CC"/>
        <sz val="10.0"/>
      </rPr>
      <t>กรณี : User สามารถบันทึกรับเงินในดีลได้</t>
    </r>
  </si>
  <si>
    <t>1. User ต้องสามารถบันทึกรับเงินได้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</si>
  <si>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วันที่นัดส่งงาน  และยังห่างจากวันปัจจุบันเกิน 3 วัน
</t>
    </r>
    <r>
      <rPr>
        <rFont val="Tahoma"/>
        <color rgb="FF000000"/>
        <sz val="10.0"/>
      </rPr>
      <t>-  วันที่นัดส่งงาน  &gt; (Current date + 3 วัน)</t>
    </r>
  </si>
  <si>
    <t>1. แสดง Event ส่งงาน - (ชื่อแบรนด์) (Highlight สีฟ้า)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</si>
  <si>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มีสมาชิก 2 คน</t>
    </r>
  </si>
  <si>
    <t>1. ระบบต้องแสดงรายชื่อสมาชิกทั้งหมดภายใต้ "สมาชิกในทีม"
2. ปุ่ม "เชิญสมาชิก" จะต้อง enable อยู่
3. เจ้าของธุรกิจจะต้องเห็นปุ่ม "ถอนออก" ที่สมาชิกในทีม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</si>
  <si>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วันที่นัดส่งงาน  และเกือบจะถึง deadline แล้ว (&lt;= 3 วัน)
</t>
    </r>
    <r>
      <rPr>
        <rFont val="Tahoma"/>
        <color rgb="FF000000"/>
        <sz val="10.0"/>
      </rPr>
      <t>-  วันที่นัดส่งงาน  &lt;= (Current date + 3 วัน) แต่ไม่ต่ำกว่า Current Date</t>
    </r>
  </si>
  <si>
    <r>
      <rPr>
        <rFont val="Tahoma"/>
        <color rgb="FF000000"/>
        <sz val="10.0"/>
      </rPr>
      <t xml:space="preserve">ตรวจสอบเมนู : คิดเรตงาน (Free Package)
</t>
    </r>
    <r>
      <rPr>
        <rFont val="Tahoma"/>
        <b/>
        <color rgb="FF1155CC"/>
        <sz val="10.0"/>
      </rPr>
      <t>กรณี : User สามารถใช้งาน feature ตัวช่วยคิดเรตงานได้</t>
    </r>
  </si>
  <si>
    <t>1. แสดง Event ส่งงาน - (ชื่อแบรนด์) (Highlight สีฟ้า) (จุดเหลือง)</t>
  </si>
  <si>
    <t>1. User ต้องสามารถใช้งาน feature ตัวช่วยคิดเรตงานได้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</si>
  <si>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มีสมาชิก 3 คน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</si>
  <si>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วันที่นัดส่งงาน  แต่เลย deadline แล้ว (&lt; Current date)
</t>
    </r>
    <r>
      <rPr>
        <rFont val="Tahoma"/>
        <color rgb="FF000000"/>
        <sz val="10.0"/>
      </rPr>
      <t>-  วันที่นัดส่งงาน  &lt; (Current date)</t>
    </r>
  </si>
  <si>
    <t>1. ระบบต้องแสดงรายชื่อสมาชิกทั้งหมดภายใต้ "สมาชิกในทีม"
2. ปุ่ม "เชิญสมาชิก" จะต้อง disable
3. เจ้าของธุรกิจจะต้องเห็นปุ่ม "ถอนออก" ที่สมาชิกในทีม</t>
  </si>
  <si>
    <t>1. แสดง Event ส่งงาน - (ชื่อแบรนด์) (Highlight สีฟ้า) (จุดแดง)</t>
  </si>
  <si>
    <t>Link</t>
  </si>
  <si>
    <r>
      <rPr>
        <rFont val="Tahoma"/>
        <color rgb="FF000000"/>
        <sz val="10.0"/>
      </rPr>
      <t xml:space="preserve">ตรวจสอบเมนู : ปฏิทิน (Free Package)
</t>
    </r>
    <r>
      <rPr>
        <rFont val="Tahoma"/>
        <b/>
        <color rgb="FF1155CC"/>
        <sz val="10.0"/>
      </rPr>
      <t>กรณี : User สามารถเข้าไปดูปฏิทินคอนเทนต์ได้</t>
    </r>
  </si>
  <si>
    <t>1. User ต้องสามารถเข้าไปดูปฏิทินคอนเทนต์ได้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</si>
  <si>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วันลงงาน / เผยแพร่ และยังห่างจากวันปัจจุบันเกิน 3 วัน
</t>
    </r>
    <r>
      <rPr>
        <rFont val="Tahoma"/>
        <color rgb="FF000000"/>
        <sz val="10.0"/>
      </rPr>
      <t>-  วันที่นัดส่งงาน  &gt; (Current date + 3 วัน)</t>
    </r>
  </si>
  <si>
    <t>1. แสดง Event เผยแพร่ - (ชื่อแบรนด์) (Highlight สีฟ้า)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</si>
  <si>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User เป็น Pro และ มีสมาชิกภายในทีมครบ 3 คน แต่ถูกลดขั้นกลับมาเป็น Free (Free จะจำกัดให้มีสมาชิกได้เพียง 1 คน)</t>
    </r>
  </si>
  <si>
    <r>
      <rPr>
        <rFont val="Tahoma"/>
        <color rgb="FF000000"/>
        <sz val="10.0"/>
      </rPr>
      <t xml:space="preserve">ตรวจสอบเมนู : ปฏิทิน (Free Package)
</t>
    </r>
    <r>
      <rPr>
        <rFont val="Tahoma"/>
        <b/>
        <color rgb="FF1155CC"/>
        <sz val="10.0"/>
      </rPr>
      <t>กรณี : User ฟรีต้องใช้งานได้สูงสุด 1 ธุรกิจ</t>
    </r>
  </si>
  <si>
    <t>1. User ลำดับที่ 2 กับ 3 จะเห็น ธุรกิจนั้นอยู่แต่เข้าไม่ได้ (แสดงเป็น disabled)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</si>
  <si>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วันลงงาน / เผยแพร่ และเกือบจะถึง deadline แล้ว (&lt;= 3 วัน)
</t>
    </r>
    <r>
      <rPr>
        <rFont val="Tahoma"/>
        <color rgb="FF000000"/>
        <sz val="10.0"/>
      </rPr>
      <t>-  วันลงงาน / เผยแพร่ &lt;= (Current date + 3 วัน) แต่ไม่ต่ำกว่า Current Date</t>
    </r>
  </si>
  <si>
    <t>1. User สามารถมีได้เพียง 1 ธุรกิจ</t>
  </si>
  <si>
    <t>1. แสดง Event เผยแพร่ - (ชื่อแบรนด์) (Highlight สีฟ้า) (จุดเหลือง)</t>
  </si>
  <si>
    <t>ไม่แสดงจุดเหลืองกรณีใกล้ถึงวัน</t>
  </si>
  <si>
    <t>https://trello.com/c/yeRwMM9h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</si>
  <si>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วันลงงาน / เผยแพร่ แต่เลย deadline แล้ว (&lt; Current date)
</t>
    </r>
    <r>
      <rPr>
        <rFont val="Tahoma"/>
        <color rgb="FF000000"/>
        <sz val="10.0"/>
      </rPr>
      <t>-  วันลงงาน / เผยแพร่ &lt; (Current date)</t>
    </r>
  </si>
  <si>
    <t>1. แสดง Event เผยแพร่ - (ชื่อแบรนด์) (Highlight สีฟ้า) (จุดแดง)</t>
  </si>
  <si>
    <t>Scenario : Case validations : เมนู "ทีม" (Section คำเชิญค้างอยู่)</t>
  </si>
  <si>
    <r>
      <rPr>
        <rFont val="Tahoma"/>
        <b/>
        <color rgb="FF000000"/>
        <sz val="12.0"/>
      </rPr>
      <t xml:space="preserve">Scenario : สิ่งที่ User ที่ใช้ Free Package </t>
    </r>
    <r>
      <rPr>
        <rFont val="Tahoma"/>
        <b/>
        <color rgb="FFFF0000"/>
        <sz val="12.0"/>
      </rPr>
      <t>ทำไม่ได้</t>
    </r>
  </si>
  <si>
    <t>ไม่่แสดงจุดแดงกรณีเลบวัน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</si>
  <si>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กำหนดจ่ายเงิน และยังห่างจากวันปัจจุบันเกิน 3 วัน
</t>
    </r>
    <r>
      <rPr>
        <rFont val="Tahoma"/>
        <color rgb="FF000000"/>
        <sz val="10.0"/>
      </rPr>
      <t>-  กำหนดจ่ายเงิน &gt; (Current date + 3 วัน)</t>
    </r>
  </si>
  <si>
    <t>1. แสดง Event รับเงิน - (ชื่อแบรนด์) (Highlight สีเหลือง)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</si>
  <si>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วันที่นัดส่งงาน  และเกือบจะถึง deadline แล้ว (&lt;= 3 วัน)
</t>
    </r>
    <r>
      <rPr>
        <rFont val="Tahoma"/>
        <color rgb="FF000000"/>
        <sz val="10.0"/>
      </rPr>
      <t>-  วันที่นัดส่งงาน  &lt;= (Current date + 3 วัน) แต่ไม่ต่ำกว่า Current Date</t>
    </r>
  </si>
  <si>
    <t>1. แสดง Event รับเงิน - (ชื่อแบรนด์) (Highlight สีเหลือง) (จุดเหลือง)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</si>
  <si>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ไม่มีคำเชิญค้างอยู่</t>
    </r>
  </si>
  <si>
    <r>
      <rPr>
        <rFont val="Tahoma"/>
        <color rgb="FF000000"/>
        <sz val="10.0"/>
      </rPr>
      <t xml:space="preserve">ตรวจสอบเมนู : เงินและภาษี (Free Package)
</t>
    </r>
    <r>
      <rPr>
        <rFont val="Tahoma"/>
        <b/>
        <color rgb="FF1155CC"/>
        <sz val="10.0"/>
      </rPr>
      <t xml:space="preserve">กรณี : User </t>
    </r>
    <r>
      <rPr>
        <rFont val="Tahoma"/>
        <b/>
        <color rgb="FFFF0000"/>
        <sz val="10.0"/>
      </rPr>
      <t>ต้องไม่สามารถ</t>
    </r>
    <r>
      <rPr>
        <rFont val="Tahoma"/>
        <b/>
        <color rgb="FF1155CC"/>
        <sz val="10.0"/>
      </rPr>
      <t>เข้าถึงเมนู เงินและภาษี ได้</t>
    </r>
  </si>
  <si>
    <t>1. ระบบแสดง label "ไม่มีคำเชิญที่ค้างอยู่"</t>
  </si>
  <si>
    <t xml:space="preserve">1. ระบบต้อง Lock เมนูย่อยทั้งหมดภายใต้ เมนู เงินและภาษี 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</si>
  <si>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มีการสร้างดีลโดยมีเพียง กำหนดจ่ายเงิน แต่เลย deadline แล้ว (&lt; Current date)
</t>
    </r>
    <r>
      <rPr>
        <rFont val="Tahoma"/>
        <color rgb="FF000000"/>
        <sz val="10.0"/>
      </rPr>
      <t>-  กำหนดจ่ายเงิน &lt; (Current date)</t>
    </r>
  </si>
  <si>
    <t>1. แสดง Event รับเงิน - (ชื่อแบรนด์) (Highlight สีเหลือง) (จุดแดง)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</si>
  <si>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มีคำเชิญค้างอยู่</t>
    </r>
  </si>
  <si>
    <r>
      <rPr>
        <rFont val="Tahoma"/>
        <color rgb="FF000000"/>
        <sz val="10.0"/>
      </rPr>
      <t xml:space="preserve">ตรวจสอบเมนู : เงินและภาษี (Free Package)
</t>
    </r>
    <r>
      <rPr>
        <rFont val="Tahoma"/>
        <b/>
        <color rgb="FF1155CC"/>
        <sz val="10.0"/>
      </rPr>
      <t xml:space="preserve">กรณี : User </t>
    </r>
    <r>
      <rPr>
        <rFont val="Tahoma"/>
        <b/>
        <color rgb="FFFF0000"/>
        <sz val="10.0"/>
      </rPr>
      <t>ต้องไม่สามารถ</t>
    </r>
    <r>
      <rPr>
        <rFont val="Tahoma"/>
        <b/>
        <color rgb="FF1155CC"/>
        <sz val="10.0"/>
      </rPr>
      <t>เข้าถึง feature LINE อัตโนมัติ: เก็บดีลจากแชท · เตือน deadline/เงินค้าง</t>
    </r>
  </si>
  <si>
    <t>1. จะต้องแสดง record ภายใต้ section "คำเชิญที่ค้างอยู่"
2. แสดงปุ่ม "คัดลอกลิงก์"
3. แสดงปุ่ม "เพิกถอน"</t>
  </si>
  <si>
    <t>1. User ต้องไม่สามารถเข้าถึง feature LINE อัตโนมัติ: เก็บดีลจากแชท · เตือน deadline/เงินค้าง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</si>
  <si>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มีการสร้างดีลโดยมีเพียง กำหนดระยะเวลาที่ห้ามชน</t>
    </r>
  </si>
  <si>
    <t>1. แสดง Event (ชื่อหมวดที่ห้ามชม) - (ชื่อแบรนด์) (แท่งสีเขียวลากตั้งแต่เริ่ม - สิ้นสุด)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</si>
  <si>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มีคำเชิญค้างอยู่ แต่ Expired ไปแล้ว</t>
    </r>
  </si>
  <si>
    <t>1. ควรหายไปจาก section "คำเชิญที่ค้างอยู่"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</si>
  <si>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มีการสร้างดีลโดยมีการกรอกหลาย Calendar พร้อมกันแต่ทุกอันยังห่างจากวันปัจจุบันเกิน 3 วัน
</t>
    </r>
    <r>
      <rPr>
        <rFont val="Tahoma"/>
        <color rgb="FF000000"/>
        <sz val="10.0"/>
      </rPr>
      <t>- วันที่นัดส่งสคริปต์ให้แบรนด์รีวิว
- วันที่นัดส่งงาน 
- วันลงงาน / เผยแพร่
- กำหนดจ่ายเงิน
- หมวดที่ห้ามชน</t>
    </r>
  </si>
  <si>
    <r>
      <rPr>
        <rFont val="Tahoma"/>
        <color rgb="FF000000"/>
        <sz val="10.0"/>
      </rPr>
      <t xml:space="preserve">ตรวจสอบเมนู : เงินและภาษี (Free Package)
</t>
    </r>
    <r>
      <rPr>
        <rFont val="Tahoma"/>
        <b/>
        <color rgb="FF1155CC"/>
        <sz val="10.0"/>
      </rPr>
      <t xml:space="preserve">กรณี : User </t>
    </r>
    <r>
      <rPr>
        <rFont val="Tahoma"/>
        <b/>
        <color rgb="FFFF0000"/>
        <sz val="10.0"/>
      </rPr>
      <t>ต้องไม่สามารถ</t>
    </r>
    <r>
      <rPr>
        <rFont val="Tahoma"/>
        <b/>
        <color rgb="FF1155CC"/>
        <sz val="10.0"/>
      </rPr>
      <t>เข้าถึง feature Media kit + สถิติผลงาน</t>
    </r>
  </si>
  <si>
    <r>
      <rPr>
        <rFont val="Tahoma"/>
        <color rgb="FF000000"/>
        <sz val="10.0"/>
      </rPr>
      <t>1. แสดง Event ส่งสคริปต์ - (ชื่อแบรนด์) (Highlight สีชมพู)
2. แสดง Event ส่งงาน - (ชื่อแบรนด์) (Highlight สีฟ้า)
3. วันลงงาน / เผยแพร่ (Highlight สีเขียว)</t>
    </r>
    <r>
      <rPr>
        <rFont val="Tahoma"/>
        <color rgb="FFF1C232"/>
        <sz val="10.0"/>
      </rPr>
      <t xml:space="preserve">
</t>
    </r>
    <r>
      <rPr>
        <rFont val="Tahoma"/>
        <color rgb="FF000000"/>
        <sz val="10.0"/>
      </rPr>
      <t>4. แสดง Event รับเงิน - (ชื่อแบรนด์) (Highlight สีเหลือง)
5. แสดง Event (ชื่อหมวดที่ห้ามชม) - (ชื่อแบรนด์) (แท่งสีเขียวลากตั้งแต่เริ่ม - สิ้นสุด)</t>
    </r>
  </si>
  <si>
    <t>1. User ต้องไม่สามารถเข้าถึง feature Media kit + สถิติผลงาน</t>
  </si>
  <si>
    <t>Scenario : ทำการเชิญสมาชิก และ สมาชิกเข้าร่วมสำเร็จ</t>
  </si>
  <si>
    <t>Scenario : Case validations : เมนู "ปฏิทิน" แก้ไขดีลจาก Tab "ข้อมูลดีล" (Edit วันที่)</t>
  </si>
  <si>
    <t>ยังไม่ปล่อย feature นี้</t>
  </si>
  <si>
    <r>
      <rPr>
        <rFont val="Tahoma"/>
        <b/>
        <color rgb="FF000000"/>
        <sz val="12.0"/>
      </rPr>
      <t xml:space="preserve">Scenario : สิ่งที่ User ที่ใช้ Pro Package </t>
    </r>
    <r>
      <rPr>
        <rFont val="Tahoma"/>
        <b/>
        <color rgb="FF6AA84F"/>
        <sz val="12.0"/>
      </rPr>
      <t>ทำได้</t>
    </r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</si>
  <si>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ทำการเชิญสมาชิก และ สมาชิกเข้าร่วมสำเร็จ โดยสมาชิกภายในทีมมีเพียง 1 คน</t>
    </r>
  </si>
  <si>
    <t>1. User ที่ได้รับเชิญสามารถเข้าร่วมได้
2. User ที่เข้าร่วมจะกลายเป็นสมาชิกลำดับที่ 2
3. User ที่เป็นสมาชิกรายชื่อธุรกิจ จะต้องมีคำว่า "ธุรกิจคนอื่น"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</si>
  <si>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"วันที่นัดส่งสคริปต์ให้แบรนด์รีวิว" และยังห่างจากวันปัจจุบันเกิน 3 วัน</t>
    </r>
    <r>
      <rPr>
        <rFont val="Tahoma"/>
        <color rgb="FF000000"/>
        <sz val="10.0"/>
      </rPr>
      <t xml:space="preserve">
-  วันที่นัดส่งสคริปต์ให้แบรนด์รีวิว &gt; (Current date + 3 วัน)</t>
    </r>
  </si>
  <si>
    <t>1. Event ใน calendar เปลี่ยนวันที่ตามที่แก้ไขถูกต้อง
2. แสดง Event ส่งสคริปต์ - (ชื่อแบรนด์) (Highlight สีชมพู)</t>
  </si>
  <si>
    <r>
      <rPr>
        <rFont val="Tahoma"/>
        <color rgb="FF000000"/>
        <sz val="10.0"/>
      </rPr>
      <t xml:space="preserve">ตรวจสอบเมนู : ดีล (Pro Package)
</t>
    </r>
    <r>
      <rPr>
        <rFont val="Tahoma"/>
        <b/>
        <color rgb="FF1155CC"/>
        <sz val="10.0"/>
      </rPr>
      <t xml:space="preserve">กรณี : User ต้องสามารถสร้างดีลได้ไม่จำกัด
</t>
    </r>
    <r>
      <rPr>
        <rFont val="Tahoma"/>
        <color rgb="FF000000"/>
        <sz val="10.0"/>
      </rPr>
      <t>- ลองสร้างเกิน 3 ดีล</t>
    </r>
  </si>
  <si>
    <t>1. ลูกค้าสามารถเพิ่มดีลได้ไม่จำกัด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</si>
  <si>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"วันที่นัดส่งสคริปต์ให้แบรนด์รีวิว" และเกือบจะถึง deadline แล้ว (&lt;= 3 วัน)</t>
    </r>
    <r>
      <rPr>
        <rFont val="Tahoma"/>
        <color rgb="FF000000"/>
        <sz val="10.0"/>
      </rPr>
      <t xml:space="preserve">
-  วันที่นัดส่งสคริปต์ให้แบรนด์รีวิว &lt;= (Current date + 3 วัน) แต่ไม่ต่ำกว่า Current Date</t>
    </r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</si>
  <si>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ทำการเชิญสมาชิก และ สมาชิกเข้าร่วมสำเร็จ โดยสมาชิกภายในทีมมีเพียง 2 คน</t>
    </r>
  </si>
  <si>
    <t>1. Event ใน calendar เปลี่ยนวันที่ตามที่แก้ไขถูกต้อง
2. แสดง Event ส่งสคริปต์ - (ชื่อแบรนด์) (Highlight สีชมพู) (จุดเหลือง)</t>
  </si>
  <si>
    <t>1. User ที่ได้รับเชิญสามารถเข้าร่วมได้
2. User ที่เข้าร่วมจะกลายเป็นสมาชิกลำดับที่ 3
3. User ที่เป็นสมาชิกรายชื่อธุรกิจ จะต้องมีคำว่า "ธุรกิจคนอื่น"</t>
  </si>
  <si>
    <r>
      <rPr>
        <rFont val="Tahoma"/>
        <color rgb="FF000000"/>
        <sz val="10.0"/>
      </rPr>
      <t xml:space="preserve">ตรวจสอบเมนู : ดีล (Pro Package)
</t>
    </r>
    <r>
      <rPr>
        <rFont val="Tahoma"/>
        <b/>
        <color rgb="FF1155CC"/>
        <sz val="10.0"/>
      </rPr>
      <t xml:space="preserve">กรณี : User สามารถออกใบเสนอราคา / แจ้งหนี้ / ใบเสร็จ ได้ไม่จำกัด
</t>
    </r>
    <r>
      <rPr>
        <rFont val="Tahoma"/>
        <color rgb="FF000000"/>
        <sz val="10.0"/>
      </rPr>
      <t>- ออกใบเสนอราคา 2 ใบ
- ออกแจ้งหนี้ 2 ใบ
- ออกใบเสร็จ 2 ใบ</t>
    </r>
  </si>
  <si>
    <t>1. User ต้องสามารถออกใบเสนอราคา / แจ้งหนี้ / ใบเสร็จ ได้ไม่จำกัด</t>
  </si>
  <si>
    <t>https://trello.com/c/E6hhh0hT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</si>
  <si>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"วันที่นัดส่งสคริปต์ให้แบรนด์รีวิว" แต่เลย deadline แล้ว (&lt; Current date)</t>
    </r>
    <r>
      <rPr>
        <rFont val="Tahoma"/>
        <color rgb="FF000000"/>
        <sz val="10.0"/>
      </rPr>
      <t xml:space="preserve">
-  วันที่นัดส่งสคริปต์ให้แบรนด์รีวิว &lt; (Current date)</t>
    </r>
  </si>
  <si>
    <t>1. Event ใน calendar เปลี่ยนวันที่ตามที่แก้ไขถูกต้อง
2. แสดง Event ส่งสคริปต์ - (ชื่อแบรนด์) (Highlight สีชมพู) (จุดแดง)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</si>
  <si>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 xml:space="preserve">กรณี : เคยมีสมาชิกครบ 3 คนแล้ว และ ทำการ </t>
    </r>
    <r>
      <rPr>
        <rFont val="Tahoma"/>
        <b/>
        <color rgb="FFFF0000"/>
        <sz val="10.0"/>
      </rPr>
      <t xml:space="preserve">ถอนออก </t>
    </r>
    <r>
      <rPr>
        <rFont val="Tahoma"/>
        <b/>
        <color rgb="FF1155CC"/>
        <sz val="10.0"/>
      </rPr>
      <t>1 คน จะต้อง เชิญสมาชิกใหม่ เพิ่มได้</t>
    </r>
  </si>
  <si>
    <r>
      <rPr>
        <rFont val="Tahoma"/>
        <color rgb="FF000000"/>
        <sz val="10.0"/>
      </rPr>
      <t xml:space="preserve">ตรวจสอบเมนู : ดีล (Pro Package)
</t>
    </r>
    <r>
      <rPr>
        <rFont val="Tahoma"/>
        <b/>
        <color rgb="FF1155CC"/>
        <sz val="10.0"/>
      </rPr>
      <t>กรณี : User สามารถบันทึกรับเงินในดีลได้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</si>
  <si>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"วันที่นัดส่งงาน " และยังห่างจากวันปัจจุบันเกิน 3 วัน</t>
    </r>
    <r>
      <rPr>
        <rFont val="Tahoma"/>
        <color rgb="FF000000"/>
        <sz val="10.0"/>
      </rPr>
      <t xml:space="preserve">
-  วันที่นัดส่งงาน  &gt; (Current date + 3 วัน)</t>
    </r>
  </si>
  <si>
    <t>1. Event ใน calendar เปลี่ยนวันที่ตามที่แก้ไขถูกต้อง
2. แสดง Event ส่งสคริปต์ - (ชื่อแบรนด์) (Highlight สีฟ้า)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</si>
  <si>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"วันที่นัดส่งงาน " และเกือบจะถึง deadline แล้ว (&lt;= 3 วัน)</t>
    </r>
    <r>
      <rPr>
        <rFont val="Tahoma"/>
        <color rgb="FF000000"/>
        <sz val="10.0"/>
      </rPr>
      <t xml:space="preserve">
-  วันที่นัดส่งงาน  &lt;= (Current date + 3 วัน) แต่ไม่ต่ำกว่า Current Date</t>
    </r>
  </si>
  <si>
    <t>1. Event ใน calendar เปลี่ยนวันที่ตามที่แก้ไขถูกต้อง
2. แสดง Event ส่งสคริปต์ - (ชื่อแบรนด์) (Highlight สีฟ้า) (จุดเหลือง)</t>
  </si>
  <si>
    <r>
      <rPr>
        <rFont val="Tahoma"/>
        <color rgb="FF000000"/>
        <sz val="10.0"/>
      </rPr>
      <t xml:space="preserve">ตรวจสอบเมนู : คิดเรตงาน (Pro Package)
</t>
    </r>
    <r>
      <rPr>
        <rFont val="Tahoma"/>
        <b/>
        <color rgb="FF1155CC"/>
        <sz val="10.0"/>
      </rPr>
      <t>กรณี : User สามารถใช้งาน feature ตัวช่วยคิดเรตงานได้</t>
    </r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</si>
  <si>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 xml:space="preserve">กรณี : มีคำเชิญที่ค้างไว้ แต่สมาชิกครบ 3 คนแล้ว หลังทำการ </t>
    </r>
    <r>
      <rPr>
        <rFont val="Tahoma"/>
        <b/>
        <color rgb="FFFF0000"/>
        <sz val="10.0"/>
      </rPr>
      <t xml:space="preserve">ถอนออก </t>
    </r>
    <r>
      <rPr>
        <rFont val="Tahoma"/>
        <b/>
        <color rgb="FF1155CC"/>
        <sz val="10.0"/>
      </rPr>
      <t>1 คน user อื่นสามารถเข้าร่วมทีมได้จากคำเชิญที่ค้างไว้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</si>
  <si>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"วันที่นัดส่งงาน " แต่เลย deadline แล้ว (&lt; Current date)</t>
    </r>
    <r>
      <rPr>
        <rFont val="Tahoma"/>
        <color rgb="FF000000"/>
        <sz val="10.0"/>
      </rPr>
      <t xml:space="preserve">
-  วันที่นัดส่งงาน  &lt; (Current date)</t>
    </r>
  </si>
  <si>
    <t>1. Event ใน calendar เปลี่ยนวันที่ตามที่แก้ไขถูกต้อง
2. แสดง Event ส่งสคริปต์ - (ชื่อแบรนด์) (Highlight สีฟ้า) (จุดแดง)</t>
  </si>
  <si>
    <r>
      <rPr>
        <rFont val="Tahoma"/>
        <color rgb="FF000000"/>
        <sz val="10.0"/>
      </rPr>
      <t xml:space="preserve">ตรวจสอบเมนู : ปฏิทิน (Pro Package)
</t>
    </r>
    <r>
      <rPr>
        <rFont val="Tahoma"/>
        <b/>
        <color rgb="FF1155CC"/>
        <sz val="10.0"/>
      </rPr>
      <t>กรณี : User สามารถเข้าไปดูปฏิทินคอนเทนต์ได้</t>
    </r>
  </si>
  <si>
    <r>
      <rPr>
        <rFont val="Tahoma"/>
        <strike/>
        <color rgb="FF000000"/>
        <sz val="10.0"/>
      </rPr>
      <t xml:space="preserve">ตรวจสอบเมนู : ปฏิทิน
</t>
    </r>
    <r>
      <rPr>
        <rFont val="Tahoma"/>
        <b/>
        <strike/>
        <color rgb="FF1155CC"/>
        <sz val="10.0"/>
      </rPr>
      <t>กรณี : User ทำการแก้ไข "วันลงงาน / เผยแพร่" และยังห่างจากวันปัจจุบันเกิน 3 วัน</t>
    </r>
    <r>
      <rPr>
        <rFont val="Tahoma"/>
        <strike/>
        <color rgb="FF000000"/>
        <sz val="10.0"/>
      </rPr>
      <t xml:space="preserve">
-  วันลงงาน / เผยแพร่ &gt; (Current date + 3 วัน)</t>
    </r>
  </si>
  <si>
    <t>Scenario : ทำการเชิญสมาชิก และ สมาชิกเข้าร่วมไม่สำเร็จ</t>
  </si>
  <si>
    <r>
      <rPr>
        <rFont val="Tahoma"/>
        <color rgb="FF000000"/>
        <sz val="10.0"/>
      </rPr>
      <t xml:space="preserve">ตรวจสอบเมนู : ดีล (Pro Package)
</t>
    </r>
    <r>
      <rPr>
        <rFont val="Tahoma"/>
        <b/>
        <color rgb="FF1155CC"/>
        <sz val="10.0"/>
      </rPr>
      <t>กรณี : User สามารถเพิ่มธุรกิจได้มากสุด 3 ธุรกิจ</t>
    </r>
  </si>
  <si>
    <t>ขึ้น highlight สีเขียวอย่างเดียวตลอด</t>
  </si>
  <si>
    <t>1. User สามารถเพิ่มธุรกิจได้มากสุด 3 ธุรกิจ
2. ไม่สามารถเพิ่มธุรกิจที่ 4 ได้</t>
  </si>
  <si>
    <r>
      <rPr>
        <rFont val="Tahoma"/>
        <strike/>
        <color rgb="FF000000"/>
        <sz val="10.0"/>
      </rPr>
      <t xml:space="preserve">ตรวจสอบเมนู : ปฏิทิน
</t>
    </r>
    <r>
      <rPr>
        <rFont val="Tahoma"/>
        <b/>
        <strike/>
        <color rgb="FF1155CC"/>
        <sz val="10.0"/>
      </rPr>
      <t>กรณี : User ทำการแก้ไข "วันลงงาน / เผยแพร่" และเกือบจะถึง deadline แล้ว (&lt;= 3 วัน)</t>
    </r>
    <r>
      <rPr>
        <rFont val="Tahoma"/>
        <strike/>
        <color rgb="FF000000"/>
        <sz val="10.0"/>
      </rPr>
      <t xml:space="preserve">
-  วันลงงาน / เผยแพร่ &lt;= (Current date + 3 วัน) แต่ไม่ต่ำกว่า Current Date</t>
    </r>
  </si>
  <si>
    <r>
      <rPr>
        <rFont val="Tahoma"/>
        <color rgb="FF000000"/>
        <sz val="10.0"/>
      </rPr>
      <t xml:space="preserve">ตรวจสอบเมนู : ดีล (Pro Package)
</t>
    </r>
    <r>
      <rPr>
        <rFont val="Tahoma"/>
        <b/>
        <color rgb="FF1155CC"/>
        <sz val="10.0"/>
      </rPr>
      <t xml:space="preserve">กรณี : User สามารถเพิ่มธุรกิจครบ 3 ธุรกิจ และทำการลบไป 1 ธุรกิจ
</t>
    </r>
    <r>
      <rPr>
        <rFont val="Tahoma"/>
        <color rgb="FF000000"/>
        <sz val="10.0"/>
      </rPr>
      <t>(Check ว่าระบบจับ flag isDelete ถูก)</t>
    </r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</si>
  <si>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User ทำการตอบรับคำเชิญหลังจาก Link expired ไปแล้ว (เข้าหน้าตอบรับก่อน Link Expired)</t>
    </r>
  </si>
  <si>
    <t>1. User ต้องสามารถเพิ่มธุรกิจได้อีก 1 ธุรกิจ</t>
  </si>
  <si>
    <t>1. หลังกดตอบรับจะต้องแสดง error ที่สื่อว่า Link Expired</t>
  </si>
  <si>
    <r>
      <rPr>
        <rFont val="Tahoma"/>
        <strike/>
        <color rgb="FF000000"/>
        <sz val="10.0"/>
      </rPr>
      <t xml:space="preserve">ตรวจสอบเมนู : ปฏิทิน
</t>
    </r>
    <r>
      <rPr>
        <rFont val="Tahoma"/>
        <b/>
        <strike/>
        <color rgb="FF1155CC"/>
        <sz val="10.0"/>
      </rPr>
      <t>กรณี : User ทำการแก้ไข "วันลงงาน / เผยแพร่" แต่เลย deadline แล้ว (&lt; Current date)</t>
    </r>
    <r>
      <rPr>
        <rFont val="Tahoma"/>
        <strike/>
        <color rgb="FF000000"/>
        <sz val="10.0"/>
      </rPr>
      <t xml:space="preserve">
-  วันลงงาน / เผยแพร่ &lt; (Current date)</t>
    </r>
  </si>
  <si>
    <r>
      <rPr>
        <rFont val="Tahoma"/>
        <color rgb="FF000000"/>
        <sz val="10.0"/>
      </rPr>
      <t xml:space="preserve">ตรวจสอบเมนู : เงินและภาษี (Pro Package)
</t>
    </r>
    <r>
      <rPr>
        <rFont val="Tahoma"/>
        <b/>
        <color rgb="FF1155CC"/>
        <sz val="10.0"/>
      </rPr>
      <t xml:space="preserve">กรณี : User </t>
    </r>
    <r>
      <rPr>
        <rFont val="Tahoma"/>
        <b/>
        <color rgb="FF6AA84F"/>
        <sz val="10.0"/>
      </rPr>
      <t>สามารถ</t>
    </r>
    <r>
      <rPr>
        <rFont val="Tahoma"/>
        <b/>
        <color rgb="FF1155CC"/>
        <sz val="10.0"/>
      </rPr>
      <t>เข้าถึงเมนู เงินและภาษี ได้</t>
    </r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</si>
  <si>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User ทำการแปะ Link หลังจากที่ Link Expired ไปแล้ว (เข้าหน้าตอบรับหลัง Link Expired)</t>
    </r>
  </si>
  <si>
    <t>1. User สามารถเข้าถึงเมนูย่อนภายใต้เมนู เงินและภาษี ได้ทั้งหมด
- สรุปการเงิน
- ใบ 50 ทวิ
- รายจ่าย
- เตรียมยื่นภาษี</t>
  </si>
  <si>
    <t>1. พอเข้าหน้าเว็ปจะต้องแสดง error ที่สื่อว่า Link Expired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</si>
  <si>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"กำหนดจ่ายเงิน" และยังห่างจากวันปัจจุบันเกิน 3 วัน</t>
    </r>
    <r>
      <rPr>
        <rFont val="Tahoma"/>
        <color rgb="FF000000"/>
        <sz val="10.0"/>
      </rPr>
      <t xml:space="preserve">
-  กำหนดจ่ายเงิน &gt; (Current date + 3 วัน)</t>
    </r>
  </si>
  <si>
    <t>1. Event ใน calendar เปลี่ยนวันที่ตามที่แก้ไขถูกต้อง
2. แสดง Event ส่งสคริปต์ - (ชื่อแบรนด์) (Highlight สีเหลือง)</t>
  </si>
  <si>
    <r>
      <rPr>
        <rFont val="Tahoma"/>
        <color rgb="FF000000"/>
        <sz val="10.0"/>
      </rPr>
      <t xml:space="preserve">ตรวจสอบเมนู : เงินและภาษี (Free Package)
</t>
    </r>
    <r>
      <rPr>
        <rFont val="Tahoma"/>
        <b/>
        <color rgb="FF1155CC"/>
        <sz val="10.0"/>
      </rPr>
      <t xml:space="preserve">กรณี : User </t>
    </r>
    <r>
      <rPr>
        <rFont val="Tahoma"/>
        <b/>
        <color rgb="FF6AA84F"/>
        <sz val="10.0"/>
      </rPr>
      <t>สามารถ</t>
    </r>
    <r>
      <rPr>
        <rFont val="Tahoma"/>
        <b/>
        <color rgb="FF1155CC"/>
        <sz val="10.0"/>
      </rPr>
      <t>เข้าถึง feature LINE อัตโนมัติ: เก็บดีลจากแชท · เตือน deadline/เงินค้าง</t>
    </r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</si>
  <si>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ทำการเชิญสมาชิกค้างไว้เกิน 4 คำเชิญ และ สมาชิกกดเข้าร่วมหลังจากครบ 3 คนแล้ว คนที่ 4 ต้องกดเข้าไม่ได้</t>
    </r>
  </si>
  <si>
    <t>1. หลังจาก user ที่ 4 ตอบรับคำเชิญจะต้องแสดง error ที่สื่อว่าสมาชิกภายในทีมเต็มแล้ว</t>
  </si>
  <si>
    <t>1. User สามารถเข้าถึง feature LINE อัตโนมัติ: เก็บดีลจากแชท · เตือน deadline/เงินค้าง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</si>
  <si>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"กำหนดจ่ายเงิน" และเกือบจะถึง deadline แล้ว (&lt;= 3 วัน)</t>
    </r>
    <r>
      <rPr>
        <rFont val="Tahoma"/>
        <color rgb="FF000000"/>
        <sz val="10.0"/>
      </rPr>
      <t xml:space="preserve">
-  กำหนดจ่ายเงิน &lt;= (Current date + 3 วัน) แต่ไม่ต่ำกว่า Current Date</t>
    </r>
  </si>
  <si>
    <t>1. Event ใน calendar เปลี่ยนวันที่ตามที่แก้ไขถูกต้อง
2. แสดง Event ส่งสคริปต์ - (ชื่อแบรนด์) (Highlight สีเหลือง) (จุดเหลือง)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</si>
  <si>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User 2 คนทำการตอบรับคำเชิญจาก link เดียวกัน</t>
    </r>
  </si>
  <si>
    <r>
      <rPr>
        <rFont val="Tahoma"/>
        <color rgb="FF000000"/>
        <sz val="10.0"/>
      </rPr>
      <t xml:space="preserve">ตรวจสอบเมนู : เงินและภาษี (Free Package)
</t>
    </r>
    <r>
      <rPr>
        <rFont val="Tahoma"/>
        <b/>
        <color rgb="FF1155CC"/>
        <sz val="10.0"/>
      </rPr>
      <t xml:space="preserve">กรณี : User </t>
    </r>
    <r>
      <rPr>
        <rFont val="Tahoma"/>
        <b/>
        <color rgb="FF6AA84F"/>
        <sz val="10.0"/>
      </rPr>
      <t>สามารถ</t>
    </r>
    <r>
      <rPr>
        <rFont val="Tahoma"/>
        <b/>
        <color rgb="FF1155CC"/>
        <sz val="10.0"/>
      </rPr>
      <t>เข้าถึง feature Media kit + สถิติผลงาน</t>
    </r>
  </si>
  <si>
    <t>1. User ที่กดทีหลังจะต้องเข้าร่วมไม่ได้</t>
  </si>
  <si>
    <t>1. User สามารถเข้าถึง feature Media kit + สถิติผลงาน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</si>
  <si>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"กำหนดจ่ายเงิน" แต่เลย deadline แล้ว (&lt; Current date)</t>
    </r>
    <r>
      <rPr>
        <rFont val="Tahoma"/>
        <color rgb="FF000000"/>
        <sz val="10.0"/>
      </rPr>
      <t xml:space="preserve">
-  กำหนดจ่ายเงิน &lt; (Current date)</t>
    </r>
  </si>
  <si>
    <t>1. Event ใน calendar เปลี่ยนวันที่ตามที่แก้ไขถูกต้อง
2. แสดง Event ส่งสคริปต์ - (ชื่อแบรนด์) (Highlight สีเหลือง) (จุดแดง)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</si>
  <si>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User ค้างอยู่หน้าตอบรับคำเชิญ แต่เจ้าของธุรกิจทำการ</t>
    </r>
    <r>
      <rPr>
        <rFont val="Tahoma"/>
        <b/>
        <color rgb="FFFF0000"/>
        <sz val="10.0"/>
      </rPr>
      <t xml:space="preserve"> เพิกถอน </t>
    </r>
    <r>
      <rPr>
        <rFont val="Tahoma"/>
        <b/>
        <color rgb="FF1155CC"/>
        <sz val="10.0"/>
      </rPr>
      <t>คำเชิญแล้ว หลังจาก user กดตอบรับคำเชิญจะต้องเข้าร่วม</t>
    </r>
    <r>
      <rPr>
        <rFont val="Tahoma"/>
        <b/>
        <color rgb="FFFF0000"/>
        <sz val="10.0"/>
      </rPr>
      <t>ไม่ได้</t>
    </r>
  </si>
  <si>
    <t>Scenario : Validation สำหรับตัว Credit (New Account , Activate Free Trial , Activate Pro Package)</t>
  </si>
  <si>
    <t>1. User จะต้องเข้าร่วมไม่ได้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</si>
  <si>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ทำการแก้ไข ระยะเวลาการห้ามชน</t>
    </r>
  </si>
  <si>
    <t>1. Event ใน calendar เปลี่ยนวันที่เริ่มต้น - สิ้นสุด ระยะเวลาห้ามชนได้ถูกต้อง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</si>
  <si>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ทำการเชิญค้างไว้ แต่ถูกลดขั้นจาก Pro กลายเป็น Free (Free จะจำกัดให้มีสมาชิกได้เพียง 1 คน)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</si>
  <si>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สมัครใช้งานครั้งแรกจะต้องได้รับฟรี 5 credits</t>
    </r>
  </si>
  <si>
    <t>1. User สมัครใช้งานครั้งแรกจะต้องได้รับฟรี 5 credits
    - ใช้ได้ถึง dd month year (Ex. ใช้ได้ถึง 31 กรกฎาคม 2569) ได้ถูกต้อง
    - รีเซ็ตเป็น 5 เครดิตต้นเดือนถัดไป</t>
  </si>
  <si>
    <t>Scenario : Case validations : เมนู "ปฏิทิน" แก้ไขดีลจาก Tab "ข้อมูลดีล" (ลบข้อมูลของ field วันที่นั้นๆ)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</si>
  <si>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User ตอบรับคำเชิญธุรกิจที่ตัวเองเป็นสมาชิกอยู่แล้ว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</si>
  <si>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ทำการทดลองใช้งาน 14 วันจะต้องได้รับ 30 credits</t>
    </r>
  </si>
  <si>
    <t>1. User ทำการทดลองใช้งาน 14 วัน ตัว credit จะต้องถูกปรับเป็น 30 credits (ไม่สมทบ credit คงเหลือ)
    - ใช้ได้ถึง dd month year (Ex. ใช้ได้ถึง 31 กรกฎาคม 2569) ได้ถูกต้อง
    - รีเซ็ตเป็น 30 เครดิตต้นเดือนถัดไป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</si>
  <si>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User ทำการกดปุ่ม "ไว้ทีหลัง"</t>
    </r>
  </si>
  <si>
    <t>1. User คนนั้นจะต้องยังไม่ เข้าร่วมทีม
2. Link คำเชิญจะต้องยังค้างอยู่ภายใต้ section "คำเชิญที่ค้างอยู่"
3. Link ต้องสามารถใช้งานได้อยู่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</si>
  <si>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ทำการลบ "วันที่นัดส่งสคริปต์ให้แบรนด์รีวิว"</t>
    </r>
  </si>
  <si>
    <t>1. Event วันที่นัดส่งสคริปต์ให้แบรนด์รีวิว ของแบรนด์นี้ต้องหายไปจาก calendar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</si>
  <si>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ทำการสมัคร Pro Package ด้วยบัตรเครดิต โดยไม่ได้ทดลองใช้งาน 14 วันจะต้องได้รับ </t>
    </r>
    <r>
      <rPr>
        <rFont val="Tahoma"/>
        <b/>
        <color rgb="FFFFD966"/>
        <sz val="10.0"/>
      </rPr>
      <t>XX</t>
    </r>
    <r>
      <rPr>
        <rFont val="Tahoma"/>
        <b/>
        <color rgb="FF1155CC"/>
        <sz val="10.0"/>
      </rPr>
      <t xml:space="preserve"> credits
</t>
    </r>
    <r>
      <rPr>
        <rFont val="Tahoma"/>
        <color rgb="FF000000"/>
        <sz val="10.0"/>
      </rPr>
      <t>- Skip free trial
- บัตรเครดิต</t>
    </r>
  </si>
  <si>
    <t>Scenario : ทำการถอดสมาชิกออก / สมาชิกกดออกจากทีม</t>
  </si>
  <si>
    <t>1. User ทำการสมัคร Pro Package โดยไม่ได้ทดลองใช้งาน 14 วันจะต้องได้รับ XX credits
    - ใช้ได้ถึง dd month year (Ex. ใช้ได้ถึง 31 กรกฎาคม 2569) ได้ถูกต้อง
    - รีเซ็ตเป็น 30 เครดิตต้นเดือนถัดไป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</si>
  <si>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ทำการลบ "วันที่นัดส่งงาน "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</si>
  <si>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ทำการสมัคร Pro Package ด้วยบัตรเครดิต แบบรายเดือนจะต้องได้รับ 30 credits
</t>
    </r>
    <r>
      <rPr>
        <rFont val="Tahoma"/>
        <color rgb="FF000000"/>
        <sz val="10.0"/>
      </rPr>
      <t>- รายเดือน
- บัตรเครดิต</t>
    </r>
  </si>
  <si>
    <t>1. User ทำการสมัคร Pro Package แบบรายเดือนตัว credit จะต้องถูกปรับเป็น 30 credits (ไม่สมทบ credit คงเหลือ)
    - ใช้ได้ถึง dd month year (Ex. ใช้ได้ถึง 31 กรกฎาคม 2569) ได้ถูกต้อง
    - รีเซ็ตเป็น 30 เครดิตต้นเดือนถัดไป</t>
  </si>
  <si>
    <t>1. Event วันที่นัดส่งงาน  ของแบรนด์นี้ต้องหายไปจาก calendar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</si>
  <si>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เจ้าของธุรกิจทำการถอดสมาชิกออกจากทีม และกดปุ่ม "ถอดออก" ที่ confirmation popup</t>
    </r>
  </si>
  <si>
    <t>1. หลังกด "ถอดออก" ระบบแสดง confirmation popup "ถอดสมาชิกออกจากทีม"
2. หลังกด "ถอดออก" สมาชิกคนนั้นจะต้องถูกถอดออก
3. User ที่ถอดออกจะต้องไม่เห็นธุรกิจนี้แล้ว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</si>
  <si>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ทำการสมัคร Pro Package ด้วยบัตรเครดิต แบบรายปีจะต้องได้รับ 30 credits
</t>
    </r>
    <r>
      <rPr>
        <rFont val="Tahoma"/>
        <color rgb="FF000000"/>
        <sz val="10.0"/>
      </rPr>
      <t>- รายปี
- บัตรเครดิต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</si>
  <si>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ทำการลบ "วันลงงาน / เผยแพร่"</t>
    </r>
  </si>
  <si>
    <t>1. User ทำการสมัคร Pro Package แบบรายเดือน ตัว credit จะต้องถูกปรับเป็น 30 credits (ไม่สมทบ credit คงเหลือ)
2. Label ใต้หลอด Remaining Credit แสดง 
    - ใช้ได้ถึง dd month year (Ex. ใช้ได้ถึง 31 กรกฎาคม 2569) ได้ถูกต้อง
    - รีเซ็ตเป็น 30 เครดิตต้นเดือนถัดไป</t>
  </si>
  <si>
    <t>1. Event วันลงงาน / เผยแพร่ ของแบรนด์นี้ต้องหายไปจาก calendar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</si>
  <si>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เจ้าของธุรกิจทำการถอดสมาชิกออกจากทีม แต่กดปุ่ม "ยกเลิก" ที่ confirmation popup</t>
    </r>
  </si>
  <si>
    <t>1. หลังกด ถอดออก ระบบแสดง confirmation popup "ถอดสมาชิกออกจากทีม"
2. หลังกด "ยกเลิก" สมาชิกคนนั้นจะไม่ถูกถอดออก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</si>
  <si>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ระบบทำการต่ออายุอัตโนมัติให้ user รายนั้น ตัว credit จะต้องถูกปรับเป็น 30 credits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</si>
  <si>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ทำการลบ "กำหนดจ่ายเงิน"</t>
    </r>
  </si>
  <si>
    <t>1. ระบบทำการต่ออายุอัตโนมัติให้ user รายนั้น ตัว credit จะต้องถูกปรับเป็น 30 credits (ไม่สมทบ credit คงเหลือ)</t>
  </si>
  <si>
    <t>1. Event กำหนดจ่ายเงิน ของแบรนด์นี้ต้องหายไปจาก calendar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</si>
  <si>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สมาชิกของธุรกิจทำการกดปุ่ม "ออกจากทีม" และกดปุ่ม "ออกจากทีม" ที่ confirmation popup</t>
    </r>
  </si>
  <si>
    <t>1. หลังกด "ออกจากทีม" ระบบแสดง confirmation popup "ออกจากทีม"
2. หลังกด "ออกจากทีม" สมาชิกคนนั้นจะต้องถูกถอดออก
3. User ที่ถอดออกจะต้องไม่เห็นธุรกิจนี้แล้ว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</si>
  <si>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ทำการสมัคร Pro Package ด้วยการ Scan QR แบบรายเดือนจะต้องได้รับ 30 credits
</t>
    </r>
    <r>
      <rPr>
        <rFont val="Tahoma"/>
        <color rgb="FF000000"/>
        <sz val="10.0"/>
      </rPr>
      <t>- รายเดือน
- Scan QR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</si>
  <si>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ทำการลบ "หมวดที่ห้ามชน"</t>
    </r>
  </si>
  <si>
    <t>1. User ทำการสมัคร Pro Package แบบรายเดือนตัว credit จะต้องถูกปรับเป็น 30 credits (ไม่สมทบ credit คงเหลือ)
2. Label ใต้หลอด Remaining Credit แสดง 
    - ใช้ได้ถึง dd month year (Ex. ใช้ได้ถึง 31 กรกฎาคม 2569) ได้ถูกต้อง
    - รีเซ็ตเป็น 5 เครดิตต้นเดือนถัดไป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</si>
  <si>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สมาชิกของธุรกิจทำการกดปุ่ม "ออกจากทีม" แต่กดปุ่ม "ยกเลิก" ที่ confirmation popup</t>
    </r>
  </si>
  <si>
    <t>1. Event ห้ามชน ของแบรนด์นี้ต้องหายไปจาก calendar</t>
  </si>
  <si>
    <t>1. หลังกด "ออกจากทีม" ระบบแสดง confirmation popup "ออกจากทีม"
2. หลังกด "ยกเลิก" สมาชิกคนนั้นจะไม่ถูกถอดออก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</si>
  <si>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ทำการสมัคร Pro Package ด้วยการ Scan QR แบบรายปีจะต้องได้รับ 30 credits
</t>
    </r>
    <r>
      <rPr>
        <rFont val="Tahoma"/>
        <color rgb="FF000000"/>
        <sz val="10.0"/>
      </rPr>
      <t>- รายปี
- Scan QR</t>
    </r>
  </si>
  <si>
    <t>Scenario : ทำการเพิกถอนคำเชิญ</t>
  </si>
  <si>
    <t>Scenario : Case validations : เมนู "ปฏิทิน" จากการปรับสถานะใน Tab "งาน / สคริปต์"</t>
  </si>
  <si>
    <t>1. User ทำการสมัคร Pro Package แบบรายปีตัว credit จะต้องถูกปรับเป็น 30 credits (ไม่สมทบ credit คงเหลือ)
2. Label ใต้หลอด Remaining Credit แสดง 
    - ใช้ได้ถึง dd month year (Ex. ใช้ได้ถึง 31 กรกฎาคม 2569) ได้ถูกต้อง
    - รีเซ็ตเป็น 5 เครดิตต้นเดือนถัดไป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</si>
  <si>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 Cancel subscription</t>
    </r>
  </si>
  <si>
    <t>1. User จะสามารถใช้ Credit ที่เหลืออยู่ได้จนถึงวันที่กำหนด
2. Label ใต้หลอด Remaining Credit แสดง 
    - รอบเริ่ม dd month year (Ex. รอบเริ่ม 31 กรกฎาคม 2569)
    - รีเซ็ตเครดิตครั้งถัดไป dd month year (Ex. รีเซ็ตเครดิตครั้งถัดไป 5 กันยายน 2569)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</si>
  <si>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ทำการเพิกถอนคำเชิญ ก่อนจะมีการตอบรับ (ค้างหน้าตอบรับ)</t>
    </r>
  </si>
  <si>
    <t>1. รายการจะต้องหายไปจาก section "คำเชิญที่ค้างอยู่"
2. Link นั้นจะต้องแสดงเป็น "ลิงก์เชิญนี้ถูกเพิกถอนแล้ว"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</si>
  <si>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ส่งสคริปต์ให้แบรนด์รีวิว</t>
    </r>
  </si>
  <si>
    <t>1. Event ใน calendar แสดงเป็นวันที่เดิมที่กรอกใน field "วันที่นัดส่งสคริปต์ให้แบรนด์รีวิว" ตอนสร้างดีล + Highlight สีชมพูอ่อน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</si>
  <si>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 Renew subscription</t>
    </r>
  </si>
  <si>
    <t>1. User จะมี credit เหลือใช้ เท่ากับก่อนที่ user จะกด Cancel subscription
2. Label ใต้หลอด Remaining Credit แสดง 
    - ใช้ได้ถึง dd month year (Ex. ใช้ได้ถึง 31 กรกฎาคม 2569) ได้ถูกต้อง
    - รีเซ็ตเป็น 30 เครดิตต้นเดือนถัดไป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</si>
  <si>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ทำการเพิกถอนคำเชิญ</t>
    </r>
    <r>
      <rPr>
        <rFont val="Tahoma"/>
        <b/>
        <color rgb="FFFF0000"/>
        <sz val="10.0"/>
      </rPr>
      <t xml:space="preserve"> </t>
    </r>
    <r>
      <rPr>
        <rFont val="Tahoma"/>
        <b/>
        <color rgb="FF1155CC"/>
        <sz val="10.0"/>
      </rPr>
      <t>ก่อน User จะเอา Link ไปแปะ</t>
    </r>
  </si>
  <si>
    <t>1. หลังเอา Link ไปแปะ หน้าจอจะต้องแสดง message สื่อว่าคำเชิญถูกเพิกถอนแล้ว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</si>
  <si>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ส่งสคริปต์ให้แบรนด์แล้ว แต่แบรนด์ขอแก้สคริปต์แบบไม่ระบุวันที่นัดส่งสคริปต์แก้รอบถัดไป 
</t>
    </r>
    <r>
      <rPr>
        <rFont val="Tahoma"/>
        <color rgb="FF000000"/>
        <sz val="10.0"/>
      </rPr>
      <t>- แบรนด์ขอแก้สคริปต์</t>
    </r>
    <r>
      <rPr>
        <rFont val="Tahoma"/>
        <color rgb="FFFF0000"/>
        <sz val="10.0"/>
      </rPr>
      <t>ไม่ระบุ</t>
    </r>
    <r>
      <rPr>
        <rFont val="Tahoma"/>
        <color rgb="FF000000"/>
        <sz val="10.0"/>
      </rPr>
      <t>วันที่นัดส่งสคริปต์แก้รอบถัดไป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</si>
  <si>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 Cancel subscription และรอให้ถึงเดือนถัดไป (หมดช่วง Pro)</t>
    </r>
  </si>
  <si>
    <t>1. Credit ที่ถูก reset ของ user รายนั้นจะต้องเป็น 5 credits</t>
  </si>
  <si>
    <r>
      <rPr>
        <rFont val="Tahoma"/>
        <color rgb="FF000000"/>
        <sz val="10.0"/>
      </rPr>
      <t xml:space="preserve">ตรวจสอบเมนู :ทีม
</t>
    </r>
    <r>
      <rPr>
        <rFont val="Tahoma"/>
        <b/>
        <color rgb="FF1155CC"/>
        <sz val="10.0"/>
      </rPr>
      <t>กรณี : ทำการเพิกถอนคำเชิญ หลังจาก User ตอบรับคำเชิญแล้ว</t>
    </r>
  </si>
  <si>
    <t>1. จะต้องทำการเพิกถอนไม่สำเร็จ
2. หลัง Refresh หน้าจอ รายการภายใต้ section "คำเชิญที่ค้างอยู่" จะหายไป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</si>
  <si>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ส่งสคริปต์ให้แบรนด์แล้ว แต่แบรนด์ขอแก้สคริปต์โดยระบุวันที่นัดส่งสคริปต์แก้รอบถัดไป 
</t>
    </r>
    <r>
      <rPr>
        <rFont val="Tahoma"/>
        <color rgb="FF000000"/>
        <sz val="10.0"/>
      </rPr>
      <t>- แบรนด์ขอแก้สคริปต์</t>
    </r>
    <r>
      <rPr>
        <rFont val="Tahoma"/>
        <color rgb="FF38761D"/>
        <sz val="10.0"/>
      </rPr>
      <t>โดยระบุ</t>
    </r>
    <r>
      <rPr>
        <rFont val="Tahoma"/>
        <color rgb="FF000000"/>
        <sz val="10.0"/>
      </rPr>
      <t>วันที่นัดส่งสคริปต์แก้รอบถัดไป</t>
    </r>
  </si>
  <si>
    <t>1. Event ใน calendar จะต้องเปลี่ยนวันที่ จาก "วันที่นัดส่งสคริปต์ให้แบรนด์รีวิว" เป็น "วันที่นัดส่งสคริปต์แก้รอบถัดไป"  + Highlight สีชมพูอ่อน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</si>
  <si>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ระบบจะทำการต่ออายุอัตโนมัติ แต่วงเงินในบัตรเครดิต</t>
    </r>
    <r>
      <rPr>
        <rFont val="Tahoma"/>
        <b/>
        <color rgb="FFFF0000"/>
        <sz val="10.0"/>
      </rPr>
      <t>ไม่เพียงพอ</t>
    </r>
  </si>
  <si>
    <t>1. User จะกลับไปเป็น Free Package
2. Credit ที่ถูก reset ของ user รายนั้นจะต้องเป็น 5 credits</t>
  </si>
  <si>
    <t>Scenario : Validate สิ่งที่สมาชิกทำได้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</si>
  <si>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ระบบจะทำการต่ออายุอัตโนมัติ แต่บัตรเครดิต</t>
    </r>
    <r>
      <rPr>
        <rFont val="Tahoma"/>
        <b/>
        <color rgb="FFFF0000"/>
        <sz val="10.0"/>
      </rPr>
      <t>หมดอายุ</t>
    </r>
  </si>
  <si>
    <r>
      <rPr>
        <rFont val="Tahoma"/>
        <color theme="1"/>
      </rPr>
      <t xml:space="preserve">ตรวจสอบเมนู : ปฏิทิน
</t>
    </r>
    <r>
      <rPr>
        <rFont val="Tahoma"/>
        <b/>
        <color rgb="FF1155CC"/>
      </rPr>
      <t xml:space="preserve">กรณี : วันที่นัดส่งสคริปต์แก้รอบถัดไป ยังห่างจากวันปัจจุบันเกิน 3 วัน
</t>
    </r>
    <r>
      <rPr>
        <rFont val="Tahoma"/>
        <color theme="1"/>
      </rPr>
      <t>- วันที่นัดส่งสคริปต์แก้รอบถัดไป  &gt; (Current date + 3 วัน)</t>
    </r>
  </si>
  <si>
    <r>
      <rPr>
        <rFont val="Tahoma"/>
        <color rgb="FF000000"/>
        <sz val="10.0"/>
      </rPr>
      <t xml:space="preserve">ตรวจสอบสิ่งที่สมาชิกทำได้
</t>
    </r>
    <r>
      <rPr>
        <rFont val="Tahoma"/>
        <b/>
        <color rgb="FF1155CC"/>
        <sz val="10.0"/>
      </rPr>
      <t>กรณี : สามารถสร้างดีล / เดิน flow / ออกเอกสาร ได้</t>
    </r>
  </si>
  <si>
    <t>Scenario : Validation สำหรับตัว Credit (Buy Credit)</t>
  </si>
  <si>
    <t>1. สามารถสร้างดีลได้ และเดิน flow ได้
2. ดีลต้องแสดงให้เห็นทั้ง เจ้าของธุรกิจ และ สมาชิก
3. แสดงข้อมูลที่ calendar ถูกต้อง
4. แสดงข้อมูลที่ LINE ถูกต้อง
5. แสดงข้อมูลที่เงินและภาษีถูกต้อง
6. แสดงข้อมูลแบรนด์ถูกต้อง</t>
  </si>
  <si>
    <r>
      <rPr>
        <rFont val="Tahoma"/>
        <color rgb="FF000000"/>
        <sz val="10.0"/>
      </rPr>
      <t xml:space="preserve">ตรวจสอบสิ่งที่สมาชิกทำได้
</t>
    </r>
    <r>
      <rPr>
        <rFont val="Tahoma"/>
        <b/>
        <color rgb="FF1155CC"/>
        <sz val="10.0"/>
      </rPr>
      <t>กรณี : สามารถออกเอกสารได้ (Menu ออกเอกสาร)</t>
    </r>
  </si>
  <si>
    <t>1. สามารถออกเอกสารได้
2. เอกสารที่สร้างจะต้องไปแสดงให้เห็นทั้ง เจ้าของธุรกิจ และ สมาชิก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</si>
  <si>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ทำการซื้อแพ็ก 50 เครดิต และจ่ายด้วยบัตรเครดิต</t>
    </r>
    <r>
      <rPr>
        <rFont val="Tahoma"/>
        <b/>
        <color rgb="FF6AA84F"/>
        <sz val="10.0"/>
      </rPr>
      <t xml:space="preserve">สำเร็จ
</t>
    </r>
    <r>
      <rPr>
        <rFont val="Tahoma"/>
        <color rgb="FF000000"/>
        <sz val="10.0"/>
      </rPr>
      <t>- 50 credits 
- Purchase success
- บัตรเครดิต</t>
    </r>
  </si>
  <si>
    <t>1. User จะได้รับในส่วนของ เครดิตเสริม เพิ่มมา 50 credits</t>
  </si>
  <si>
    <r>
      <rPr>
        <rFont val="Tahoma"/>
        <color theme="1"/>
      </rPr>
      <t xml:space="preserve">ตรวจสอบเมนู : ปฏิทิน
</t>
    </r>
    <r>
      <rPr>
        <rFont val="Tahoma"/>
        <b/>
        <color rgb="FF1155CC"/>
      </rPr>
      <t xml:space="preserve">กรณี : วันที่นัดส่งสคริปต์แก้รอบถัดไป เกือบจะถึง deadline แล้ว (&lt;= 3 วัน)
</t>
    </r>
    <r>
      <rPr>
        <rFont val="Tahoma"/>
        <color theme="1"/>
      </rPr>
      <t>-  วันที่นัดส่งสคริปต์แก้รอบถัดไป &lt;= (Current date + 3 วัน) แต่ไม่ต่ำกว่า Current Date</t>
    </r>
  </si>
  <si>
    <r>
      <rPr>
        <rFont val="Tahoma"/>
        <color rgb="FF000000"/>
        <sz val="10.0"/>
      </rPr>
      <t xml:space="preserve">ตรวจสอบสิ่งที่สมาชิกทำได้
</t>
    </r>
    <r>
      <rPr>
        <rFont val="Tahoma"/>
        <b/>
        <color rgb="FF1155CC"/>
        <sz val="10.0"/>
      </rPr>
      <t>กรณี : สามารถสร้าง Content Mockup ได้</t>
    </r>
  </si>
  <si>
    <t>1. สามารถสร้าง Content Mockup ได้
2. Content Mockup ที่สร้างจะต้องไปแสดงให้เห็นทั้ง เจ้าของธุรกิจ และ สมาชิก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</si>
  <si>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ทำการซื้อแพ็ก 50 เครดิต และจ่ายด้วยบัตรเครดิต</t>
    </r>
    <r>
      <rPr>
        <rFont val="Tahoma"/>
        <b/>
        <color rgb="FFFF0000"/>
        <sz val="10.0"/>
      </rPr>
      <t xml:space="preserve">ไม่สำเร็จ (วงเงินไม่พอ)
</t>
    </r>
    <r>
      <rPr>
        <rFont val="Tahoma"/>
        <color rgb="FF000000"/>
        <sz val="10.0"/>
      </rPr>
      <t>- 50 credits
- Purchase fail
- บัตรเครดิต</t>
    </r>
  </si>
  <si>
    <t>1. User จะไม่ได้รับในส่วนของ เครดิตเสริม เพิ่ม</t>
  </si>
  <si>
    <r>
      <rPr>
        <rFont val="Tahoma"/>
        <color theme="1"/>
      </rPr>
      <t xml:space="preserve">ตรวจสอบเมนู : ปฏิทิน
</t>
    </r>
    <r>
      <rPr>
        <rFont val="Tahoma"/>
        <b/>
        <color rgb="FF1155CC"/>
      </rPr>
      <t xml:space="preserve">กรณี : วันที่นัดส่งสคริปต์แก้รอบถัดไป เลย deadline แล้ว (&lt; Current date)
</t>
    </r>
    <r>
      <rPr>
        <rFont val="Tahoma"/>
        <color theme="1"/>
      </rPr>
      <t>-  วันที่นัดส่งสคริปต์แก้รอบถัดไป &lt; (Current date)</t>
    </r>
  </si>
  <si>
    <r>
      <rPr>
        <rFont val="Tahoma"/>
        <color rgb="FF000000"/>
        <sz val="10.0"/>
      </rPr>
      <t xml:space="preserve">ตรวจสอบสิ่งที่สมาชิกทำได้
</t>
    </r>
    <r>
      <rPr>
        <rFont val="Tahoma"/>
        <b/>
        <color rgb="FF1155CC"/>
        <sz val="10.0"/>
      </rPr>
      <t>กรณี : สามารถสร้างคอนเทนต์ ได้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</si>
  <si>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ทำการซื้อแพ็ก 50 เครดิต และจ่ายด้วยบัตรเครดิต</t>
    </r>
    <r>
      <rPr>
        <rFont val="Tahoma"/>
        <b/>
        <color rgb="FFFF0000"/>
        <sz val="10.0"/>
      </rPr>
      <t xml:space="preserve">ไม่สำเร็จ (บัตรหมดอายุ)
</t>
    </r>
    <r>
      <rPr>
        <rFont val="Tahoma"/>
        <color rgb="FF000000"/>
        <sz val="10.0"/>
      </rPr>
      <t>- 50 credits
- Purchase fail
- บัตรเครดิต</t>
    </r>
  </si>
  <si>
    <t>1. สามารถสร้างคอนเทนต์ได้
2. คอนเทนต์ที่สร้างจะต้องไปแสดงให้เห็นทั้ง เจ้าของธุรกิจ และ สมาชิก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</si>
  <si>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ทำการปรับสถานะของสคริปต์เป็น "</t>
    </r>
    <r>
      <rPr>
        <rFont val="Tahoma"/>
        <b/>
        <color rgb="FFBF9000"/>
        <sz val="10.0"/>
      </rPr>
      <t>ส่งสคริปต์แก้แล้ว</t>
    </r>
    <r>
      <rPr>
        <rFont val="Tahoma"/>
        <b/>
        <color rgb="FF1155CC"/>
        <sz val="10.0"/>
      </rPr>
      <t>"</t>
    </r>
  </si>
  <si>
    <t>1. Event "ส่งสคริปต์" ต้องหายไปจาก Calendar</t>
  </si>
  <si>
    <r>
      <rPr>
        <rFont val="Tahoma"/>
        <b/>
        <color rgb="FF000000"/>
        <sz val="12.0"/>
      </rPr>
      <t>Scenario : Validate สิ่งที่สมาชิกทำ</t>
    </r>
    <r>
      <rPr>
        <rFont val="Tahoma"/>
        <b/>
        <color rgb="FFFF0000"/>
        <sz val="12.0"/>
      </rPr>
      <t>ไม่ได้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</si>
  <si>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ทำการซื้อแพ็ก 50 เครดิต และจ่ายด้วยการ Scan QR</t>
    </r>
    <r>
      <rPr>
        <rFont val="Tahoma"/>
        <b/>
        <color rgb="FFFF0000"/>
        <sz val="10.0"/>
      </rPr>
      <t xml:space="preserve">
</t>
    </r>
    <r>
      <rPr>
        <rFont val="Tahoma"/>
        <color rgb="FF000000"/>
        <sz val="10.0"/>
      </rPr>
      <t>- 50 credits
- Purchase success
- Scan QR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</si>
  <si>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ทำการปรับสถานะของสคริปต์เป็น "</t>
    </r>
    <r>
      <rPr>
        <rFont val="Tahoma"/>
        <b/>
        <color rgb="FF38761D"/>
        <sz val="10.0"/>
      </rPr>
      <t>สคริปต์ผ่านแล้ว</t>
    </r>
    <r>
      <rPr>
        <rFont val="Tahoma"/>
        <b/>
        <color rgb="FF1155CC"/>
        <sz val="10.0"/>
      </rPr>
      <t>"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</si>
  <si>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ทำการซื้อแพ็ก 200 เครดิต และจ่ายด้วยบัตรเครดิต</t>
    </r>
    <r>
      <rPr>
        <rFont val="Tahoma"/>
        <b/>
        <color rgb="FF6AA84F"/>
        <sz val="10.0"/>
      </rPr>
      <t xml:space="preserve">สำเร็จ
</t>
    </r>
    <r>
      <rPr>
        <rFont val="Tahoma"/>
        <color rgb="FF000000"/>
        <sz val="10.0"/>
      </rPr>
      <t>- 200 credits 
- Purchase success
- บัตรเครดิต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</si>
  <si>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ส่งงาน ให้แบรนด์รีวิวแล้ว</t>
    </r>
  </si>
  <si>
    <r>
      <rPr>
        <rFont val="Tahoma"/>
        <color rgb="FF000000"/>
        <sz val="10.0"/>
      </rPr>
      <t xml:space="preserve">ตรวจสอบสิ่งที่สมาชิกทำไม่ได้
</t>
    </r>
    <r>
      <rPr>
        <rFont val="Tahoma"/>
        <b/>
        <color rgb="FF1155CC"/>
        <sz val="10.0"/>
      </rPr>
      <t xml:space="preserve">กรณี : </t>
    </r>
    <r>
      <rPr>
        <rFont val="Tahoma"/>
        <b/>
        <color rgb="FFFF0000"/>
        <sz val="10.0"/>
      </rPr>
      <t>ไม่สามารถ</t>
    </r>
    <r>
      <rPr>
        <rFont val="Tahoma"/>
        <b/>
        <color rgb="FF1155CC"/>
        <sz val="10.0"/>
      </rPr>
      <t xml:space="preserve"> ถอดสมาชิกคนอื่นออกจากทีมได้</t>
    </r>
  </si>
  <si>
    <t>1. User จะได้รับในส่วนของ เครดิตเสริม เพิ่มมา 200 credits</t>
  </si>
  <si>
    <t>1. Event ใน calendar แสดงเป็นวันที่เดิมที่กรอกใน field "วันที่นัดส่งงาน " ตอนสร้างดีล + Highlight สีฟ้าอ่อน</t>
  </si>
  <si>
    <t>1. ต้องไม่เห็นปุ่ม "ถอดออก" ที่สมาชิก แต่ละราย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</si>
  <si>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ส่งงาน ให้แบรนด์แล้ว แต่แบรนด์ขอแก้ Draft แบบไม่ระบุวันที่นัดส่งงาน แก้รอบถัดไป 
</t>
    </r>
    <r>
      <rPr>
        <rFont val="Tahoma"/>
        <color rgb="FF000000"/>
        <sz val="10.0"/>
      </rPr>
      <t>- แบรนด์ขอแก้ Draft แบบ</t>
    </r>
    <r>
      <rPr>
        <rFont val="Tahoma"/>
        <color rgb="FFFF0000"/>
        <sz val="10.0"/>
      </rPr>
      <t>ไม่ระบุ</t>
    </r>
    <r>
      <rPr>
        <rFont val="Tahoma"/>
        <color rgb="FF000000"/>
        <sz val="10.0"/>
      </rPr>
      <t xml:space="preserve">วันที่นัดส่งงาน แก้รอบถัดไป 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</si>
  <si>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ทำการซื้อแพ็ก 200 เครดิต และจ่ายด้วยบัตรเครดิต</t>
    </r>
    <r>
      <rPr>
        <rFont val="Tahoma"/>
        <b/>
        <color rgb="FFFF0000"/>
        <sz val="10.0"/>
      </rPr>
      <t xml:space="preserve">ไม่สำเร็จ (วงเงินไม่พอ)
</t>
    </r>
    <r>
      <rPr>
        <rFont val="Tahoma"/>
        <color rgb="FF000000"/>
        <sz val="10.0"/>
      </rPr>
      <t>- 200 credits
- Purchase fail
- บัตรเครดิต</t>
    </r>
  </si>
  <si>
    <r>
      <rPr>
        <rFont val="Tahoma"/>
        <color rgb="FF000000"/>
        <sz val="10.0"/>
      </rPr>
      <t xml:space="preserve">ตรวจสอบสิ่งที่สมาชิกทำไม่ได้
</t>
    </r>
    <r>
      <rPr>
        <rFont val="Tahoma"/>
        <b/>
        <color rgb="FF1155CC"/>
        <sz val="10.0"/>
      </rPr>
      <t xml:space="preserve">กรณี : </t>
    </r>
    <r>
      <rPr>
        <rFont val="Tahoma"/>
        <b/>
        <color rgb="FFFF0000"/>
        <sz val="10.0"/>
      </rPr>
      <t>ไม่สามารถ</t>
    </r>
    <r>
      <rPr>
        <rFont val="Tahoma"/>
        <b/>
        <color rgb="FF1155CC"/>
        <sz val="10.0"/>
      </rPr>
      <t xml:space="preserve"> ลบโปรไฟล์ธุรกิจของเจ้าของออกได้</t>
    </r>
  </si>
  <si>
    <r>
      <rPr>
        <rFont val="Tahoma"/>
        <color rgb="FF000000"/>
        <sz val="10.0"/>
      </rPr>
      <t>1. ต้อง</t>
    </r>
    <r>
      <rPr>
        <rFont val="Tahoma"/>
        <color rgb="FFFF0000"/>
        <sz val="10.0"/>
      </rPr>
      <t>ไม่เห็น</t>
    </r>
    <r>
      <rPr>
        <rFont val="Tahoma"/>
        <color rgb="FF000000"/>
        <sz val="10.0"/>
      </rPr>
      <t xml:space="preserve"> Menu "โปรไฟล์ธุรกิจ"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</si>
  <si>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ส่งงาน ให้แบรนด์แล้ว แต่แบรนด์ขอแก้ Draft โดยระบุวันที่นัดส่งงาน แก้รอบถัดไป
</t>
    </r>
    <r>
      <rPr>
        <rFont val="Tahoma"/>
        <color rgb="FF000000"/>
        <sz val="10.0"/>
      </rPr>
      <t xml:space="preserve">- แบรนด์ขอแก้ Draft </t>
    </r>
    <r>
      <rPr>
        <rFont val="Tahoma"/>
        <color rgb="FF38761D"/>
        <sz val="10.0"/>
      </rPr>
      <t>โดยระบุ</t>
    </r>
    <r>
      <rPr>
        <rFont val="Tahoma"/>
        <color rgb="FF000000"/>
        <sz val="10.0"/>
      </rPr>
      <t>วันที่นัดส่งงาน แก้รอบถัดไป</t>
    </r>
  </si>
  <si>
    <t>1. Event ใน calendar จะต้องเปลี่ยนวันที่ จาก "วันที่นัดส่งงาน " เป็น "วันที่นัดส่งงาน แก้รอบถัดไป" + Highlight สีฟ้าอ่อน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</si>
  <si>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ทำการซื้อแพ็ก 200 เครดิต และจ่ายด้วยบัตรเครดิต</t>
    </r>
    <r>
      <rPr>
        <rFont val="Tahoma"/>
        <b/>
        <color rgb="FFFF0000"/>
        <sz val="10.0"/>
      </rPr>
      <t xml:space="preserve">ไม่สำเร็จ (บัตรหมดอายุ)
</t>
    </r>
    <r>
      <rPr>
        <rFont val="Tahoma"/>
        <color rgb="FF000000"/>
        <sz val="10.0"/>
      </rPr>
      <t>- 200 credits
- Purchase fail
- บัตรเครดิต</t>
    </r>
  </si>
  <si>
    <r>
      <rPr>
        <rFont val="Tahoma"/>
        <color rgb="FF000000"/>
        <sz val="10.0"/>
      </rPr>
      <t xml:space="preserve">ตรวจสอบสิ่งที่สมาชิกทำไม่ได้
</t>
    </r>
    <r>
      <rPr>
        <rFont val="Tahoma"/>
        <b/>
        <color rgb="FF1155CC"/>
        <sz val="10.0"/>
      </rPr>
      <t>กรณี : กด "ไปที่โปรไฟล์ธุรกิจ" จากหน้า PDPA ระบบจะต้องแสดง Label "หน้านี้สำหรับเจ้าของธุรกิจเท่านั้น"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</si>
  <si>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วันที่นัดส่งงาน แก้รอบถัดไป ยังห่างจากวันปัจจุบันเกิน 3 วัน
</t>
    </r>
    <r>
      <rPr>
        <rFont val="Tahoma"/>
        <color rgb="FF000000"/>
        <sz val="10.0"/>
      </rPr>
      <t>- วันที่นัดส่งงาน แก้รอบถัดไป &gt; (Current date + 3 วัน)</t>
    </r>
  </si>
  <si>
    <t>1. ระบบแสดง Label "หน้านี้สำหรับเจ้าของธุรกิจเท่านั้น"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</si>
  <si>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วันที่นัดส่งงาน แก้รอบถัดไปเกือบจะถึง deadline แล้ว (&lt;= 3 วัน)
</t>
    </r>
    <r>
      <rPr>
        <rFont val="Tahoma"/>
        <color rgb="FF000000"/>
        <sz val="10.0"/>
      </rPr>
      <t>-  วันที่นัดส่งงาน แก้รอบถัดไป &lt;= (Current date + 3 วัน) แต่ไม่ต่ำกว่า Current Date</t>
    </r>
  </si>
  <si>
    <t>Scenario : Validate การใช้งาน Credit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</si>
  <si>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ทำการซื้อแพ็ก 200 เครดิต และจ่ายด้วยการ Scan QR</t>
    </r>
    <r>
      <rPr>
        <rFont val="Tahoma"/>
        <b/>
        <color rgb="FFFF0000"/>
        <sz val="10.0"/>
      </rPr>
      <t xml:space="preserve">
</t>
    </r>
    <r>
      <rPr>
        <rFont val="Tahoma"/>
        <color rgb="FF000000"/>
        <sz val="10.0"/>
      </rPr>
      <t>- 200 credits
- Purchase success
- Scan QR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</si>
  <si>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วันที่นัดส่งงาน แก้รอบถัดไปเลย deadline แล้ว (&lt; Current date)
</t>
    </r>
    <r>
      <rPr>
        <rFont val="Tahoma"/>
        <color rgb="FF000000"/>
        <sz val="10.0"/>
      </rPr>
      <t>-  วันที่นัดส่งงาน แก้รอบถัดไป  &lt; (Current date)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</si>
  <si>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ทำการซื้อเครดิตหลายรอบ
</t>
    </r>
    <r>
      <rPr>
        <rFont val="Tahoma"/>
        <color rgb="FF000000"/>
        <sz val="10.0"/>
      </rPr>
      <t>- ซื้อแพ็ก 50 เครดิต 2 ครั้ง
- ซื้อแพ็ก 200 เครดิต 1 ครั้ง</t>
    </r>
  </si>
  <si>
    <t>1. ระบบต้องแสดงยอดเครดิตเป็น 300</t>
  </si>
  <si>
    <r>
      <rPr>
        <rFont val="Tahoma"/>
        <color rgb="FF000000"/>
        <sz val="10.0"/>
      </rPr>
      <t xml:space="preserve">ตรวจสอบการใช้งาน Credit
</t>
    </r>
    <r>
      <rPr>
        <rFont val="Tahoma"/>
        <b/>
        <color rgb="FF1155CC"/>
        <sz val="10.0"/>
      </rPr>
      <t>กรณี : สมาชิกต้องสามารถดู Credit คงเหลือของเจ้าของธุรกิจได้</t>
    </r>
  </si>
  <si>
    <t>1. ต้องมี Menu ให้เข้าไปดู credit คงเหลือของเจ้าของธุรกิจ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</si>
  <si>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ทำการปรับสถานะของงานและรอบแก้เป็น </t>
    </r>
    <r>
      <rPr>
        <rFont val="Tahoma"/>
        <b/>
        <color rgb="FF38761D"/>
        <sz val="10.0"/>
      </rPr>
      <t>"</t>
    </r>
    <r>
      <rPr>
        <rFont val="Tahoma"/>
        <b/>
        <color rgb="FFBF9000"/>
        <sz val="10.0"/>
      </rPr>
      <t>ส่งงานแก้แล้ว</t>
    </r>
    <r>
      <rPr>
        <rFont val="Tahoma"/>
        <b/>
        <color rgb="FF1155CC"/>
        <sz val="10.0"/>
      </rPr>
      <t>"</t>
    </r>
  </si>
  <si>
    <t>1. Event "ส่งงาน" ต้องหายไปจาก Calendar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</si>
  <si>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เลยช่วง Reset ของตัวเครดิตตามแผน ต้องไม่กระทบตัว เครดิตเสริม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</si>
  <si>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ทำการปรับสถานะของงานและรอบแก้เป็น </t>
    </r>
    <r>
      <rPr>
        <rFont val="Tahoma"/>
        <b/>
        <color rgb="FF38761D"/>
        <sz val="10.0"/>
      </rPr>
      <t>"งานผ่านแล้ว</t>
    </r>
    <r>
      <rPr>
        <rFont val="Tahoma"/>
        <b/>
        <color rgb="FF1155CC"/>
        <sz val="10.0"/>
      </rPr>
      <t>"</t>
    </r>
  </si>
  <si>
    <t>1. ยอดของเครดิตเสริมจะไม่ถูก reset และไม่มีวัน expire</t>
  </si>
  <si>
    <r>
      <rPr>
        <rFont val="Tahoma"/>
        <color rgb="FF000000"/>
        <sz val="10.0"/>
      </rPr>
      <t xml:space="preserve">ตรวจสอบการใช้งาน Credit
</t>
    </r>
    <r>
      <rPr>
        <rFont val="Tahoma"/>
        <b/>
        <color rgb="FF1155CC"/>
        <sz val="10.0"/>
      </rPr>
      <t>กรณี : เจ้าของใช้งาน Feature "ช่วยร่างข้อความ"</t>
    </r>
  </si>
  <si>
    <t>1. สามารถใช้งานได้
2. Credit ที่ถูกหักจะต้องเป็น credit ของเจ้าของธุรกิจ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</si>
  <si>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ส่งงาน ให้แบรนด์แล้ว แต่แบรนด์ขอแก้ Draft แบบไม่ระบุวันที่นัดส่งงาน แก้รอบถัดไป (Case Over Limit) 
</t>
    </r>
    <r>
      <rPr>
        <rFont val="Tahoma"/>
        <color rgb="FF000000"/>
        <sz val="10.0"/>
      </rPr>
      <t>- แบรนด์ขอแก้ Draft แบบ</t>
    </r>
    <r>
      <rPr>
        <rFont val="Tahoma"/>
        <color rgb="FFFF0000"/>
        <sz val="10.0"/>
      </rPr>
      <t>ไม่ระบุ</t>
    </r>
    <r>
      <rPr>
        <rFont val="Tahoma"/>
        <color rgb="FF000000"/>
        <sz val="10.0"/>
      </rPr>
      <t>วันที่นัดส่งงาน แก้รอบถัดไป
- Over Limit</t>
    </r>
  </si>
  <si>
    <t>Scenario : Validation สำหรับตัว Credit (การใช้งาน , การหักเครดิต)</t>
  </si>
  <si>
    <r>
      <rPr>
        <rFont val="Tahoma"/>
        <color rgb="FF000000"/>
        <sz val="10.0"/>
      </rPr>
      <t xml:space="preserve">ตรวจสอบการใช้งาน Credit
</t>
    </r>
    <r>
      <rPr>
        <rFont val="Tahoma"/>
        <b/>
        <color rgb="FF1155CC"/>
        <sz val="10.0"/>
      </rPr>
      <t>กรณี : สมาชิกใช้งาน Feature "ช่วยร่างข้อความ"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</si>
  <si>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ส่งงาน ให้แบรนด์แล้ว แต่แบรนด์ขอแก้ Draft โดยระบุวันที่นัดส่งงาน แก้รอบถัดไป (Case Over Limit) 
</t>
    </r>
    <r>
      <rPr>
        <rFont val="Tahoma"/>
        <color rgb="FF000000"/>
        <sz val="10.0"/>
      </rPr>
      <t xml:space="preserve">- แบรนด์ขอแก้ Draft </t>
    </r>
    <r>
      <rPr>
        <rFont val="Tahoma"/>
        <color rgb="FF38761D"/>
        <sz val="10.0"/>
      </rPr>
      <t>โดยระบุ</t>
    </r>
    <r>
      <rPr>
        <rFont val="Tahoma"/>
        <color rgb="FF000000"/>
        <sz val="10.0"/>
      </rPr>
      <t>วันที่นัดส่งงาน แก้รอบถัดไป
- Over Limit</t>
    </r>
  </si>
  <si>
    <r>
      <rPr>
        <rFont val="Tahoma"/>
        <color rgb="FF000000"/>
        <sz val="10.0"/>
      </rPr>
      <t xml:space="preserve">ตรวจสอบการใช้งาน Credit
</t>
    </r>
    <r>
      <rPr>
        <rFont val="Tahoma"/>
        <b/>
        <color rgb="FF1155CC"/>
        <sz val="10.0"/>
      </rPr>
      <t>กรณี : เจ้าของใช้งาน Feature "สร้างคอนเทนต์"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</si>
  <si>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ทำการปรับสถานะของงานและรอบแก้เป็น </t>
    </r>
    <r>
      <rPr>
        <rFont val="Tahoma"/>
        <b/>
        <color rgb="FF38761D"/>
        <sz val="10.0"/>
      </rPr>
      <t>"งานผ่านแล้ว</t>
    </r>
    <r>
      <rPr>
        <rFont val="Tahoma"/>
        <b/>
        <color rgb="FF1155CC"/>
        <sz val="10.0"/>
      </rPr>
      <t xml:space="preserve">"  (Case Over Limit) 
</t>
    </r>
    <r>
      <rPr>
        <rFont val="Tahoma"/>
        <color rgb="FF000000"/>
        <sz val="10.0"/>
      </rPr>
      <t>- Over Limit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</si>
  <si>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ใช้งาน feature ที่กินเครดิต แบบที่ เครดิตตามแผน </t>
    </r>
    <r>
      <rPr>
        <rFont val="Tahoma"/>
        <b/>
        <color rgb="FF38761D"/>
        <sz val="10.0"/>
      </rPr>
      <t>เพียงพอต่อการใช้งาน</t>
    </r>
    <r>
      <rPr>
        <rFont val="Tahoma"/>
        <b/>
        <color rgb="FF1155CC"/>
        <sz val="10.0"/>
      </rPr>
      <t xml:space="preserve"> + เครดิตเสริม ถูก </t>
    </r>
    <r>
      <rPr>
        <rFont val="Tahoma"/>
        <b/>
        <color rgb="FFFF0000"/>
        <sz val="10.0"/>
      </rPr>
      <t>toggle ปิดอยู่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เครดิตเสริม = Off</t>
    </r>
  </si>
  <si>
    <t>1. ระบบอนุญาตให้ใช้งาน feature นั้น
2. ระบบ calculate ยอดเครดิตคงเหลือให้ถูกต้อง</t>
  </si>
  <si>
    <t>Scenario : Case validations : เมนู "ปฏิทิน" จากการเพิ่มงวดใน Tab "งาน / สคริปต์"</t>
  </si>
  <si>
    <r>
      <rPr>
        <rFont val="Tahoma"/>
        <color rgb="FF000000"/>
        <sz val="10.0"/>
      </rPr>
      <t xml:space="preserve">ตรวจสอบการใช้งาน Credit
</t>
    </r>
    <r>
      <rPr>
        <rFont val="Tahoma"/>
        <b/>
        <color rgb="FF1155CC"/>
        <sz val="10.0"/>
      </rPr>
      <t>กรณี : สมาชิกใช้งาน Feature "สร้างคอนเทนต์"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</si>
  <si>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เครดิตตามแผน เหลือ 0 + เครดิตเสริม ถูก </t>
    </r>
    <r>
      <rPr>
        <rFont val="Tahoma"/>
        <b/>
        <color rgb="FFFF0000"/>
        <sz val="10.0"/>
      </rPr>
      <t>toggle ปิดอยู่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เครดิตเสริม = Off</t>
    </r>
  </si>
  <si>
    <t xml:space="preserve">1. ระบบต้องไม่อนุญาตให้ใช้งาน feature ที่กินเครดิตต่อได้
2. ระบบต้องไม่ไปตัดเครดิตในส่วนของ เครดิตเสริม 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</si>
  <si>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ทำการเพิ่มงวดเงิน </t>
    </r>
    <r>
      <rPr>
        <rFont val="Tahoma"/>
        <b/>
        <color rgb="FFFF0000"/>
        <sz val="10.0"/>
      </rPr>
      <t>แบบไม่ระบุวันกำหนดชำระ</t>
    </r>
  </si>
  <si>
    <t>1. Event ใน calendar จับจาก "กำหนดจ่ายเงิน" ตอนสร้างดีล</t>
  </si>
  <si>
    <r>
      <rPr>
        <rFont val="Tahoma"/>
        <color rgb="FF000000"/>
        <sz val="10.0"/>
      </rPr>
      <t xml:space="preserve">ตรวจสอบการใช้งาน Credit
</t>
    </r>
    <r>
      <rPr>
        <rFont val="Tahoma"/>
        <b/>
        <color rgb="FF1155CC"/>
        <sz val="10.0"/>
      </rPr>
      <t>กรณี : สมาชิกต้องไม่สามารถเติม credit ให้เจ้าของธุรกิจได้</t>
    </r>
  </si>
  <si>
    <r>
      <rPr>
        <rFont val="Tahoma"/>
        <color rgb="FF000000"/>
        <sz val="10.0"/>
      </rPr>
      <t>1. ต้อง</t>
    </r>
    <r>
      <rPr>
        <rFont val="Tahoma"/>
        <color rgb="FFFF0000"/>
        <sz val="10.0"/>
      </rPr>
      <t>ไม่มี</t>
    </r>
    <r>
      <rPr>
        <rFont val="Tahoma"/>
        <color rgb="FF000000"/>
        <sz val="10.0"/>
      </rPr>
      <t>ปุ่มให้ เติมเครดิต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</si>
  <si>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เครดิตตามแผน เหลือ 1 แต่ว่า feature ที่จะใช้งาน require 3 เครดิต + เครดิตเสริม ถูก</t>
    </r>
    <r>
      <rPr>
        <rFont val="Tahoma"/>
        <b/>
        <color rgb="FFFF0000"/>
        <sz val="10.0"/>
      </rPr>
      <t xml:space="preserve"> toggle ปิดอยู่</t>
    </r>
    <r>
      <rPr>
        <rFont val="Tahoma"/>
        <b/>
        <color rgb="FF6AA84F"/>
        <sz val="10.0"/>
      </rPr>
      <t xml:space="preserve">
</t>
    </r>
    <r>
      <rPr>
        <rFont val="Tahoma"/>
        <color rgb="FF000000"/>
        <sz val="10.0"/>
      </rPr>
      <t>- เครดิตเสริม = Off
Note: ต้องมีแจ้งเตือน credit ไม่พอ + ท่านมีเครดิตเสริม จะเปิดใช้งานไหม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</si>
  <si>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ทำการเพิ่มงวดเงิน แบบระบุวันกำหนดชำระ</t>
    </r>
  </si>
  <si>
    <t>1. Event ใน calendar จับจากวัน "กำหนดชำระ" ตอนเพิ่มงวด</t>
  </si>
  <si>
    <r>
      <rPr>
        <rFont val="Tahoma"/>
        <color rgb="FF000000"/>
        <sz val="10.0"/>
      </rPr>
      <t xml:space="preserve">ตรวจสอบการใช้งาน Credit
</t>
    </r>
    <r>
      <rPr>
        <rFont val="Tahoma"/>
        <b/>
        <color rgb="FF1155CC"/>
        <sz val="10.0"/>
      </rPr>
      <t>กรณี : เจ้าของธุรกิจทำการ ซื้อ credit จะต้อง update credit ให้สมาชิกเห็นด้วย</t>
    </r>
  </si>
  <si>
    <t>1. สมาชิกจะต้องเห็นยอดใหม่ของ credit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</si>
  <si>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ใช้งาน feature ที่กินเครดิต แบบที่ เครดิตตามแผน </t>
    </r>
    <r>
      <rPr>
        <rFont val="Tahoma"/>
        <b/>
        <color rgb="FF38761D"/>
        <sz val="10.0"/>
      </rPr>
      <t>เพียงพอต่อการใช้งาน</t>
    </r>
    <r>
      <rPr>
        <rFont val="Tahoma"/>
        <b/>
        <color rgb="FF1155CC"/>
        <sz val="10.0"/>
      </rPr>
      <t xml:space="preserve"> + เครดิตเสริม ถูก </t>
    </r>
    <r>
      <rPr>
        <rFont val="Tahoma"/>
        <b/>
        <color rgb="FF38761D"/>
        <sz val="10.0"/>
      </rPr>
      <t>toggle เปิดอยู่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เครดิตเสริม = On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</si>
  <si>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ทำการเพิ่มหลายงวดเงิน โดยมีเงื่อนไขดังนี้
</t>
    </r>
    <r>
      <rPr>
        <rFont val="Tahoma"/>
        <color rgb="FF000000"/>
        <sz val="10.0"/>
      </rPr>
      <t xml:space="preserve">- งวด 1 </t>
    </r>
    <r>
      <rPr>
        <rFont val="Tahoma"/>
        <color rgb="FFFF0000"/>
        <sz val="10.0"/>
      </rPr>
      <t>ไม่ระบุ</t>
    </r>
    <r>
      <rPr>
        <rFont val="Tahoma"/>
        <color rgb="FF000000"/>
        <sz val="10.0"/>
      </rPr>
      <t xml:space="preserve">วันที่ "กำหนดชำระ"
- งวด 2 </t>
    </r>
    <r>
      <rPr>
        <rFont val="Tahoma"/>
        <color rgb="FF38761D"/>
        <sz val="10.0"/>
      </rPr>
      <t>ระบุ</t>
    </r>
    <r>
      <rPr>
        <rFont val="Tahoma"/>
        <color rgb="FF000000"/>
        <sz val="10.0"/>
      </rPr>
      <t>วันที่ "กำหนดชำระ"</t>
    </r>
  </si>
  <si>
    <t>1. ใน Calendar จะต้องมี 2 event</t>
  </si>
  <si>
    <t>1. ระบบอนุญาตให้ใช้งาน feature นั้น
2. ระบบต้องหักเครดิตจาก เครดิตตามแผน เท่านั้น</t>
  </si>
  <si>
    <t>Scenario : User 2 คนทำรายการพร้อมกัน (กรณี Edit , Update Deal)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</si>
  <si>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ทำการเพิ่มหลายงวดเงิน โดยมีเงื่อนไขดังนี้
</t>
    </r>
    <r>
      <rPr>
        <rFont val="Tahoma"/>
        <color rgb="FF000000"/>
        <sz val="10.0"/>
      </rPr>
      <t xml:space="preserve">- งวด 1 </t>
    </r>
    <r>
      <rPr>
        <rFont val="Tahoma"/>
        <color rgb="FF38761D"/>
        <sz val="10.0"/>
      </rPr>
      <t>ระบุ</t>
    </r>
    <r>
      <rPr>
        <rFont val="Tahoma"/>
        <color rgb="FF000000"/>
        <sz val="10.0"/>
      </rPr>
      <t xml:space="preserve">วันที่ "กำหนดชำระ"
- งวด 2 </t>
    </r>
    <r>
      <rPr>
        <rFont val="Tahoma"/>
        <color rgb="FF38761D"/>
        <sz val="10.0"/>
      </rPr>
      <t>ระบุ</t>
    </r>
    <r>
      <rPr>
        <rFont val="Tahoma"/>
        <color rgb="FF000000"/>
        <sz val="10.0"/>
      </rPr>
      <t>วันที่ "กำหนดชำระ"
- 2 งวดนี้ระบุ</t>
    </r>
    <r>
      <rPr>
        <rFont val="Tahoma"/>
        <b/>
        <color rgb="FF000000"/>
        <sz val="10.0"/>
      </rPr>
      <t>คนละวันที่กัน</t>
    </r>
  </si>
  <si>
    <t>1. ใน Calendar จะต้องมี 2 event แสดงตามวันที่ของทั้ง 2 งวด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</si>
  <si>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ใช้งาน feature ที่กินเครดิต แบบที่ เครดิตตามแผน </t>
    </r>
    <r>
      <rPr>
        <rFont val="Tahoma"/>
        <b/>
        <color rgb="FFFF0000"/>
        <sz val="10.0"/>
      </rPr>
      <t>ไม่เพียงพอต่อการใช้งาน</t>
    </r>
    <r>
      <rPr>
        <rFont val="Tahoma"/>
        <b/>
        <color rgb="FF1155CC"/>
        <sz val="10.0"/>
      </rPr>
      <t xml:space="preserve"> + เครดิตเสริม ถูก </t>
    </r>
    <r>
      <rPr>
        <rFont val="Tahoma"/>
        <b/>
        <color rgb="FF38761D"/>
        <sz val="10.0"/>
      </rPr>
      <t xml:space="preserve">toggle เปิดอยู่ </t>
    </r>
    <r>
      <rPr>
        <rFont val="Tahoma"/>
        <b/>
        <color rgb="FF000000"/>
        <sz val="10.0"/>
      </rPr>
      <t>และ</t>
    </r>
    <r>
      <rPr>
        <rFont val="Tahoma"/>
        <b/>
        <color rgb="FF38761D"/>
        <sz val="10.0"/>
      </rPr>
      <t>เพียงพอต่อการใช้งาน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เครดิตเสริม = On</t>
    </r>
  </si>
  <si>
    <t>1. ระบบอนุญาตให้ใช้งาน feature นั้น
2. ระบบต้องหักเครดิตจาก เครดิตตามแผน จนหมดก่อน แล้วค่อยไปหักส่วนที่เหลือจาก เครดิตเสริม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</si>
  <si>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ทำการเพิ่มหลายงวดเงิน โดยมีเงื่อนไขดังนี้
</t>
    </r>
    <r>
      <rPr>
        <rFont val="Tahoma"/>
        <color rgb="FF000000"/>
        <sz val="10.0"/>
      </rPr>
      <t xml:space="preserve">- งวด 1 </t>
    </r>
    <r>
      <rPr>
        <rFont val="Tahoma"/>
        <color rgb="FF38761D"/>
        <sz val="10.0"/>
      </rPr>
      <t>ระบุ</t>
    </r>
    <r>
      <rPr>
        <rFont val="Tahoma"/>
        <color rgb="FF000000"/>
        <sz val="10.0"/>
      </rPr>
      <t xml:space="preserve">วันที่ "กำหนดชำระ"
- งวด 2 </t>
    </r>
    <r>
      <rPr>
        <rFont val="Tahoma"/>
        <color rgb="FF38761D"/>
        <sz val="10.0"/>
      </rPr>
      <t>ระบุ</t>
    </r>
    <r>
      <rPr>
        <rFont val="Tahoma"/>
        <color rgb="FF000000"/>
        <sz val="10.0"/>
      </rPr>
      <t>วันที่ "กำหนดชำระ"
- 2 งวดนี้ระบุ</t>
    </r>
    <r>
      <rPr>
        <rFont val="Tahoma"/>
        <b/>
        <color rgb="FF000000"/>
        <sz val="10.0"/>
      </rPr>
      <t>วันที่เดียวกัน</t>
    </r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</si>
  <si>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2 คนทำการแก้ไข status พร้อมกัน (Update Status)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</si>
  <si>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ใช้งาน feature ที่กินเครดิต แบบที่ เครดิตตามแผน </t>
    </r>
    <r>
      <rPr>
        <rFont val="Tahoma"/>
        <b/>
        <color rgb="FFFF0000"/>
        <sz val="10.0"/>
      </rPr>
      <t>ไม่เพียงพอต่อการใช้งาน</t>
    </r>
    <r>
      <rPr>
        <rFont val="Tahoma"/>
        <b/>
        <color rgb="FF1155CC"/>
        <sz val="10.0"/>
      </rPr>
      <t xml:space="preserve"> + เครดิตเสริม ถูก </t>
    </r>
    <r>
      <rPr>
        <rFont val="Tahoma"/>
        <b/>
        <color rgb="FF38761D"/>
        <sz val="10.0"/>
      </rPr>
      <t xml:space="preserve">toggle เปิดอยู่ </t>
    </r>
    <r>
      <rPr>
        <rFont val="Tahoma"/>
        <b/>
        <color rgb="FF000000"/>
        <sz val="10.0"/>
      </rPr>
      <t>แต่</t>
    </r>
    <r>
      <rPr>
        <rFont val="Tahoma"/>
        <b/>
        <color rgb="FFFF0000"/>
        <sz val="10.0"/>
      </rPr>
      <t xml:space="preserve">ไม่เพียงพอต่อการใช้งาน 
</t>
    </r>
    <r>
      <rPr>
        <rFont val="Tahoma"/>
        <b/>
        <color rgb="FF000000"/>
        <sz val="10.0"/>
      </rPr>
      <t>(Ex. feature ใช้ 5 credit , เครดิตตามแผน เหลือ 1 , เครดิตเสริม เหลือ 3)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เครดิตเสริม = On
Note: ต้องมีแจ้งเตือน credit ไม่พอ</t>
    </r>
  </si>
  <si>
    <t>1. User ที่ทำรายการทีหลัง จะต้องถูกแจ้งเตือนว่า "สถานะมีการเปลี่ยนแปลง"</t>
  </si>
  <si>
    <t>1. ระบบต้องไม่อนุญาตให้ใช้งาน feature ที่กินเครดิตต่อได้</t>
  </si>
  <si>
    <t>Scenario : Case validations : เมนู "ปฏิทิน" จากการรับเงินใน Tab "งาน / สคริปต์"</t>
  </si>
  <si>
    <r>
      <rPr>
        <rFont val="Tahoma"/>
        <b/>
        <strike/>
        <color rgb="FF000000"/>
        <sz val="10.0"/>
        <u/>
      </rPr>
      <t>https://trello.com/c/IRmi1OCh</t>
    </r>
    <r>
      <rPr>
        <rFont val="Tahoma"/>
        <b/>
        <strike/>
        <color rgb="FF1155CC"/>
        <sz val="12.0"/>
        <u/>
      </rPr>
      <t xml:space="preserve">
https://trello.com/c/ru8dDTve</t>
    </r>
  </si>
  <si>
    <t>Scenario : User ปรับจาก Pro กลับมาเป็น Free Package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</si>
  <si>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ทำการรับเงินแบบเต็มจำนวน</t>
    </r>
  </si>
  <si>
    <t>1. สถานะจะถูกปรับเป็น "จ่ายแล้ว"
2. Event ใน Calendar ควรจะเหลือแค่ วันลงงาน / เผยแพร่ (ปรับเป็นสีเข้ม)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</si>
  <si>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2 คนทำการแก้ไขข้อมูลดีลพร้อมกัน (Edit Deal Information)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</si>
  <si>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ทำการรับเงินแบบบางส่วน</t>
    </r>
  </si>
  <si>
    <r>
      <rPr>
        <rFont val="Tahoma"/>
        <b/>
        <strike/>
        <color rgb="FF000000"/>
        <sz val="10.0"/>
        <u/>
      </rPr>
      <t xml:space="preserve">https://trello.com/c/IRmi1OCh
</t>
    </r>
    <r>
      <rPr>
        <rFont val="Tahoma"/>
        <b/>
        <strike/>
        <color rgb="FF1155CC"/>
        <sz val="12.0"/>
        <u/>
      </rPr>
      <t>https://trello.com/c/INbI7n10</t>
    </r>
  </si>
  <si>
    <t>1. สถานะจะยังค้างอยู่ที่เดิมก่อนกด "รับเงิน"
2. Event ใน Calendar ยังแสดงเหมือนเดิม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</si>
  <si>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 xml:space="preserve">กรณี : User มีการเพิ่มธุรกิจไว้ 3 ธุรกิจในช่วง Pro และถูกลดขั้นกลับมาเป็น Free
</t>
    </r>
    <r>
      <rPr>
        <rFont val="Tahoma"/>
        <color rgb="FF000000"/>
        <sz val="10.0"/>
      </rPr>
      <t>- Check ทั้งแบบเล่นๆ อยู่แล้วหมด Pro พอดีด้วย</t>
    </r>
  </si>
  <si>
    <t>1. ระบบจะทำการ disable 2 ธุรกิจที่เพิ่มมาทีหลัง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</si>
  <si>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2 คนทำการบันทึก Brief จากลูกค้า พร้อมกัน (Save Brief)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</si>
  <si>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ทำการรับเงินจากงวดที่มีการระบุวัน</t>
    </r>
  </si>
  <si>
    <t>1. สถานะจะยังค้างอยู่ที่เดิมก่อนกด "รับเงิน"
2. Event "รับเงิน" ใน Calendar ของวันที่นั้นจะหายไป</t>
  </si>
  <si>
    <r>
      <rPr>
        <rFont val="Tahoma"/>
        <b/>
        <strike/>
        <color rgb="FF000000"/>
        <sz val="10.0"/>
        <u/>
      </rPr>
      <t xml:space="preserve">https://trello.com/c/IRmi1OCh
</t>
    </r>
    <r>
      <rPr>
        <rFont val="Tahoma"/>
        <b/>
        <strike/>
        <color rgb="FF1155CC"/>
        <sz val="12.0"/>
        <u/>
      </rPr>
      <t xml:space="preserve">https://trello.com/c/OxgaA4iD
</t>
    </r>
    <r>
      <rPr>
        <rFont val="Tahoma"/>
        <b/>
        <strike val="0"/>
        <color rgb="FF000000"/>
        <sz val="10.0"/>
        <u/>
      </rPr>
      <t>เดี๋ยวมีเพิ่ม anchor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</si>
  <si>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ทำการรับเงินหลายงวดจนยอดครบ</t>
    </r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</si>
  <si>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2 คนทำการ update status ของ สคริปต์ พร้อมกัน (Update Script Status)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</si>
  <si>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สร้างดีลไว้เกิน 3 ดีลในช่วง Pro และยังเดิน workflow ไม่จบ แต่โดนลดขั้นกลับมาเป็น Free ก่อน</t>
    </r>
  </si>
  <si>
    <r>
      <rPr>
        <rFont val="Tahoma"/>
        <strike/>
        <color rgb="FF000000"/>
        <sz val="10.0"/>
      </rPr>
      <t xml:space="preserve">1. งานที่ทำค้างไว้จะต้องสามารถทำต่อได้
</t>
    </r>
    <r>
      <rPr>
        <rFont val="Tahoma"/>
        <color rgb="FF000000"/>
        <sz val="10.0"/>
      </rPr>
      <t>1. ระบบ lock ดีลที่เกิน 3 (ให้ priority รายการที่ทำมาก่อน)</t>
    </r>
  </si>
  <si>
    <t>Scenario : Case validations : เมนู "ปฏิทิน" จากการลบรายการ Tab "งาน / สคริปต์"</t>
  </si>
  <si>
    <r>
      <rPr>
        <rFont val="Tahoma"/>
        <b/>
        <strike/>
        <color rgb="FF000000"/>
        <sz val="10.0"/>
        <u/>
      </rPr>
      <t xml:space="preserve">https://trello.com/c/IRmi1OCh
</t>
    </r>
    <r>
      <rPr>
        <rFont val="Tahoma"/>
        <b/>
        <strike/>
        <color rgb="FF1155CC"/>
        <sz val="12.0"/>
        <u/>
      </rPr>
      <t xml:space="preserve">https://trello.com/c/6Bcjju7m
</t>
    </r>
    <r>
      <rPr>
        <rFont val="Tahoma"/>
        <b/>
        <strike val="0"/>
        <color rgb="FF000000"/>
        <sz val="10.0"/>
        <u/>
      </rPr>
      <t>เดี๋ยวมีเพิ่ม anchor</t>
    </r>
  </si>
  <si>
    <t>https://trello.com/c/m7RByaJx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</si>
  <si>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2 คนทำการ update status ของ Draft พร้อมกัน (Update Draft Status)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</si>
  <si>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มีรายการรอแจ้งเตือนผ่าน LINE แต่โดนลดขั้นกลับมาเป็น Free ก่อนจะถึงเวลาส่ง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</si>
  <si>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รายการเป็น "จ่ายแล้ว" แต่ User ทำการ </t>
    </r>
    <r>
      <rPr>
        <rFont val="Tahoma"/>
        <b/>
        <color rgb="FFFF0000"/>
        <sz val="10.0"/>
      </rPr>
      <t>ลบ</t>
    </r>
    <r>
      <rPr>
        <rFont val="Tahoma"/>
        <b/>
        <color rgb="FF1155CC"/>
        <sz val="10.0"/>
      </rPr>
      <t xml:space="preserve"> record ภายใต้ section "เงินที่รับมา" ออก</t>
    </r>
  </si>
  <si>
    <t>1. ระบบต้องไม่ส่ง Notification ไปยัง LINE</t>
  </si>
  <si>
    <t>1. สถานะจะถูกปรับเป็น "รอจ่าย"
2. Event ใน Calendar จะกลับไปเหมือนก่อนที่รายการจะเป็น "จ่ายแล้ว"</t>
  </si>
  <si>
    <r>
      <rPr>
        <rFont val="Tahoma"/>
        <b/>
        <strike/>
        <color rgb="FF000000"/>
        <sz val="10.0"/>
        <u/>
      </rPr>
      <t xml:space="preserve">https://trello.com/c/IRmi1OCh
</t>
    </r>
    <r>
      <rPr>
        <rFont val="Tahoma"/>
        <b/>
        <strike val="0"/>
        <color rgb="FF1F1F1F"/>
        <sz val="10.0"/>
        <u/>
      </rPr>
      <t>เดี๋ยวมีเพิ่ม anchor</t>
    </r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</si>
  <si>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 xml:space="preserve">กรณี : User 2 คนทำการเพิ่มงวดเงิน แต่งวดเงินถูกเพิ่มครบยอด ตั้งแต่ User คนแรก User คนที่ 2 จะต้องเพิ่มงวดเงินไม่สำเร็จ (ค้างอยู่หน้างวดเงินตั้งแต่ยังไม่มีสักงวด)
</t>
    </r>
    <r>
      <rPr>
        <rFont val="Tahoma"/>
        <color rgb="FF000000"/>
        <sz val="10.0"/>
      </rPr>
      <t>Note: ไม่เกี่ยวกับงวดครบ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</si>
  <si>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ทำการ </t>
    </r>
    <r>
      <rPr>
        <rFont val="Tahoma"/>
        <b/>
        <color rgb="FFFF0000"/>
        <sz val="10.0"/>
      </rPr>
      <t>ลบ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>record ที่ตั้งงวดแบบ</t>
    </r>
    <r>
      <rPr>
        <rFont val="Tahoma"/>
        <b/>
        <color rgb="FFFF0000"/>
        <sz val="10.0"/>
      </rPr>
      <t>ไม่ระบุ</t>
    </r>
    <r>
      <rPr>
        <rFont val="Tahoma"/>
        <b/>
        <color rgb="FF1155CC"/>
        <sz val="10.0"/>
      </rPr>
      <t>วันที่ออก</t>
    </r>
  </si>
  <si>
    <t>Scenario : User ปรับจาก Pro รายเดือน มาเป็น รายปี / รายปี มาเป็น รายเดือน</t>
  </si>
  <si>
    <t>https://trello.com/c/IRmi1OCh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</si>
  <si>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 xml:space="preserve">กรณี : User ทำการ </t>
    </r>
    <r>
      <rPr>
        <rFont val="Tahoma"/>
        <b/>
        <color rgb="FFFF0000"/>
        <sz val="10.0"/>
      </rPr>
      <t>ลบ</t>
    </r>
    <r>
      <rPr>
        <rFont val="Tahoma"/>
        <b/>
        <color rgb="FF000000"/>
        <sz val="10.0"/>
      </rPr>
      <t xml:space="preserve"> </t>
    </r>
    <r>
      <rPr>
        <rFont val="Tahoma"/>
        <b/>
        <color rgb="FF1155CC"/>
        <sz val="10.0"/>
      </rPr>
      <t>record ที่ตั้งงวดแบบ</t>
    </r>
    <r>
      <rPr>
        <rFont val="Tahoma"/>
        <b/>
        <color rgb="FF38761D"/>
        <sz val="10.0"/>
      </rPr>
      <t>ระบุ</t>
    </r>
    <r>
      <rPr>
        <rFont val="Tahoma"/>
        <b/>
        <color rgb="FF1155CC"/>
        <sz val="10.0"/>
      </rPr>
      <t>วันที่ออก</t>
    </r>
  </si>
  <si>
    <t>1. Event "รับเงิน" ใน Calendar ของวันที่นั้นจะหายไป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</si>
  <si>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Export Excel เพื่อดู Deal ทั้งหมด แต่ User 2 แก้ไขข้อมูล Deal ไปก่อน (User 1 เห็น deal แบบข้อมูลเก่าก่อนจะ export)</t>
    </r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</si>
  <si>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ทำการปรับ Package Pro จาก รายเดือน มาเป็น รายปี</t>
    </r>
  </si>
  <si>
    <t>1. ข้อมูลใน excel ต้องเป็นข้อมูลที่ถูก update แล้ว</t>
  </si>
  <si>
    <t>Scenario : Case validations : เมนู "ปฏิทิน" ปรับสถานะของดีล</t>
  </si>
  <si>
    <t>1. หลังจบรอบของรายเดือนปัจจุบัน ระบบต้องต่ออายุให้ User รายนี้เป็นแบบ รายปี</t>
  </si>
  <si>
    <t>https://trello.com/c/9Yjh6hNr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</si>
  <si>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ทำการปรับสถานะดีลเป็น "ตกลงราคา"</t>
    </r>
  </si>
  <si>
    <t>Scenario : User 2 คนทำรายการพร้อมกัน (Delete Deal)</t>
  </si>
  <si>
    <t>1. สถานะจะถูกปรับเป็น "ตกลงราคา"
2. Event ใน Calendar จะแสดงไม่แตกต่างจากเดิม</t>
  </si>
  <si>
    <r>
      <rPr>
        <rFont val="Tahoma"/>
        <color rgb="FF000000"/>
        <sz val="10.0"/>
      </rPr>
      <t xml:space="preserve">ตรวจสอบเมนู : แพ็กเกจสมาชิก
</t>
    </r>
    <r>
      <rPr>
        <rFont val="Tahoma"/>
        <b/>
        <color rgb="FF1155CC"/>
        <sz val="10.0"/>
      </rPr>
      <t>กรณี : User ทำการปรับ Package Pro จาก รายปี มาเป็น รายปี มาเป็น รายเดือน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</si>
  <si>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ทำการปรับสถานะดีลเป็น "กำลังทำงาน"</t>
    </r>
  </si>
  <si>
    <t>1. สถานะจะถูกปรับเป็น "กำลังทำงาน"
2. Event ใน Calendar จะแสดงไม่แตกต่างจากเดิม</t>
  </si>
  <si>
    <t>1. หลังจบรอบของรายปีปัจจุบัน ระบบต้องต่ออายุให้ User รายนี้เป็นแบบ รายเดือน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</si>
  <si>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ทำการปรับสถานะดีลเป็น "จ่ายแล้ว" (กดจาก บันทึกรับเงิน)</t>
    </r>
  </si>
  <si>
    <t>ยังหาวิธีพิสูจน์ไม่ได้ว่าหลังหมดรายปีแล้วระบบเปลี่ยนเป็น รายเดือนให้ไหม</t>
  </si>
  <si>
    <t>1. สถานะจะถูกปรับเป็น "จ่ายแล้ว"
2. Event ใน Calendar จะแสดงเพียง "เผยแพร่" และเปลี่ยนพื้นหลังเป็นสีเข้ม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</si>
  <si>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View ข้อมูล Deal แต่ User 2 ลบ Deal นั้นไปก่อน</t>
    </r>
  </si>
  <si>
    <t>1. ระบบต้องมีแจ้งเตือนให้ User 1 ทราบว่า Deal ถูกลบไปแล้ว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</si>
  <si>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ทำการปรับสถานะดีลเป็น "ยกเลิก"</t>
    </r>
  </si>
  <si>
    <t>1. สถานะจะถูกปรับเป็น "ยกเลิก"
2. Event ใน Calendar ของดีลนั้นจะหายไปทั้งหมด</t>
  </si>
  <si>
    <t>เพิ่ม case Monthly -&gt; Yearly</t>
  </si>
  <si>
    <t>เพิ่ม case Yearly -&gt; Monthly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</si>
  <si>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Update Status Deal แต่ User 2 ลบ Deal นั้นไปก่อน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</si>
  <si>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ทำการปรับสถานะดีลจาก "จ่ายแล้ว" กลับมาเป็น "ทาบทาม"</t>
    </r>
  </si>
  <si>
    <t>1. สถานะจะถูกปรับเป็น "ทาบทาม"
2. Event ใน Calendar ทั้งหมดของดีลนี้จะกลับไปเหมือนก่อนที่จะปรับสถานะเป็น "จ่ายแล้ว"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</si>
  <si>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 xml:space="preserve">กรณี : User 1 กำลังจะ Edit ข้อมูล Deal แต่ User 2 ลบ Deal นั้นไปก่อน
</t>
    </r>
    <r>
      <rPr>
        <rFont val="Tahoma"/>
        <color rgb="FF000000"/>
        <sz val="10.0"/>
      </rPr>
      <t>- Edit Information
- Save Brief
- Update script status
- Update draft status
- เพิ่มงวดเงิน
- ชำระเงิน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</si>
  <si>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ทำการลบดีลทิ้ง</t>
    </r>
  </si>
  <si>
    <t>1. ดีลนี้จะหายไป
2. Event ใน Calendar ของดีลนั้นจะหายไปทั้งหมด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</si>
  <si>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ลบ ข้อมูล Deal แต่ User 2 ลบ Deal นั้นไปก่อน</t>
    </r>
  </si>
  <si>
    <t>Scenario : Case validations : เมนู "ปฏิทิน" โดย User ทำการ Connect / Disconnect Google Calendar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</si>
  <si>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 xml:space="preserve">กรณี : User 1 กำลังจะ ออกเอกสารให้กับ Deal แต่ User 2 ลบ Deal นั้นไปก่อน
</t>
    </r>
    <r>
      <rPr>
        <rFont val="Tahoma"/>
        <color rgb="FF000000"/>
        <sz val="10.0"/>
      </rPr>
      <t>- ใบเสนอราคา
- ใบแจ้งหนี้
- ใบเสร็จรับเงิน
- ใบกำกับภาษี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</si>
  <si>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ทำการเชื่อมต่อ Google Calendar</t>
    </r>
  </si>
  <si>
    <r>
      <rPr>
        <rFont val="Tahoma"/>
        <color rgb="FF000000"/>
        <sz val="10.0"/>
      </rPr>
      <t>1. Event บน Google Calendar จะต้องถูก</t>
    </r>
    <r>
      <rPr>
        <rFont val="Tahoma"/>
        <color rgb="FF38761D"/>
        <sz val="10.0"/>
      </rPr>
      <t>นำมาแสดง</t>
    </r>
    <r>
      <rPr>
        <rFont val="Tahoma"/>
        <color rgb="FF000000"/>
        <sz val="10.0"/>
      </rPr>
      <t>ในเมนู "ปฏิทิน"</t>
    </r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</si>
  <si>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Export Excel เพื่อดู Deal ทั้งหมด แต่ User 2 ลบ Deal ไป 1 Deal ก่อน (User 1 เห็น deal นั้นอยู่บนหน้าจอ)</t>
    </r>
  </si>
  <si>
    <t>1. Deal ที่ถูกลบไปแล้วต้องไม่ติดไปใน Excel ไฟล์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</si>
  <si>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</t>
    </r>
    <r>
      <rPr>
        <rFont val="Tahoma"/>
        <b/>
        <color rgb="FFFF0000"/>
        <sz val="10.0"/>
      </rPr>
      <t>ตัดการเชื่อมต่อ</t>
    </r>
    <r>
      <rPr>
        <rFont val="Tahoma"/>
        <b/>
        <color rgb="FF1155CC"/>
        <sz val="10.0"/>
      </rPr>
      <t xml:space="preserve"> Google Calendar</t>
    </r>
  </si>
  <si>
    <r>
      <rPr>
        <rFont val="Tahoma"/>
        <color rgb="FF000000"/>
        <sz val="10.0"/>
      </rPr>
      <t>1. Event บน Google Calendar จะต้องถูก</t>
    </r>
    <r>
      <rPr>
        <rFont val="Tahoma"/>
        <color rgb="FFFF0000"/>
        <sz val="10.0"/>
      </rPr>
      <t>นำออกไป</t>
    </r>
    <r>
      <rPr>
        <rFont val="Tahoma"/>
        <color rgb="FF000000"/>
        <sz val="10.0"/>
      </rPr>
      <t>จากเมนู "ปฏิทิน"</t>
    </r>
  </si>
  <si>
    <t>Scenario : User 2 คนทำรายการพร้อมกัน (กรณี Edit เอกสาร) (Menu เอกสาร)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</si>
  <si>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ทำการเชื่อมต่อ Google Calendar และไป add event ใน Google Calendar (เพื่อ make sure ว่าไม่ได้ดึง event มาแค่ตอนเชื่อมครั้งแรก)</t>
    </r>
  </si>
  <si>
    <r>
      <rPr>
        <rFont val="Tahoma"/>
        <color rgb="FF000000"/>
        <sz val="10.0"/>
      </rPr>
      <t>1. Event บน Google Calendar จะต้องถูก</t>
    </r>
    <r>
      <rPr>
        <rFont val="Tahoma"/>
        <color rgb="FF38761D"/>
        <sz val="10.0"/>
      </rPr>
      <t>นำมาแสดง</t>
    </r>
    <r>
      <rPr>
        <rFont val="Tahoma"/>
        <color rgb="FF000000"/>
        <sz val="10.0"/>
      </rPr>
      <t>ในเมนู "ปฏิทิน"</t>
    </r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</si>
  <si>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2 คนทำการแก้ไขเอกสารพร้อมกัน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</si>
  <si>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ทำการทำการปิด "แสดงนัดจาก Google"</t>
    </r>
  </si>
  <si>
    <t>1. Event ที่มาจาก Google Calendar จะต้องถูกซ่อนจากปฏิทิน ทั้งหมด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</si>
  <si>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View เอกสาร แต่ User 2 แก้ไขข้อมูล เอกสาร ไปก่อน</t>
    </r>
  </si>
  <si>
    <t>1. User 1 เข้ามาจะต้องเห็นเป็น version ที่อัปเดตแล้ว</t>
  </si>
  <si>
    <t>Scenario : Case validations : เมนู "ปฏิทิน" โดย User เปลี่ยนมุมมองการ View ข้อมูล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</si>
  <si>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Download เอกสาร แต่ User 2 แก้ไขข้อมูล เอกสาร ไปก่อน</t>
    </r>
  </si>
  <si>
    <t>1. PDF ที่ User 1 download ลงมาจะต้องแสดงข้อมูลเป็น Version ที่ Update แล้ว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</si>
  <si>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เลือกแสดงข้อมูลแบบ "เดือน"</t>
    </r>
  </si>
  <si>
    <t>1. ระบบจะแสดงข้อมูลในรูปแบบ "ปฏิทิน"</t>
  </si>
  <si>
    <t>Scenario : User 2 คนทำรายการพร้อมกัน (กรณี Delete เอกสาร) (Menu เอกสาร)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</si>
  <si>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เลือกแสดงข้อมูลแบบ "รายการ"</t>
    </r>
  </si>
  <si>
    <t>1. ระบบจะแสดงข้อมูลในรูปแบบ List รายการโดย sorting ด้วยวันที่ น้อยไปมาก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</si>
  <si>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View เอกสาร แต่ User 2 ลบ เอกสาร นั้นไปก่อน</t>
    </r>
  </si>
  <si>
    <t>1. ระบบต้องมีแจ้งเตือนให้ User 1 ทราบว่า เอกสาร ถูกลบไปแล้ว</t>
  </si>
  <si>
    <t>Scenario : Case validations : เมนู "ปฏิทิน" โดย User ทำ action ต่างๆ</t>
  </si>
  <si>
    <t>https://trello.com/c/vv6h46ps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</si>
  <si>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Edit เอกสาร แต่ User 2 ลบ เอกสาร นั้นไปก่อน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</si>
  <si>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กดไปที่ event ที่เกิดจาก app Creator Dee</t>
    </r>
  </si>
  <si>
    <t>1. ระบบนำไปยังข้อมูลของดีลนั้น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</si>
  <si>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Download เอกสาร แต่ User 2 ลบ เอกสาร นั้นไปก่อน</t>
    </r>
  </si>
  <si>
    <t>https://trello.com/c/0NJMwy16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</si>
  <si>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กดไปที่ event ที่มาจาก Google Calendar</t>
    </r>
  </si>
  <si>
    <t>1. ระบบเปิด Google Calendar ขึ้นมาพร้อม View Detail ของรายการนั้นให้</t>
  </si>
  <si>
    <t>Scenario : User 2 คนทำรายการพร้อมกัน (กรณี Edit Content) (Menu Content Mockup)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</si>
  <si>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ทำการเปลี่ยนเดือน</t>
    </r>
  </si>
  <si>
    <t>1. ต้องสามารถเปลี่ยนได้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</si>
  <si>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2 คนทำการแก้ไขคอนเทนต์พร้อมกัน</t>
    </r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</si>
  <si>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ทำการเปลี่ยนเดือน และกดปุ่ม วันนี้</t>
    </r>
  </si>
  <si>
    <t>1. ระบบดีดกลับไปที่เดือนปัจจุบัน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</si>
  <si>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View Content แต่ User 2 แก้ไขข้อมูล content ไปก่อน</t>
    </r>
  </si>
  <si>
    <r>
      <rPr>
        <rFont val="Tahoma"/>
        <b/>
        <color rgb="FF000000"/>
        <sz val="10.0"/>
      </rPr>
      <t xml:space="preserve">แก้ไขรูปที่ Content Mockup user 2 view ข้อมูลรูปไม่เปลี่ยน
</t>
    </r>
    <r>
      <rPr>
        <rFont val="Tahoma"/>
        <b/>
        <color rgb="FF1155CC"/>
        <sz val="12.0"/>
        <u/>
      </rPr>
      <t>https://trello.com/c/YfM3nMA3</t>
    </r>
  </si>
  <si>
    <t>Scenario : User 2 คนทำรายการพร้อมกัน (กรณี Delete Content) (Menu Content Mockup)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</si>
  <si>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View Content แต่ User 2 ลบ Content นั้นไปก่อน</t>
    </r>
  </si>
  <si>
    <t>1. ระบบต้องมีแจ้งเตือนให้ User 1 ทราบว่า Content ถูกลบไปแล้ว</t>
  </si>
  <si>
    <t>Calendar ทั้ง app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</si>
  <si>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1 กำลังจะ Edit Content แต่ User 2 ลบ Content นั้นไปก่อน</t>
    </r>
  </si>
  <si>
    <t>สถานะ</t>
  </si>
  <si>
    <t>แสดงใน ปฏิทิน</t>
  </si>
  <si>
    <t>Scenario : User 2 คนทำรายการพร้อมกัน (Feature ที่มีการใช้งาน Credit)</t>
  </si>
  <si>
    <t>วันที่นัดส่งสคริปต์ให้แบรนด์รีวิว</t>
  </si>
  <si>
    <t>ปกติ</t>
  </si>
  <si>
    <t>ส่งสคริปต์ - (ชื่อแบรนด์) (สีชมพู)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</si>
  <si>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>กรณี : User 2 คนใช้งาน feature ที่กิน credit พร้อมกัน และ credit เพียงพอต่อการใช้งาน</t>
    </r>
  </si>
  <si>
    <r>
      <rPr>
        <rFont val="Tahoma"/>
        <color rgb="FF000000"/>
        <sz val="10.0"/>
      </rPr>
      <t xml:space="preserve">1. ระบบต้องอนุญาตให้ใช้งาน feature นั้นๆ ได้สำหรับทั้ง 2 User 
2. Credit คงเหลือจะต้องแสดงถูกต้องสำหรับทั้ง 2 User
Ex. Feature ที่จะเล่นใช้ 1 credit
เจ้าของธุรกิจมี credit เหลือ 4
Step 1: User 1 เปิด modal
Step 2: User 2 เปิด modal
Step 3: User 1 ทำการกดร่างข้อความ -&gt; ระบบแสดงหน้าจอ Credit เหลือ 3
</t>
    </r>
    <r>
      <rPr>
        <rFont val="Tahoma"/>
        <color rgb="FF1155CC"/>
        <sz val="10.0"/>
      </rPr>
      <t>Step 4: User 2 ทำการกดร่างข้อความ -&gt; ระบบแสดงหน้าจอ Credit เหลือ 2</t>
    </r>
    <r>
      <rPr>
        <rFont val="Tahoma"/>
        <color rgb="FF000000"/>
        <sz val="10.0"/>
      </rPr>
      <t xml:space="preserve">
Step 5: User 1 กด ร่างใหม่อีกครั้ง -&gt; ระบบแสดงหน้าจอ Credit เหลือ 1
</t>
    </r>
    <r>
      <rPr>
        <rFont val="Tahoma"/>
        <b/>
        <color rgb="FF000000"/>
        <sz val="10.0"/>
      </rPr>
      <t xml:space="preserve">จุด Focus
</t>
    </r>
    <r>
      <rPr>
        <rFont val="Tahoma"/>
        <color rgb="FF1155CC"/>
        <sz val="10.0"/>
      </rPr>
      <t>Step 6: User 2 กด ร่างใหม่อีกครั้ง -&gt; ระบบแสดงหน้าจอ Credit เหลือ 0</t>
    </r>
  </si>
  <si>
    <t>ใกล้ถึง</t>
  </si>
  <si>
    <t>ส่งสคริปต์ - (ชื่อแบรนด์) (สีชมพู - จุดเหลือง)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</si>
  <si>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 xml:space="preserve">กรณี : User 1 ทำการค้างหน้าจออยู่ที่ modal "ช่วยร่างข้อความ" และเห็นว่ามียอด credit เหลืออยู่ แต่ถูก User 2 ใช้งาน credit จนหมดไปก่อน User 1 </t>
    </r>
    <r>
      <rPr>
        <rFont val="Tahoma"/>
        <b/>
        <color rgb="FFFF0000"/>
        <sz val="10.0"/>
      </rPr>
      <t>ต้องใช้งาน feature นั้นไม่ได้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Feature ช่วยร่างข้อความ</t>
    </r>
  </si>
  <si>
    <t>เลยกำหนด</t>
  </si>
  <si>
    <t>ส่งสคริปต์ - (ชื่อแบรนด์) (สีชมพู - จุดแดง)</t>
  </si>
  <si>
    <t>1. ระบบต้องแสดง popup message ว่า credit ไม่พอ
2. Refresh ยอดใหม่ให้ลูกค้าเห็น หลังกดปิดปุ่ม</t>
  </si>
  <si>
    <r>
      <rPr>
        <rFont val="Tahoma"/>
        <color rgb="FF000000"/>
        <sz val="10.0"/>
      </rPr>
      <t xml:space="preserve">User 2 คนทำรายการพร้อมกัน
</t>
    </r>
    <r>
      <rPr>
        <rFont val="Tahoma"/>
        <b/>
        <color rgb="FF1155CC"/>
        <sz val="10.0"/>
      </rPr>
      <t xml:space="preserve">กรณี : User 1 ทำการค้างหน้าจออยู่ที่ modal "ช่วยร่างข้อความ" และเห็นว่ามียอด credit เหลืออยู่ แต่ถูก User 2 ใช้งาน credit จนหมดไปก่อน User 1 </t>
    </r>
    <r>
      <rPr>
        <rFont val="Tahoma"/>
        <b/>
        <color rgb="FFFF0000"/>
        <sz val="10.0"/>
      </rPr>
      <t>ต้องใช้งาน feature นั้นไม่ได้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>- Feature สร้างคอนเทนต์</t>
    </r>
  </si>
  <si>
    <t xml:space="preserve">วันที่นัดส่งงาน </t>
  </si>
  <si>
    <t>1. ระบบต้องแสดง message ว่า credit ไม่พอ</t>
  </si>
  <si>
    <t>ส่งงาน - (ชื่อแบรนด์) (สีฟ้า)</t>
  </si>
  <si>
    <r>
      <rPr>
        <rFont val="Tahoma"/>
        <strike/>
        <color rgb="FF000000"/>
        <sz val="10.0"/>
      </rPr>
      <t xml:space="preserve">User 2 คนทำรายการพร้อมกัน
</t>
    </r>
    <r>
      <rPr>
        <rFont val="Tahoma"/>
        <b/>
        <strike/>
        <color rgb="FF1155CC"/>
        <sz val="10.0"/>
      </rPr>
      <t xml:space="preserve">กรณี : User 1 ทำการค้างหน้าจออยู่ที่ modal "ช่วยร่างข้อความ" และเห็นว่ามียอด credit </t>
    </r>
    <r>
      <rPr>
        <rFont val="Tahoma"/>
        <b/>
        <strike/>
        <color rgb="FFFF0000"/>
        <sz val="10.0"/>
      </rPr>
      <t>ไม่เพียงพอต่อการใช้งาน</t>
    </r>
    <r>
      <rPr>
        <rFont val="Tahoma"/>
        <b/>
        <strike/>
        <color rgb="FF1155CC"/>
        <sz val="10.0"/>
      </rPr>
      <t xml:space="preserve"> แต่ถูก เจ้าของธุรกิจทำการเติม credit , User 1 ต้องใช้งาน feature นั้นต่อได้
</t>
    </r>
    <r>
      <rPr>
        <rFont val="Tahoma"/>
        <strike/>
        <color rgb="FF000000"/>
        <sz val="10.0"/>
      </rPr>
      <t>- Feature ช่วยร่างข้อความ
Note: เดี๋ยวดักว่าถ้า credit ไม่พอให้ disable ปุ่ม feature นั้นๆ</t>
    </r>
  </si>
  <si>
    <t>ส่งงาน - (ชื่อแบรนด์) (สีฟ้า - จุดเหลือง)</t>
  </si>
  <si>
    <t>1. User 1 ต้องใช้งาน feature นั้นต่อได้</t>
  </si>
  <si>
    <t>ส่งงาน - (ชื่อแบรนด์) (สีฟ้า - จุดแดง)</t>
  </si>
  <si>
    <r>
      <rPr>
        <rFont val="Tahoma"/>
        <strike/>
        <color rgb="FF000000"/>
        <sz val="10.0"/>
      </rPr>
      <t xml:space="preserve">User 2 คนทำรายการพร้อมกัน
</t>
    </r>
    <r>
      <rPr>
        <rFont val="Tahoma"/>
        <b/>
        <strike/>
        <color rgb="FF1155CC"/>
        <sz val="10.0"/>
      </rPr>
      <t xml:space="preserve">กรณี : User 1 ทำการค้างหน้าจออยู่ที่ modal "ช่วยร่างข้อความ" และเห็นว่ามียอด credit </t>
    </r>
    <r>
      <rPr>
        <rFont val="Tahoma"/>
        <b/>
        <strike/>
        <color rgb="FFFF0000"/>
        <sz val="10.0"/>
      </rPr>
      <t>ไม่เพียงพอต่อการใช้งาน</t>
    </r>
    <r>
      <rPr>
        <rFont val="Tahoma"/>
        <b/>
        <strike/>
        <color rgb="FF1155CC"/>
        <sz val="10.0"/>
      </rPr>
      <t xml:space="preserve"> แต่ถูก เจ้าของธุรกิจทำการเติม credit User 1 ต้องใช้งาน feature นั้นต่อได้
</t>
    </r>
    <r>
      <rPr>
        <rFont val="Tahoma"/>
        <strike/>
        <color rgb="FF000000"/>
        <sz val="10.0"/>
      </rPr>
      <t>- Feature สร้างคอนเทนต์
Note: เดี๋ยวดักว่าถ้า credit ไม่พอให้ disable ปุ่ม feature นั้นๆ</t>
    </r>
  </si>
  <si>
    <t>วันลงงาน / เผยแพร่</t>
  </si>
  <si>
    <t>Scenario : สมาชิกโดนลบออกจากทีม ก่อนจะทำ action ใดๆ ภายใต้ธุรกิจนั้น</t>
  </si>
  <si>
    <t>กำหนดจ่ายเงิน</t>
  </si>
  <si>
    <r>
      <rPr>
        <rFont val="Tahoma"/>
        <color rgb="FF000000"/>
        <sz val="10.0"/>
      </rPr>
      <t xml:space="preserve">สมาชิกโดนลบออกจากทีม 
</t>
    </r>
    <r>
      <rPr>
        <rFont val="Tahoma"/>
        <b/>
        <color rgb="FF1155CC"/>
        <sz val="10.0"/>
      </rPr>
      <t>กรณี : User 2 (แอดมิน) กำลังจะ Add Deal แต่เจ้าของธุรกิจ (Owner) ลบ User 2 ออกจากทีมไปก่อน</t>
    </r>
  </si>
  <si>
    <t>รับเงิน - (ชื่อแบรนด์)(สีเหลือง)</t>
  </si>
  <si>
    <r>
      <rPr>
        <rFont val="Tahoma"/>
        <color rgb="FF000000"/>
        <sz val="10.0"/>
      </rPr>
      <t>1</t>
    </r>
    <r>
      <rPr>
        <rFont val="Tahoma"/>
        <color rgb="FF1155CC"/>
        <sz val="10.0"/>
        <u/>
      </rPr>
      <t>.</t>
    </r>
    <r>
      <rPr>
        <rFont val="Tahoma"/>
        <color rgb="FF000000"/>
        <sz val="10.0"/>
      </rPr>
      <t>ระบบแสดง popup error 
2. ระบบพาไปหน้า login เข้าด้วย เข้าด้วยบัญชี LINE ทันที่ที่คลิกเมนูสร้างดีล</t>
    </r>
  </si>
  <si>
    <t>รับเงิน - (ชื่อแบรนด์) (สีเหลือง - จุดเหลือง)</t>
  </si>
  <si>
    <t>รับเงิน - (ชื่อแบรนด์) (สีเหลือง - จุดแดง)</t>
  </si>
  <si>
    <t>หมวดที่ห้ามชน</t>
  </si>
  <si>
    <t>ผูกขาด</t>
  </si>
  <si>
    <t>(หมวดที่ห้ามชม) - (ชื่อแบรนด์) (แท่งสีเขียวลากตั้งแต่เริ่ม - สิ้นสุด)</t>
  </si>
  <si>
    <r>
      <rPr>
        <rFont val="Tahoma"/>
        <b/>
        <color rgb="FF000000"/>
        <sz val="10.0"/>
      </rPr>
      <t xml:space="preserve">ระบบไม่แสดง popup error ก่อนจะจะพาไปหน้า line
</t>
    </r>
    <r>
      <rPr>
        <rFont val="Tahoma"/>
        <b/>
        <color rgb="FF1155CC"/>
        <sz val="10.0"/>
        <u/>
      </rPr>
      <t>https://trello.com/c/bMzBj3TH</t>
    </r>
  </si>
  <si>
    <t>นัดส่งสคริปต์แก้รอบถัดไป (ไม่ใส่ก็ได้)</t>
  </si>
  <si>
    <r>
      <rPr>
        <rFont val="Tahoma"/>
        <color rgb="FF000000"/>
        <sz val="10.0"/>
      </rPr>
      <t xml:space="preserve">สมาชิกโดนลบออกจากทีม 
</t>
    </r>
    <r>
      <rPr>
        <rFont val="Tahoma"/>
        <b/>
        <color rgb="FF1155CC"/>
        <sz val="10.0"/>
      </rPr>
      <t xml:space="preserve">กรณี : User 2 กำลังจะ Edit Deal (แก้ไขข้อมูลดีลที่มีอยู่) แต่เจ้าของธุรกิจลบ User 2 ออกจากทีมไปก่อน
</t>
    </r>
  </si>
  <si>
    <r>
      <rPr>
        <rFont val="Tahoma"/>
        <color rgb="FF000000"/>
        <sz val="10.0"/>
      </rPr>
      <t>1</t>
    </r>
    <r>
      <rPr>
        <rFont val="Tahoma"/>
        <color rgb="FF1155CC"/>
        <sz val="10.0"/>
        <u/>
      </rPr>
      <t>.</t>
    </r>
    <r>
      <rPr>
        <rFont val="Tahoma"/>
        <color rgb="FF000000"/>
        <sz val="10.0"/>
      </rPr>
      <t>ร</t>
    </r>
    <r>
      <rPr>
        <rFont val="Tahoma"/>
        <color rgb="FF000000"/>
        <sz val="10.0"/>
      </rPr>
      <t>ะ</t>
    </r>
    <r>
      <rPr>
        <rFont val="Tahoma"/>
        <color rgb="FF000000"/>
        <sz val="10.0"/>
      </rPr>
      <t>บบแสดง popup error 
2. ระบบพาไปหน้า login เข้าด้วย เข้าด้วยบัญชี LINE ทันที่ที่คลิกเมนูสร้างดีล</t>
    </r>
  </si>
  <si>
    <t>กำหนดจ่ายงวดเงิน</t>
  </si>
  <si>
    <r>
      <rPr>
        <rFont val="Tahoma"/>
        <color rgb="FF000000"/>
        <sz val="10.0"/>
      </rPr>
      <t xml:space="preserve">สมาชิกโดนลบออกจากทีม 
</t>
    </r>
    <r>
      <rPr>
        <rFont val="Tahoma"/>
        <b/>
        <color rgb="FF1155CC"/>
        <sz val="10.0"/>
      </rPr>
      <t>กรณี : User 2 จะกด "ช่วยร่างข้อความ" แต่เจ้าของธุรกิจลบ User 2 ออกจากทีมไปก่อน</t>
    </r>
  </si>
  <si>
    <t>1.ระบบแสดง popup error 
2. ระบบพาไปหน้า login เข้าด้วย เข้าด้วยบัญชี LINE ทันที่ที่คลิกเมนู  Edit Deal  
3. เครดิต AI เจ้าของธุรกิจเหลือเท่าเดิมไม่ถูกนำมาใช้</t>
  </si>
  <si>
    <r>
      <rPr>
        <rFont val="Tahoma"/>
        <color rgb="FF000000"/>
        <sz val="10.0"/>
      </rPr>
      <t>สมาชิกโดนลบออกจากทีม</t>
    </r>
    <r>
      <rPr>
        <rFont val="Tahoma"/>
        <b/>
        <color rgb="FF1155CC"/>
        <sz val="10.0"/>
      </rPr>
      <t xml:space="preserve">
กรณี: User 2 กำลังจะบันทึก Content Mockup แต่เจ้าของธุรกิจลบ User 2 ออกจากทีมไปก่อน</t>
    </r>
  </si>
  <si>
    <r>
      <rPr>
        <rFont val="Tahoma"/>
        <color rgb="FF000000"/>
        <sz val="10.0"/>
      </rPr>
      <t>1</t>
    </r>
    <r>
      <rPr>
        <rFont val="Tahoma"/>
        <color rgb="FF1155CC"/>
        <sz val="10.0"/>
        <u/>
      </rPr>
      <t>.</t>
    </r>
    <r>
      <rPr>
        <rFont val="Tahoma"/>
        <color rgb="FF000000"/>
        <sz val="10.0"/>
      </rPr>
      <t>ร</t>
    </r>
    <r>
      <rPr>
        <rFont val="Tahoma"/>
        <color rgb="FF000000"/>
        <sz val="10.0"/>
      </rPr>
      <t>ะบบแสดง popup error 
2. ระบบพาไปหน้า login เข้าด้วย เข้าด้วยบัญชี LINE ทันที่ที่คลิกเมนูสร้างดีล</t>
    </r>
  </si>
  <si>
    <r>
      <rPr>
        <rFont val="Tahoma"/>
        <color rgb="FF000000"/>
        <sz val="10.0"/>
      </rPr>
      <t>สมาชิกโดนลบออกจากทีม</t>
    </r>
    <r>
      <rPr>
        <rFont val="Tahoma"/>
        <b/>
        <color rgb="FF1155CC"/>
        <sz val="10.0"/>
      </rPr>
      <t xml:space="preserve">
กรณี: User 2 กำลังจะ สร้างคอนเทนต์ (วางแผนคอนเทนต์) แต่เจ้าของธุรกิจลบ User 2 ออกจากทีมไปก่อน</t>
    </r>
  </si>
  <si>
    <r>
      <rPr>
        <rFont val="Tahoma"/>
        <color rgb="FF000000"/>
        <sz val="10.0"/>
      </rPr>
      <t>1</t>
    </r>
    <r>
      <rPr>
        <rFont val="Tahoma"/>
        <color rgb="FF1155CC"/>
        <sz val="10.0"/>
        <u/>
      </rPr>
      <t>.</t>
    </r>
    <r>
      <rPr>
        <rFont val="Tahoma"/>
        <color rgb="FF000000"/>
        <sz val="10.0"/>
      </rPr>
      <t>ร</t>
    </r>
    <r>
      <rPr>
        <rFont val="Tahoma"/>
        <color rgb="FF000000"/>
        <sz val="10.0"/>
      </rPr>
      <t>ะบบแสดง popup error 
2. ระบบพาไปหน้า login เข้าด้วย เข้าด้วยบัญชี LINE ทันที่ที่คลิกเมนูสร้างดีล</t>
    </r>
  </si>
  <si>
    <r>
      <rPr>
        <rFont val="Tahoma"/>
        <color rgb="FF000000"/>
        <sz val="10.0"/>
      </rPr>
      <t>สมาชิกโดนลบออกจากทีม</t>
    </r>
    <r>
      <rPr>
        <rFont val="Tahoma"/>
        <b/>
        <color rgb="FF1155CC"/>
        <sz val="10.0"/>
      </rPr>
      <t xml:space="preserve">
กรณี: User 2 กดสลับบัญชี "โปรไฟล์ธุรกิจ" ที่ถูกลบออกจากทีมแล้ว</t>
    </r>
  </si>
  <si>
    <r>
      <rPr>
        <rFont val="Tahoma"/>
        <color rgb="FF000000"/>
        <sz val="10.0"/>
      </rPr>
      <t>1</t>
    </r>
    <r>
      <rPr>
        <rFont val="Tahoma"/>
        <color rgb="FF1155CC"/>
        <sz val="10.0"/>
        <u/>
      </rPr>
      <t>.</t>
    </r>
    <r>
      <rPr>
        <rFont val="Tahoma"/>
        <color rgb="FF000000"/>
        <sz val="10.0"/>
      </rPr>
      <t>ระ</t>
    </r>
    <r>
      <rPr>
        <rFont val="Tahoma"/>
        <color rgb="FF000000"/>
        <sz val="10.0"/>
      </rPr>
      <t>บ</t>
    </r>
    <r>
      <rPr>
        <rFont val="Tahoma"/>
        <color rgb="FF000000"/>
        <sz val="10.0"/>
      </rPr>
      <t>บแสดง popup error 
2. ระบบ Refresh กลับไปหน้าหลักอัตของเจ้าของธุรกิจ Auto</t>
    </r>
  </si>
  <si>
    <t>https://trello.com/c/dXeELzgV</t>
  </si>
  <si>
    <t>Scenario : แจ้งเตือน LINE</t>
  </si>
  <si>
    <r>
      <rPr>
        <rFont val="Tahoma"/>
        <color rgb="FF000000"/>
        <sz val="10.0"/>
      </rPr>
      <t>แจ้งเตือน LINE</t>
    </r>
    <r>
      <rPr>
        <rFont val="Tahoma"/>
        <b/>
        <color rgb="FF1155CC"/>
        <sz val="10.0"/>
      </rPr>
      <t xml:space="preserve">
กรณี: ตั้งค่า "สรุปรวม (Digest)" ความถี่เป็น "ทุกวัน" เวลา 07:00 น. โดยมีเจ้าของธุรกิจเพียงแค่คนเดียวในทีม</t>
    </r>
  </si>
  <si>
    <t xml:space="preserve">1. ระบบต้องส่งข้อความสรุปแจ้งเตือนทาง LINE ทุกวัน เวลา 07:00 น. ตรงตามที่ตั้งค่าไว้ </t>
  </si>
  <si>
    <r>
      <rPr>
        <rFont val="Tahoma"/>
        <color rgb="FF000000"/>
        <sz val="10.0"/>
      </rPr>
      <t>แจ้งเตือน LINE</t>
    </r>
    <r>
      <rPr>
        <rFont val="Tahoma"/>
        <b/>
        <color rgb="FF1155CC"/>
        <sz val="10.0"/>
      </rPr>
      <t xml:space="preserve">
กรณี: ตั้งค่า "สรุปรวม (Digest)" ความถี่เป็น "ทุกสัปดาห์"</t>
    </r>
  </si>
  <si>
    <t>1. ระบบต้องส่งข้อความสรุปแจ้งเตือนทาง LINE ตามรอบสัปดาห์ที่กำหนด (ไม่ส่งทุกวัน)
2. เนื้อหาสรุปควรครอบคลุมรายการที่เกิดขึ้นตลอดสัปดาห์ที่ผ่านมา ไม่ใช่แค่วันเดียว</t>
  </si>
  <si>
    <r>
      <rPr>
        <rFont val="Tahoma"/>
        <color rgb="FF000000"/>
        <sz val="10.0"/>
      </rPr>
      <t>แจ้งเตือน LINE</t>
    </r>
    <r>
      <rPr>
        <rFont val="Tahoma"/>
        <b/>
        <color rgb="FF1155CC"/>
        <sz val="10.0"/>
      </rPr>
      <t xml:space="preserve">
กรณี: โปรไฟล์ธุรกิจมีแอดมิน 3 คน (รวมเจ้าของ) ทุกคนเชื่อมต่อ LINE OA แล้ว โดย ที่ตั้งค่าแจ้งเตือนไว้ (เช่น 10:00 น.)</t>
    </r>
  </si>
  <si>
    <t xml:space="preserve">1. แอดมินทั้ง 3 คนต้องได้รับข้อความแจ้งเตือนสรุป (Digest) ทาง LINE ตรงตามเวลาที่ Setting ไว้
2. เนื้อหาที่แต่ละคนได้รับต้องเป็นข้อมูลของโปรไฟล์ธุรกิจเดียวกัน ตรงกันทุกคน
</t>
  </si>
  <si>
    <r>
      <rPr>
        <rFont val="Tahoma"/>
        <color rgb="FF000000"/>
        <sz val="10.0"/>
      </rPr>
      <t>แจ้งเตือน LINE</t>
    </r>
    <r>
      <rPr>
        <rFont val="Tahoma"/>
        <b/>
        <color rgb="FF1155CC"/>
        <sz val="10.0"/>
      </rPr>
      <t xml:space="preserve">
กรณี: โปรไฟล์ธุรกิจมีแอดมิน 3 คน </t>
    </r>
    <r>
      <rPr>
        <rFont val="Tahoma"/>
        <b/>
        <color rgb="FFFF0000"/>
        <sz val="10.0"/>
      </rPr>
      <t xml:space="preserve">โดย 1 คนยังไม่ได้เชื่อมต่อ LINE OA (ยังไม่กด "แอดเพื่อน") </t>
    </r>
    <r>
      <rPr>
        <rFont val="Tahoma"/>
        <b/>
        <color rgb="FF1155CC"/>
        <sz val="10.0"/>
      </rPr>
      <t>เมื่อถึงเวลาแจ้งเตือนแล้ว</t>
    </r>
  </si>
  <si>
    <t>1. แอดมิน 2 คนที่เชื่อมต่อ LINE แล้วต้องได้รับแจ้งเตือนตามปกติ
2. แอดมินที่ยังไม่เชื่อมต่อ LINE ต้องไม่ได้รับข้อความ (เพราะยังไม่ผูกบัญชี) และควรเห็นสถานะ "ยังไม่เชื่อมต่อ" ในหน้าตั้งค่า</t>
  </si>
  <si>
    <r>
      <rPr>
        <rFont val="Tahoma"/>
        <color rgb="FF000000"/>
        <sz val="10.0"/>
      </rPr>
      <t>แจ้งเตือน LINE</t>
    </r>
    <r>
      <rPr>
        <rFont val="Tahoma"/>
        <b/>
        <color rgb="FF1155CC"/>
        <sz val="10.0"/>
      </rPr>
      <t xml:space="preserve">
กรณี: โปรไฟล์ธุรกิจมีแอดมิน 3 คน เจ้าของธุรกิจทำการ </t>
    </r>
    <r>
      <rPr>
        <rFont val="Tahoma"/>
        <b/>
        <color rgb="FFFF0000"/>
        <sz val="10.0"/>
      </rPr>
      <t>ลบแอดมิน 1 คน ออกจากทีม</t>
    </r>
    <r>
      <rPr>
        <rFont val="Tahoma"/>
        <b/>
        <color rgb="FF1155CC"/>
        <sz val="10.0"/>
      </rPr>
      <t xml:space="preserve"> ก่อนถึงเวลาแจ้งเตือนที่ตั้งไว้</t>
    </r>
  </si>
  <si>
    <t>1. แอดมินที่เหลืออีก 2 คน (รวมเจ้าของ) ต้องได้รับข้อความแจ้งเตือนตามเวลาที่ Setting ไว้ตามปกติ
2. แอดมินที่ถูกลบออกจากทีมต้องไม่ได้รับข้อความแจ้งเตือนใดๆ ของโปรไฟล์ธุรกิจนี้อีก แม้จะยังเป็นเพื่อนกับ LINE OA อยู่ก็ตาม</t>
  </si>
  <si>
    <r>
      <rPr>
        <rFont val="Tahoma"/>
        <color rgb="FF000000"/>
        <sz val="10.0"/>
      </rPr>
      <t>แจ้งเตือน LINE</t>
    </r>
    <r>
      <rPr>
        <rFont val="Tahoma"/>
        <b/>
        <color rgb="FF1155CC"/>
        <sz val="10.0"/>
      </rPr>
      <t xml:space="preserve">
กรณี: </t>
    </r>
    <r>
      <rPr>
        <rFont val="Tahoma"/>
        <b/>
        <color rgb="FFFF0000"/>
        <sz val="10.0"/>
      </rPr>
      <t xml:space="preserve">เจ้าของธุรกิจลบแอดมิน 1 คนออกจากทีม </t>
    </r>
    <r>
      <rPr>
        <rFont val="Tahoma"/>
        <b/>
        <color rgb="FF1155CC"/>
        <sz val="10.0"/>
      </rPr>
      <t>ระหว่างวันเดียวกันที่เพิ่งได้รับแจ้งเตือนไปแล้ว (ก่อนรอบแจ้งเตือนถัดไป)</t>
    </r>
  </si>
  <si>
    <t>1. ระบบต้องส่งข้อความสรุปแจ้งเตือนทาง LINE ทุกวัน เวลา 08:00 น. ตรงตามที่ตั้งค่าไว้ ให้ครบทุก Admin ที่มีสิทธิ์</t>
  </si>
  <si>
    <r>
      <rPr>
        <rFont val="Tahoma"/>
        <color rgb="FF000000"/>
        <sz val="10.0"/>
      </rPr>
      <t>แจ้งเตือน LINE</t>
    </r>
    <r>
      <rPr>
        <rFont val="Tahoma"/>
        <b/>
        <color rgb="FF1155CC"/>
        <sz val="10.0"/>
      </rPr>
      <t xml:space="preserve">
กรณี: </t>
    </r>
    <r>
      <rPr>
        <rFont val="Tahoma"/>
        <b/>
        <color rgb="FFFF0000"/>
        <sz val="10.0"/>
      </rPr>
      <t>แอดมิน User 2 ปิด Toggle "เปิดการแจ้งเตือนทาง LINE" ของตัวเอง (แต่ยังอยู่ในทีม)</t>
    </r>
  </si>
  <si>
    <t>1. แอดมินคนนั้นต้องไม่ได้รับข้อความแจ้งเตือนใดๆ
2. แอดมินคนอื่นในทีมต้องได้รับแจ้งเตือนตามปกติ ไม่ถูกกระทบ</t>
  </si>
  <si>
    <t>Scenario : เจ้าของธุรกิจทำการลบธุรกิจ</t>
  </si>
  <si>
    <r>
      <rPr>
        <rFont val="Tahoma"/>
        <color rgb="FF000000"/>
        <sz val="10.0"/>
      </rPr>
      <t>เจ้าของธุรกิจทำการลบธุรกิจ</t>
    </r>
    <r>
      <rPr>
        <rFont val="Tahoma"/>
        <b/>
        <color rgb="FF1155CC"/>
        <sz val="10.0"/>
      </rPr>
      <t xml:space="preserve">
กรณี: มีสมาชิกอยู่ภายในธุรกิจนั้น แต่เจ้าของทำการลบธุรกิจ</t>
    </r>
  </si>
  <si>
    <t>1. สมาชิกที่เคยอยู่ภายใต้ธุรกิจนั้นจะต้องไม่เห็นโปรไฟล์ธุรกิจนั้นอีก</t>
  </si>
  <si>
    <t>ต้องเพิ่ม</t>
  </si>
  <si>
    <t>เข้าหลัง Link Expire</t>
  </si>
  <si>
    <t>User ตอบรับ ธุรกิจที่เคย join ไปแล้ว</t>
  </si>
  <si>
    <t>ทำการเพิกถอนคำเชิญ ก่อนแปะเว็ป</t>
  </si>
  <si>
    <t>สมาชิกควรจะ Check credit ของเจ้าของธุรกิจได้</t>
  </si>
  <si>
    <t>validate การใช้ credit (กิน credit เจ้าของ)</t>
  </si>
  <si>
    <t>สมาชิก เติม credit ให้เจ้าของไม่ได้</t>
  </si>
  <si>
    <t>ใช้งานพร้อมกัน 2-3 คน</t>
  </si>
  <si>
    <t>แก้ไข status พร้อมกัน</t>
  </si>
  <si>
    <t>โดนลบตอนกำลังจะแก้</t>
  </si>
  <si>
    <t>สมาชิกโดนลบออกจากทีม ก่อนจะทำ action ใดๆ ภายใต้ธุรกิจนั้น</t>
  </si>
  <si>
    <t>Add Deal</t>
  </si>
  <si>
    <t>Edit Deal</t>
  </si>
  <si>
    <t>Update Status</t>
  </si>
  <si>
    <t>ออกเอกสาร</t>
  </si>
  <si>
    <t>Content Mock Up</t>
  </si>
  <si>
    <t>สร้างคอนเทนต์</t>
  </si>
  <si>
    <t>กด ออกจากทีม</t>
  </si>
  <si>
    <t>ใช้งาน credit คนนึงใช้หมดแล้ว อีกคนยังเห็นหน้าจอว่ามี credit เหลือ</t>
  </si>
  <si>
    <t>Scenario : Case validations : เมนู "Content Mockup"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</si>
  <si>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ยัง</t>
    </r>
    <r>
      <rPr>
        <rFont val="Tahoma"/>
        <b/>
        <color rgb="FFFF0000"/>
        <sz val="10.0"/>
      </rPr>
      <t>ไม่เคย</t>
    </r>
    <r>
      <rPr>
        <rFont val="Tahoma"/>
        <b/>
        <color rgb="FF1155CC"/>
        <sz val="10.0"/>
      </rPr>
      <t>มีการสร้าง Content</t>
    </r>
  </si>
  <si>
    <t>1. แสดง Label "ยังไม่มีคอนเทนต์"
2. แสดงปุ่ม "สร้างคอนเทนต์แรก" กลางจอ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</si>
  <si>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มีการสร้างไว้ 1 content และมีสถานะ = ไอเดีย</t>
    </r>
  </si>
  <si>
    <t>1. แต่ละ tab แสดงตามนี้
- Tab "ทั้งหมด" -&gt; แสดงรายการ
- Tab "ไอเดีย" -&gt; แสดงรายการ
- Tab "ร่าง" -&gt; แสดง "ไม่มีคอนเทนต์ในสถานะนี้"
- Tab "กำหนดลง" -&gt; แสดง "ไม่มีคอนเทนต์ในสถานะนี้"
- Tab "ลงแล้ว" -&gt; แสดง "ไม่มีคอนเทนต์ในสถานะนี้"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</si>
  <si>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มีการสร้างไว้ 1 content และมีสถานะ = ร่าง</t>
    </r>
  </si>
  <si>
    <t>1. แต่ละ tab แสดงตามนี้
- Tab "ทั้งหมด" -&gt; แสดงรายการ
- Tab "ไอเดีย" -&gt; แสดง "ไม่มีคอนเทนต์ในสถานะนี้"
- Tab "ร่าง" -&gt; แสดงรายการ
- Tab "กำหนดลง" -&gt; แสดง "ไม่มีคอนเทนต์ในสถานะนี้"
- Tab "ลงแล้ว" -&gt; แสดง "ไม่มีคอนเทนต์ในสถานะนี้"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</si>
  <si>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มีการสร้างไว้ 1 content และมีสถานะ = กำหนดลง</t>
    </r>
  </si>
  <si>
    <t>1. แต่ละ tab แสดงตามนี้
- Tab "ทั้งหมด" -&gt; แสดงรายการ
- Tab "ไอเดีย" -&gt; แสดง "ไม่มีคอนเทนต์ในสถานะนี้"
- Tab "ร่าง" -&gt; แสดง "ไม่มีคอนเทนต์ในสถานะนี้"
- Tab "กำหนดลง" -&gt; แสดงรายการ
- Tab "ลงแล้ว" -&gt; แสดง "ไม่มีคอนเทนต์ในสถานะนี้"</t>
  </si>
  <si>
    <r>
      <rPr>
        <rFont val="Tahoma"/>
        <color rgb="FF000000"/>
        <sz val="10.0"/>
      </rPr>
      <t xml:space="preserve">ตรวจสอบเมนู : ปฏิทิน
</t>
    </r>
    <r>
      <rPr>
        <rFont val="Tahoma"/>
        <b/>
        <color rgb="FF1155CC"/>
        <sz val="10.0"/>
      </rPr>
      <t>กรณี : User มีการสร้างไว้ 1 content และมีสถานะ = ลงแล้ว</t>
    </r>
  </si>
  <si>
    <t>1. แต่ละ tab แสดงตามนี้
- Tab "ทั้งหมด" -&gt; แสดงรายการ
- Tab "ไอเดีย" -&gt; แสดง "ไม่มีคอนเทนต์ในสถานะนี้"
- Tab "ร่าง" -&gt; แสดง "ไม่มีคอนเทนต์ในสถานะนี้"
- Tab "กำหนดลง" -&gt; แสดง "ไม่มีคอนเทนต์ในสถานะนี้"
- Tab "ลงแล้ว" -&gt; แสดงรายการ</t>
  </si>
  <si>
    <t>Scenario : User ทำการสร้างคอนเทนต์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</si>
  <si>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ทำการสร้าง Content โดยกรอกเพียง Mandatory field
</t>
    </r>
    <r>
      <rPr>
        <rFont val="Tahoma"/>
        <color rgb="FF000000"/>
        <sz val="10.0"/>
      </rPr>
      <t>- Mandatory field only​ : ชื่อคอนเทนต์
- ชนิดคอนเทนต์ : วิดีโอ (ถูกเลือกโดย default)
- Platform : Instagram (ถูกเลือกโดย default)
- สถานะ : ไอเดีย (ถูกเลือกโดย default)</t>
    </r>
  </si>
  <si>
    <t>1. สามารถสร้างรายการได้
2. รายการไปอยู่ที่ tab : ทั้งหมด , ไอเดีย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</si>
  <si>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ทำการสร้าง Content โดยกรอก Mandatory field </t>
    </r>
    <r>
      <rPr>
        <rFont val="Tahoma"/>
        <b/>
        <color rgb="FFFF0000"/>
        <sz val="10.0"/>
      </rPr>
      <t>ไม่ครบ</t>
    </r>
  </si>
  <si>
    <t>1. กด "เพิ่มคอนเทนต์" แล้วขึ้นกรอบแดงที่ field mandatory นั้น พร้อม inline error ด้านล่าง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</si>
  <si>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โดยกรอกข้อมูลครบทุก field</t>
    </r>
  </si>
  <si>
    <t>1. สามารถสร้างรายการได้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</si>
  <si>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 ชนิดคอนเทนต์ = วิดีโอ + upload video + platform = Instagram</t>
    </r>
  </si>
  <si>
    <t>1. ระบบแสดง ตัวอย่างโพสต์ ได้ถูกต้องตาม video ที่ upload ไปในรูปแบบของ Instagram
2. สามารถสร้างรายการได้
3. หน้าปกของ content แสดงตามที่ upload ไป
4. แสดง platform ตามที่เราเลือกมา -&gt; Instagram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</si>
  <si>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 ชนิดคอนเทนต์ = วิดีโอ + upload image + platform = Tiktok , Youtube</t>
    </r>
  </si>
  <si>
    <t>1. ระบบแสดง ตัวอย่างโพสต์ ได้ถูกต้องตาม image ที่ upload ไปในรูปแบบของ Tiktok
2. สามารถเปลี่ยนไปดูตัวอย่างโพสต์สำหรับ Youtube ได้
3. สามารถสร้างรายการได้
4. หน้าปกของ content แสดงตามที่ upload ไป
5. แสดง platform ตามที่เราเลือกมา -&gt; Tiktok , Youtube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</si>
  <si>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 ชนิดคอนเทนต์ = โพสต์ + upload video +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>platform = Facebook , X</t>
    </r>
  </si>
  <si>
    <t>1. ระบบแสดง ตัวอย่างโพสต์ ได้ถูกต้องตาม video ที่ upload ไปในรูปแบบของ Facebook
2. สามารถเปลี่ยนไปดูตัวอย่างโพสต์สำหรับ X ได้
3. สามารถสร้างรายการได้
4. หน้าปกของ content แสดงตามที่ upload ไป
5. แสดง platform ตามที่เราเลือกมา -&gt; Facebook , X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</si>
  <si>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 ชนิดคอนเทนต์ = โพสต์ + upload image</t>
    </r>
    <r>
      <rPr>
        <rFont val="Tahoma"/>
        <color rgb="FF000000"/>
        <sz val="10.0"/>
      </rPr>
      <t xml:space="preserve"> </t>
    </r>
    <r>
      <rPr>
        <rFont val="Tahoma"/>
        <b/>
        <color rgb="FF1155CC"/>
        <sz val="10.0"/>
      </rPr>
      <t>+ platform = LinkedIn</t>
    </r>
  </si>
  <si>
    <t>1. ระบบแสดง ตัวอย่างโพสต์ ได้ถูกต้องตาม image ที่ upload ไปในรูปแบบของ LinkedIn
2. สามารถสร้างรายการได้
3. หน้าปกของ content แสดงตามที่ upload ไป
4. แสดง platform ตามที่เราเลือกมา -&gt; LinkedIn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</si>
  <si>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 ชนิดคอนเทนต์ = บทความ + upload video + platform = ไลฟ์</t>
    </r>
  </si>
  <si>
    <t>1. ระบบแสดง ตัวอย่างโพสต์ ได้ถูกต้องตาม video ที่ upload ไปในรูปแบบของ ไลฟ์
2. สามารถสร้างรายการได้
3. หน้าปกของ content แสดงตามที่ upload ไป
4. แสดง platform ตามที่เราเลือกมา -&gt; ไลฟ์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</si>
  <si>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 ชนิดคอนเทนต์ = บทความ + upload image + platform = Instagram , Tiktok , Youtube , Facebook , X , LinkedIn , ไลฟ์</t>
    </r>
  </si>
  <si>
    <t>1. ระบบแสดง ตัวอย่างโพสต์ ได้ถูกต้องตาม image ที่ upload ไปในรูปแบบของ Instagram
2. สามารถเปลี่ยนไปดูตัวอย่างโพสต์สำหรับ Tiktok , Youtube , Facebook , X , LinkedIn , ไลฟ์ ได้
3. สามารถสร้างรายการได้
4. หน้าปกของ content แสดงตามที่ upload ไป
5. แสดง platform ตามที่เราเลือกมา -&gt; Instagram , Tiktok , Youtube , Facebook , X , LinkedIn , ไลฟ์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</si>
  <si>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โดยเลือกสถานะ = ไอเดีย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</si>
  <si>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โดยเลือกสถานะ = ร่าง</t>
    </r>
  </si>
  <si>
    <t>1. สามารถสร้างรายการได้
2. รายการไปอยู่ที่ tab : ทั้งหมด , ร่าง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</si>
  <si>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โดยเลือกสถานะ = กำหนดลง</t>
    </r>
  </si>
  <si>
    <t>1. สามารถสร้างรายการได้
2. รายการไปอยู่ที่ tab : ทั้งหมด , กำหนดลง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</si>
  <si>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โดยเลือกสถานะ = ลงแล้ว</t>
    </r>
  </si>
  <si>
    <t>1. สามารถสร้างรายการได้
2. รายการไปอยู่ที่ tab : ทั้งหมด , ลงแล้ว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</si>
  <si>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</t>
    </r>
    <r>
      <rPr>
        <rFont val="Tahoma"/>
        <b/>
        <color rgb="FF38761D"/>
        <sz val="10.0"/>
      </rPr>
      <t>มี</t>
    </r>
    <r>
      <rPr>
        <rFont val="Tahoma"/>
        <b/>
        <color rgb="FF1155CC"/>
        <sz val="10.0"/>
      </rPr>
      <t>การผูกกับดีล</t>
    </r>
  </si>
  <si>
    <r>
      <rPr>
        <rFont val="Tahoma"/>
        <color rgb="FF000000"/>
        <sz val="10.0"/>
      </rPr>
      <t>1. สามารถสร้างรายการได้
2. มีชื่อดีลอยู่ภายใต้ "ชื่อคอนเทนต์"
3. คอนเทนต์จะ</t>
    </r>
    <r>
      <rPr>
        <rFont val="Tahoma"/>
        <color rgb="FF38761D"/>
        <sz val="10.0"/>
      </rPr>
      <t>ไปโผล่</t>
    </r>
    <r>
      <rPr>
        <rFont val="Tahoma"/>
        <color rgb="FF000000"/>
        <sz val="10.0"/>
      </rPr>
      <t>อยู่ภายใต้ tab "งาน / สคริปต์" ของดีลนั้น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</si>
  <si>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ทำการสร้าง Content โดย</t>
    </r>
    <r>
      <rPr>
        <rFont val="Tahoma"/>
        <b/>
        <color rgb="FFFF0000"/>
        <sz val="10.0"/>
      </rPr>
      <t>ไม่มี</t>
    </r>
    <r>
      <rPr>
        <rFont val="Tahoma"/>
        <b/>
        <color rgb="FF1155CC"/>
        <sz val="10.0"/>
      </rPr>
      <t>การผูกกับดีล</t>
    </r>
  </si>
  <si>
    <r>
      <rPr>
        <rFont val="Tahoma"/>
        <color rgb="FF000000"/>
        <sz val="10.0"/>
      </rPr>
      <t>1. สามารถสร้างรายการได้
2. คอนเทนต์จะ</t>
    </r>
    <r>
      <rPr>
        <rFont val="Tahoma"/>
        <color rgb="FFFF0000"/>
        <sz val="10.0"/>
      </rPr>
      <t>ไม่ไปโผล่</t>
    </r>
    <r>
      <rPr>
        <rFont val="Tahoma"/>
        <color rgb="FF000000"/>
        <sz val="10.0"/>
      </rPr>
      <t>อยู่ภายใต้ tab "งาน / สคริปต์" ของดีลไหนๆ</t>
    </r>
  </si>
  <si>
    <t>Scenario : User ทำการแก้ไข Content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</si>
  <si>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ทำการแก้ไข Content โดยที่ Mandatory field ยังอยู่ครบ</t>
    </r>
  </si>
  <si>
    <t>1. สามารถบันทึกการแก้ไขได้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</si>
  <si>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ทำการแก้ไข Content โดยที่กรอก Mandatory field </t>
    </r>
    <r>
      <rPr>
        <rFont val="Tahoma"/>
        <b/>
        <color rgb="FFFF0000"/>
        <sz val="10.0"/>
      </rPr>
      <t>ไม่ครบ</t>
    </r>
  </si>
  <si>
    <t>1. ไม่สามารถบันทึกการแก้ไขได้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</si>
  <si>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ทำการแก้ไขชนิดคอนเทนต์</t>
    </r>
  </si>
  <si>
    <t>1. สามารถบันทึกการแก้ไขได้
2. ชนิดคอนเทนต์เปลี่ยนตามที่แก้ไขถูกต้อง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</si>
  <si>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ทำการแก้ไขจาก Content </t>
    </r>
    <r>
      <rPr>
        <rFont val="Tahoma"/>
        <b/>
        <color rgb="FFFF0000"/>
        <sz val="10.0"/>
      </rPr>
      <t>ที่ไม่มีการ</t>
    </r>
    <r>
      <rPr>
        <rFont val="Tahoma"/>
        <b/>
        <color rgb="FF1155CC"/>
        <sz val="10.0"/>
      </rPr>
      <t xml:space="preserve"> upload รูป/วิดีโอ ไว้ และทำการ upload รูปเพิ่ม</t>
    </r>
  </si>
  <si>
    <t>1. หลังบันทึกเสร็จ รูปที่ upload จะต้องถูกนำมาแสดงเป็นภาพหน้าปกของ content นั้น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</si>
  <si>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ทำการแก้ไขจาก Content </t>
    </r>
    <r>
      <rPr>
        <rFont val="Tahoma"/>
        <b/>
        <color rgb="FF38761D"/>
        <sz val="10.0"/>
      </rPr>
      <t>ที่มีการ</t>
    </r>
    <r>
      <rPr>
        <rFont val="Tahoma"/>
        <b/>
        <color rgb="FF1155CC"/>
        <sz val="10.0"/>
      </rPr>
      <t xml:space="preserve"> upload รูป/วิดีโอ ไว้ และทำการเปลี่ยนรูปภาพ</t>
    </r>
  </si>
  <si>
    <t>1. รูปหน้าปกจะต้องแสดงเป็นรูปที่ upload มาใหม่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</si>
  <si>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ทำการแก้ไขจาก Content </t>
    </r>
    <r>
      <rPr>
        <rFont val="Tahoma"/>
        <b/>
        <color rgb="FF38761D"/>
        <sz val="10.0"/>
      </rPr>
      <t>ที่มีการ</t>
    </r>
    <r>
      <rPr>
        <rFont val="Tahoma"/>
        <b/>
        <color rgb="FF1155CC"/>
        <sz val="10.0"/>
      </rPr>
      <t xml:space="preserve"> upload รูป/วิดีโอ ไว้ และทำการ</t>
    </r>
    <r>
      <rPr>
        <rFont val="Tahoma"/>
        <b/>
        <color rgb="FFFF0000"/>
        <sz val="10.0"/>
      </rPr>
      <t>ลบ</t>
    </r>
    <r>
      <rPr>
        <rFont val="Tahoma"/>
        <b/>
        <color rgb="FF1155CC"/>
        <sz val="10.0"/>
      </rPr>
      <t>รูปภาพ</t>
    </r>
  </si>
  <si>
    <t>1. รูปหน้าปกจะต้องหายไป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</si>
  <si>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ทำการแก้ไข platform ของ content</t>
    </r>
  </si>
  <si>
    <t>1. สามารถบันทึกการแก้ไขได้
2. LOGO ของ platform เปลี่ยนตามที่แก้ไขถูกต้อง</t>
  </si>
  <si>
    <t>Income Summary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</si>
  <si>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ทำการเปลี่ยนสถานะของ content</t>
    </r>
  </si>
  <si>
    <t>1. สามารถบันทึกการแก้ไขได้
2. สถานะของตอนเทนต์เปลี่ยนตามที่แก้ไขถูกต้อง
3. ย้าย content ไปอยู่ตาม tab ของแต่ละสถานะถูกต้อง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</si>
  <si>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ทำการถอด Deal จาก Content ออก</t>
    </r>
  </si>
  <si>
    <t>1. สามารถบันทึกการแก้ไขได้
2. Content กับ Deal ที่เคยผูกก่อนหน้าต้องไม่เกียวข้องกันแล้ว (Check หน้า Content Mockup + รายละเอียด Deal)</t>
  </si>
  <si>
    <t>Scenario : User ทำการลบ Content</t>
  </si>
  <si>
    <r>
      <rPr>
        <rFont val="Tahoma"/>
        <color rgb="FF000000"/>
        <sz val="10.0"/>
      </rPr>
      <t xml:space="preserve">ตรวจสอบเมนู : สรุปการเงิน 
</t>
    </r>
    <r>
      <rPr>
        <rFont val="Tahoma"/>
        <b/>
        <color rgb="FF1155CC"/>
        <sz val="10.0"/>
      </rPr>
      <t xml:space="preserve">กรณี : บัญชีที่ยังไม่มีข้อมูลดีลเลย
</t>
    </r>
    <r>
      <rPr>
        <rFont val="Tahoma"/>
        <color rgb="FF000000"/>
        <sz val="10.0"/>
      </rPr>
      <t>ระบบแสดงตัวเลข 0 + ชวนสร้างดีล</t>
    </r>
    <r>
      <rPr>
        <rFont val="Tahoma"/>
        <b/>
        <color rgb="FF1155CC"/>
        <sz val="10.0"/>
      </rPr>
      <t xml:space="preserve">
</t>
    </r>
    <r>
      <rPr>
        <rFont val="Tahoma"/>
        <color rgb="FF000000"/>
        <sz val="10.0"/>
      </rPr>
      <t xml:space="preserve">
เงื่อนไข
-กดเมนู : สรุปการเงิน (ยังไม่มีดีล)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</si>
  <si>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>กรณี : User ลบ Content</t>
    </r>
  </si>
  <si>
    <r>
      <rPr>
        <rFont val="Tahoma"/>
        <color rgb="FF000000"/>
        <sz val="10.0"/>
      </rPr>
      <t xml:space="preserve">ตรวจสอบเมนู : สรุปการเงิน 
</t>
    </r>
    <r>
      <rPr>
        <rFont val="Tahoma"/>
        <b/>
        <color rgb="FF1155CC"/>
        <sz val="10.0"/>
      </rPr>
      <t xml:space="preserve">กรณี : บัญชีที่มีข้อมูล 1 ดีล
</t>
    </r>
    <r>
      <rPr>
        <rFont val="Tahoma"/>
        <color rgb="FF000000"/>
        <sz val="10.0"/>
      </rPr>
      <t>ระบบแสดงหน้าจอถูกต้อง
- เงินเข้าจริง ตำนวณถูกต้อง
- ค่าจ้างเต็ม คำนวณถูกต้อง
- เงินค้างรับรวม คำนวณถูกต้อง
- หัก ณ ที่จ่ายสะสม คำนวณถูกต้อง
เงื่อนไข
-กดเมนู : สรุปการเงิน</t>
    </r>
  </si>
  <si>
    <t>1. Content ต้องถูกลบ
2. หากเคยผูกกับ Deal ที่ tab "งาน / สคริปต์" ของดีลนั้น ตัว content จะต้องหายไป</t>
  </si>
  <si>
    <t>Scenario : User ทำการ โหลดรูป / บันทึก PDF (หน้าสร้าง)</t>
  </si>
  <si>
    <r>
      <rPr>
        <rFont val="Tahoma"/>
        <color rgb="FF000000"/>
        <sz val="10.0"/>
      </rPr>
      <t xml:space="preserve">ตรวจสอบเมนู : สรุปการเงิน 
</t>
    </r>
    <r>
      <rPr>
        <rFont val="Tahoma"/>
        <b/>
        <color rgb="FF1155CC"/>
        <sz val="10.0"/>
      </rPr>
      <t xml:space="preserve">กรณี : บัญชีที่มีข้อมูล 1 ดีลอยู่ปี 2568 แต่ช่วงเวลาที่เลือกเป็น ปี 2569
</t>
    </r>
    <r>
      <rPr>
        <rFont val="Tahoma"/>
        <color rgb="FF000000"/>
        <sz val="10.0"/>
      </rPr>
      <t>ระบบแสดงตัวเลข 0 + ชวนสร้างดีล
เงื่อนไข
-กดเมนู : สรุปการเงิน</t>
    </r>
  </si>
  <si>
    <r>
      <rPr>
        <rFont val="Tahoma"/>
        <color rgb="FF000000"/>
        <sz val="10.0"/>
      </rPr>
      <t xml:space="preserve">ตรวจสอบเมนู : สรุปการเงิน 
</t>
    </r>
    <r>
      <rPr>
        <rFont val="Tahoma"/>
        <b/>
        <color rgb="FF1155CC"/>
        <sz val="10.0"/>
      </rPr>
      <t xml:space="preserve">กรณี : บัญชีที่มีข้อมูล 1 ดีลอยู่ มกราคม 2569 แต่ช่วงเวลาที่เลือกเป็น มิถุนายน 2569
</t>
    </r>
    <r>
      <rPr>
        <rFont val="Tahoma"/>
        <color rgb="FF000000"/>
        <sz val="10.0"/>
      </rPr>
      <t>ระบบแสดงตัวเลข 0 + ชวนสร้างดีล
เงื่อนไข
-กดเมนู : สรุปการเงิน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</si>
  <si>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ทำการโหลดรูปภาพโดยมีการเลือก 1 แพลตฟอร์ม
</t>
    </r>
    <r>
      <rPr>
        <rFont val="Tahoma"/>
        <color rgb="FF000000"/>
        <sz val="10.0"/>
      </rPr>
      <t>- Download Picture
- Single platform</t>
    </r>
  </si>
  <si>
    <t>1. สามารถโหลดได้
2. แสดงเพียง แพลตฟอร์ม ที่เลือก</t>
  </si>
  <si>
    <r>
      <rPr>
        <rFont val="Tahoma"/>
        <color rgb="FF000000"/>
        <sz val="10.0"/>
      </rPr>
      <t xml:space="preserve">ตรวจสอบเมนู : สรุปการเงิน 
</t>
    </r>
    <r>
      <rPr>
        <rFont val="Tahoma"/>
        <b/>
        <color rgb="FF1155CC"/>
        <sz val="10.0"/>
      </rPr>
      <t xml:space="preserve">กรณี : บัญชีที่มีข้อมูล 3 ดีลอยู่ แต่อยู่คนละปีกัน
    - 2567 1 ดีล
    - 2568 1 ดีล
    - 2569 1 ดีล
</t>
    </r>
    <r>
      <rPr>
        <rFont val="Tahoma"/>
        <color rgb="FF000000"/>
        <sz val="10.0"/>
      </rPr>
      <t>ระบบต้องทำการกรองด้วยปีได้ถูกต้อง -&gt; 2567 , 2568 , 2569 , ทั้งหมด
ตัวเลขของ ฟิลด์ เงินเข้าจริง ค่าจ้างเต็ม เงินค้างรับรวม หัก ณ ที่จ่ายสะสม คำนวณถูกต้อง ตามแต่ละการกรอง
เงื่อนไข
-กดเมนู : สรุปการเงิน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</si>
  <si>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ทำการโหลดรูปภาพโดยมีการเลือกหลายแพลตฟอร์ม
</t>
    </r>
    <r>
      <rPr>
        <rFont val="Tahoma"/>
        <color rgb="FF000000"/>
        <sz val="10.0"/>
      </rPr>
      <t>- Download Picture
- Multiple platforms</t>
    </r>
  </si>
  <si>
    <r>
      <rPr>
        <rFont val="Tahoma"/>
        <color rgb="FF000000"/>
        <sz val="10.0"/>
      </rPr>
      <t xml:space="preserve">ตรวจสอบเมนู : สรุปการเงิน 
</t>
    </r>
    <r>
      <rPr>
        <rFont val="Tahoma"/>
        <b/>
        <color rgb="FF1155CC"/>
        <sz val="10.0"/>
      </rPr>
      <t xml:space="preserve">กรณี : บัญชีที่มีข้อมูล 3 ดีลอยู่ แต่อยู่คนละเดือนกัน
    - 01/69 1 ดีล
    - 02/69 1 ดีล
    - 03/69 1 ดีล
</t>
    </r>
    <r>
      <rPr>
        <rFont val="Tahoma"/>
        <color rgb="FF000000"/>
        <sz val="10.0"/>
      </rPr>
      <t>ระบบต้องทำการกรองด้วยเดือนได้ถูกต้อง -&gt; 01/69 , 02/69, 03/69 , ทั้งหมด
ตัวเลขของ ฟิลด์ เงินเข้าจริง ค่าจ้างเต็ม เงินค้างรับรวม หัก ณ ที่จ่ายสะสม คำนวณถูกต้อง ตามแต่ละการกรอง
เงื่อนไข
-กดเมนู : สรุปการเงิน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</si>
  <si>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ทำการบันทึก PDF โดยมีการเลือก 1 แพลตฟอร์ม
</t>
    </r>
    <r>
      <rPr>
        <rFont val="Tahoma"/>
        <color rgb="FF000000"/>
        <sz val="10.0"/>
      </rPr>
      <t>- Save PDF
- Single platform</t>
    </r>
  </si>
  <si>
    <t>1. สามารถบันทึกได้
2. แสดงเพียง แพลตฟอร์ม ที่เลือก</t>
  </si>
  <si>
    <r>
      <rPr>
        <rFont val="Tahoma"/>
        <color rgb="FF000000"/>
        <sz val="10.0"/>
      </rPr>
      <t xml:space="preserve">ตรวจสอบเมนู : สรุปการเงิน 
</t>
    </r>
    <r>
      <rPr>
        <rFont val="Tahoma"/>
        <b/>
        <color rgb="FF1155CC"/>
        <sz val="10.0"/>
      </rPr>
      <t xml:space="preserve">กรณี : บัญชีที่มีข้อมูล 3 ดีลอยู่ แต่อยู่คนละแบรนด์กัน
    - KFC 1 ดีล
    - Bonchon 1 ดีล
    - McDonald 1 ดีล
</t>
    </r>
    <r>
      <rPr>
        <rFont val="Tahoma"/>
        <color rgb="FF000000"/>
        <sz val="10.0"/>
      </rPr>
      <t>ระบบต้องทำการกรองด้วยเดือนได้ถูกต้อง -&gt; KFC , Bonchon , McDonald , ทั้งหมด
ตัวเลขของ ฟิลด์ เงินเข้าจริง ค่าจ้างเต็ม เงินค้างรับรวม หัก ณ ที่จ่ายสะสม คำนวณถูกต้อง ตามแต่ละการกรอง
เงื่อนไข
-กดเมนู : สรุปการเงิน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</si>
  <si>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ทำการบันทึก PDF โดยมีการเลือกหลายแพลตฟอร์ม
</t>
    </r>
    <r>
      <rPr>
        <rFont val="Tahoma"/>
        <color rgb="FF000000"/>
        <sz val="10.0"/>
      </rPr>
      <t>- Save PDF
- Multiple platforms</t>
    </r>
  </si>
  <si>
    <r>
      <rPr>
        <rFont val="Tahoma"/>
        <color rgb="FF000000"/>
        <sz val="10.0"/>
      </rPr>
      <t xml:space="preserve">ตรวจสอบเมนู : สรุปการเงิน 
</t>
    </r>
    <r>
      <rPr>
        <rFont val="Tahoma"/>
        <b/>
        <color rgb="FF1155CC"/>
        <sz val="10.0"/>
      </rPr>
      <t xml:space="preserve">กรณี : บัญชีที่มีข้อมูลหลายดีลอยู่
</t>
    </r>
    <r>
      <rPr>
        <rFont val="Tahoma"/>
        <color rgb="FF000000"/>
        <sz val="10.0"/>
      </rPr>
      <t>ระบบต้องทำการกรองด้วยเดือนได้ถูกต้อง -&gt; KFC , Bonchon , McDonald , ทั้งหมด
ตัวเลขของ ฟิลด์ เงินเข้าจริง ค่าจ้างเต็ม เงินค้างรับรวม หัก ณ ที่จ่ายสะสม คำนวณถูกต้อง ตามแต่ละการกรอง
เงื่อนไข
-กดเมนู : สรุปการเงิน</t>
    </r>
  </si>
  <si>
    <t>Scenario : User ทำการ โหลดรูป / บันทึก PDF (หน้าแก้ไข)</t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</si>
  <si>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ทำการโหลดรูปภาพโดยมีการเลือก 1 แพลตฟอร์ม
</t>
    </r>
    <r>
      <rPr>
        <rFont val="Tahoma"/>
        <color rgb="FF000000"/>
        <sz val="10.0"/>
      </rPr>
      <t>- Download Picture
- Single platform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</si>
  <si>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ทำการโหลดรูปภาพโดยมีการเลือกหลายแพลตฟอร์ม
</t>
    </r>
    <r>
      <rPr>
        <rFont val="Tahoma"/>
        <color rgb="FF000000"/>
        <sz val="10.0"/>
      </rPr>
      <t>- Download Picture
- Multiple platforms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</si>
  <si>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ทำการบันทึก PDF โดยมีการเลือก 1 แพลตฟอร์ม
</t>
    </r>
    <r>
      <rPr>
        <rFont val="Tahoma"/>
        <color rgb="FF000000"/>
        <sz val="10.0"/>
      </rPr>
      <t>- Save PDF
- Single platform</t>
    </r>
  </si>
  <si>
    <r>
      <rPr>
        <rFont val="Tahoma"/>
        <color rgb="FF000000"/>
        <sz val="10.0"/>
      </rPr>
      <t xml:space="preserve">ตรวจสอบเมนู : Content Mockup
</t>
    </r>
    <r>
      <rPr>
        <rFont val="Tahoma"/>
        <b/>
        <color rgb="FF1155CC"/>
        <sz val="10.0"/>
      </rPr>
      <t xml:space="preserve">กรณี : User ทำการบันทึก PDF โดยมีการเลือกหลายแพลตฟอร์ม
</t>
    </r>
    <r>
      <rPr>
        <rFont val="Tahoma"/>
        <color rgb="FF000000"/>
        <sz val="10.0"/>
      </rPr>
      <t>- Save PDF
- Multiple platforms</t>
    </r>
  </si>
  <si>
    <t>Defect no</t>
  </si>
  <si>
    <t>Open Date</t>
  </si>
  <si>
    <t>Description</t>
  </si>
  <si>
    <t>Severity</t>
  </si>
  <si>
    <t>Data From</t>
  </si>
  <si>
    <t>Case</t>
  </si>
  <si>
    <t>Defect Status</t>
  </si>
  <si>
    <t>Assign to fix</t>
  </si>
  <si>
    <t>Due date to fix</t>
  </si>
  <si>
    <t>Remark (Test team)</t>
  </si>
  <si>
    <t>Story Jira</t>
  </si>
  <si>
    <t>API Confluence</t>
  </si>
  <si>
    <t>Dev Owner</t>
  </si>
  <si>
    <t>file:///Users/tananyatajanthuek/Downloads/CreatorDee_Requirement/CreatorDeal_Epic01_DealPipeline.html</t>
  </si>
  <si>
    <t>Epic 01 — Deal Pipeline</t>
  </si>
  <si>
    <t>file:///Users/tananyatajanthuek/Downloads/CreatorDee_Requirement/Epic_Content_Calendar.html</t>
  </si>
  <si>
    <t>เมนูปฎิทิน</t>
  </si>
  <si>
    <t>No.</t>
  </si>
  <si>
    <t>Menu</t>
  </si>
  <si>
    <t>Note</t>
  </si>
  <si>
    <t xml:space="preserve">หน้าหลัก : </t>
  </si>
  <si>
    <t>ทำไม กดที่กล่อง : ดีล App พาไปหน้า ดีล ? ----&gt; ทำไมไม่ไปหน้า "สรุปรายจ่าย"</t>
  </si>
  <si>
    <t>ดีล</t>
  </si>
  <si>
    <t xml:space="preserve"> กดปุ่ม "เพิ่มดีล"  กรณี ไม่กรอกข้อมูล Field : ชื่อแบรนด์ * / 
ประเภทงาน * / ช่องทางที่ติดต่อ / ราคา (บาท)  กดปุ่ม "ช่วยคิดเรต" -----&gt; ระบบควรขึ้น error ดักไหม 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</si>
</sst>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5">
    <font>
      <sz val="11.0"/>
      <color theme="1"/>
      <name val="Aptos Narrow"/>
      <scheme val="minor"/>
    </font>
    <font>
      <b/>
      <sz val="10.0"/>
      <color rgb="FF000000"/>
      <name val="Tahoma"/>
    </font>
    <font>
      <b/>
      <sz val="13.0"/>
      <color theme="1"/>
      <name val="Sarabun"/>
    </font>
    <font>
      <sz val="10.0"/>
      <color rgb="FFFFFFFF"/>
      <name val="Tahoma"/>
    </font>
    <font>
      <sz val="10.0"/>
      <color theme="1"/>
      <name val="Tahoma"/>
    </font>
    <font>
      <sz val="10.0"/>
      <color rgb="FF000000"/>
      <name val="Tahoma"/>
    </font>
    <font>
      <b/>
      <u/>
      <sz val="10.0"/>
      <color rgb="FF093D93"/>
      <name val="Tahoma"/>
    </font>
    <font>
      <b/>
      <sz val="9.0"/>
      <color rgb="FF000000"/>
      <name val="Tahoma"/>
    </font>
    <font/>
    <font>
      <b/>
      <sz val="10.0"/>
      <color theme="1"/>
      <name val="Tahoma"/>
    </font>
    <font>
      <sz val="9.0"/>
      <color rgb="FF000000"/>
      <name val="Tahoma"/>
    </font>
    <font>
      <u/>
      <sz val="11.0"/>
      <color theme="10"/>
      <name val="Aptos Narrow"/>
    </font>
    <font>
      <b/>
      <sz val="13.0"/>
      <color rgb="FF548135"/>
      <name val="Sarabun"/>
    </font>
    <font>
      <b/>
      <sz val="13.0"/>
      <color rgb="FFFF0000"/>
      <name val="Sarabun"/>
    </font>
    <font>
      <b/>
      <sz val="10.0"/>
      <color rgb="FFFFFFFF"/>
      <name val="Tahoma"/>
    </font>
    <font>
      <b/>
      <color theme="1"/>
      <name val="Sarabun"/>
    </font>
    <font>
      <b/>
      <sz val="11.0"/>
      <color theme="1"/>
      <name val="Sarabun"/>
    </font>
    <font>
      <b/>
      <sz val="12.0"/>
      <color theme="1"/>
      <name val="Tahoma"/>
    </font>
    <font>
      <color theme="1"/>
      <name val="Arial"/>
    </font>
    <font>
      <color theme="1"/>
      <name val="Aptos Narrow"/>
      <scheme val="minor"/>
    </font>
    <font>
      <sz val="12.0"/>
      <color theme="1"/>
      <name val="Sarabun"/>
    </font>
    <font>
      <color theme="1"/>
      <name val="Sarabun"/>
    </font>
    <font>
      <b/>
      <sz val="12.0"/>
      <color rgb="FF000000"/>
      <name val="Tahoma"/>
    </font>
    <font>
      <sz val="12.0"/>
      <color rgb="FF000000"/>
      <name val="Tahoma"/>
    </font>
    <font>
      <sz val="11.0"/>
      <color theme="1"/>
      <name val="Sarabun"/>
    </font>
    <font>
      <sz val="9.0"/>
      <color theme="1"/>
      <name val="Tahoma"/>
    </font>
    <font>
      <b/>
      <sz val="12.0"/>
      <color theme="1"/>
      <name val="Sarabun"/>
    </font>
    <font>
      <sz val="11.0"/>
      <color rgb="FF000000"/>
      <name val="Calibri"/>
    </font>
    <font>
      <u/>
      <color rgb="FF1155CC"/>
      <name val="Sarabun"/>
    </font>
    <font>
      <sz val="11.0"/>
      <color theme="1"/>
      <name val="Aptos Narrow"/>
    </font>
    <font>
      <b/>
      <strike/>
      <u/>
      <sz val="10.0"/>
      <color rgb="FF000000"/>
      <name val="Tahoma"/>
    </font>
    <font>
      <b/>
      <u/>
      <sz val="10.0"/>
      <color rgb="FF000000"/>
      <name val="Tahoma"/>
    </font>
    <font>
      <b/>
      <strike/>
      <u/>
      <sz val="12.0"/>
      <color rgb="FF0000FF"/>
      <name val="Tahoma"/>
    </font>
    <font>
      <strike/>
      <sz val="10.0"/>
      <color rgb="FF000000"/>
      <name val="Tahoma"/>
    </font>
    <font>
      <b/>
      <strike/>
      <sz val="10.0"/>
      <color rgb="FF000000"/>
      <name val="Tahoma"/>
    </font>
    <font>
      <color theme="1"/>
      <name val="Tahoma"/>
    </font>
    <font>
      <b/>
      <strike/>
      <u/>
      <sz val="10.0"/>
      <color rgb="FF000000"/>
      <name val="Tahoma"/>
    </font>
    <font>
      <b/>
      <u/>
      <sz val="12.0"/>
      <color rgb="FF0000FF"/>
      <name val="Tahoma"/>
    </font>
    <font>
      <sz val="12.0"/>
      <color theme="1"/>
      <name val="Tahoma"/>
    </font>
    <font>
      <b/>
      <color theme="1"/>
      <name val="Arial"/>
    </font>
    <font>
      <b/>
      <u/>
      <sz val="10.0"/>
      <color rgb="FF000000"/>
      <name val="Tahoma"/>
    </font>
    <font>
      <b/>
      <color theme="1"/>
      <name val="Aptos Narrow"/>
      <scheme val="minor"/>
    </font>
    <font>
      <sz val="12.0"/>
      <color theme="1"/>
      <name val="Aptos Narrow"/>
      <scheme val="minor"/>
    </font>
    <font>
      <sz val="12.0"/>
      <color theme="1"/>
      <name val="Arial"/>
    </font>
    <font>
      <u/>
      <sz val="10.0"/>
      <color rgb="FF000000"/>
      <name val="Tahoma"/>
    </font>
    <font>
      <b/>
      <u/>
      <sz val="10.0"/>
      <color rgb="FF0000FF"/>
      <name val="Tahoma"/>
    </font>
    <font>
      <sz val="11.0"/>
      <color theme="1"/>
      <name val="Tahoma"/>
    </font>
    <font>
      <b/>
      <sz val="11.0"/>
      <color theme="1"/>
      <name val="Aptos Narrow"/>
    </font>
    <font>
      <sz val="10.0"/>
      <color theme="1"/>
      <name val="Aptos Narrow"/>
    </font>
    <font>
      <sz val="11.0"/>
      <color rgb="FF467886"/>
      <name val="Arial"/>
    </font>
    <font>
      <u/>
      <sz val="11.0"/>
      <color rgb="FF467886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theme="10"/>
      <name val="Aptos Narrow"/>
    </font>
    <font>
      <sz val="10.0"/>
      <color rgb="FF292A2E"/>
      <name val="Atlassian Sans"/>
    </font>
  </fonts>
  <fills count="31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BE9F7"/>
        <bgColor rgb="FFDBE9F7"/>
      </patternFill>
    </fill>
    <fill>
      <patternFill patternType="solid">
        <fgColor rgb="FFD8DEE9"/>
        <bgColor rgb="FFD8DEE9"/>
      </patternFill>
    </fill>
    <fill>
      <patternFill patternType="solid">
        <fgColor rgb="FF667CA2"/>
        <bgColor rgb="FF667CA2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29C6FF"/>
        <bgColor rgb="FF29C6FF"/>
      </patternFill>
    </fill>
    <fill>
      <patternFill patternType="solid">
        <fgColor rgb="FFD0E0E3"/>
        <bgColor rgb="FFD0E0E3"/>
      </patternFill>
    </fill>
    <fill>
      <patternFill patternType="solid">
        <fgColor rgb="FF95DCF7"/>
        <bgColor rgb="FF95DCF7"/>
      </patternFill>
    </fill>
    <fill>
      <patternFill patternType="solid">
        <fgColor rgb="FFFFFFFF"/>
        <bgColor rgb="FFFFFFFF"/>
      </patternFill>
    </fill>
    <fill>
      <patternFill patternType="solid">
        <fgColor rgb="FFD7DEE7"/>
        <bgColor rgb="FFD7DEE7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D9F2D0"/>
        <bgColor rgb="FFD9F2D0"/>
      </patternFill>
    </fill>
    <fill>
      <patternFill patternType="solid">
        <fgColor rgb="FF63CEFF"/>
        <bgColor rgb="FF63CEF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C0E4F5"/>
        <bgColor rgb="FFC0E4F5"/>
      </patternFill>
    </fill>
    <fill>
      <patternFill patternType="solid">
        <fgColor rgb="FFFFFF00"/>
        <bgColor rgb="FFFFFF00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BFBFBF"/>
      </right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/>
    </xf>
    <xf borderId="2" fillId="2" fontId="2" numFmtId="0" xfId="0" applyAlignment="1" applyBorder="1" applyFont="1">
      <alignment horizontal="center" shrinkToFit="0" vertical="center" wrapText="1"/>
    </xf>
    <xf borderId="0" fillId="0" fontId="5" numFmtId="0" xfId="0" applyFont="1"/>
    <xf borderId="3" fillId="3" fontId="6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5" fillId="0" fontId="8" numFmtId="0" xfId="0" applyBorder="1" applyFont="1"/>
    <xf borderId="3" fillId="4" fontId="9" numFmtId="0" xfId="0" applyBorder="1" applyFill="1" applyFont="1"/>
    <xf borderId="0" fillId="0" fontId="7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2" fillId="2" fontId="2" numFmtId="0" xfId="0" applyAlignment="1" applyBorder="1" applyFont="1">
      <alignment horizontal="center" shrinkToFit="0" textRotation="90" vertical="center" wrapText="1"/>
    </xf>
    <xf borderId="2" fillId="2" fontId="2" numFmtId="0" xfId="0" applyAlignment="1" applyBorder="1" applyFont="1">
      <alignment horizontal="center" textRotation="90" vertical="center"/>
    </xf>
    <xf borderId="0" fillId="0" fontId="10" numFmtId="0" xfId="0" applyAlignment="1" applyFont="1">
      <alignment horizontal="left" vertical="top"/>
    </xf>
    <xf borderId="0" fillId="0" fontId="7" numFmtId="0" xfId="0" applyAlignment="1" applyFont="1">
      <alignment horizontal="center" textRotation="90" vertical="center"/>
    </xf>
    <xf borderId="3" fillId="5" fontId="3" numFmtId="0" xfId="0" applyBorder="1" applyFill="1" applyFont="1"/>
    <xf borderId="0" fillId="0" fontId="11" numFmtId="0" xfId="0" applyAlignment="1" applyFont="1">
      <alignment shrinkToFit="0" vertical="top" wrapText="1"/>
    </xf>
    <xf borderId="2" fillId="2" fontId="12" numFmtId="0" xfId="0" applyAlignment="1" applyBorder="1" applyFont="1">
      <alignment horizontal="center" textRotation="90" vertical="center"/>
    </xf>
    <xf borderId="2" fillId="2" fontId="13" numFmtId="0" xfId="0" applyAlignment="1" applyBorder="1" applyFont="1">
      <alignment horizontal="center" textRotation="90" vertical="center"/>
    </xf>
    <xf borderId="3" fillId="6" fontId="4" numFmtId="0" xfId="0" applyAlignment="1" applyBorder="1" applyFill="1" applyFont="1">
      <alignment horizontal="right"/>
    </xf>
    <xf borderId="3" fillId="7" fontId="14" numFmtId="0" xfId="0" applyAlignment="1" applyBorder="1" applyFill="1" applyFont="1">
      <alignment horizontal="center" shrinkToFit="0" vertical="center" wrapText="1"/>
    </xf>
    <xf borderId="2" fillId="2" fontId="2" numFmtId="10" xfId="0" applyAlignment="1" applyBorder="1" applyFont="1" applyNumberFormat="1">
      <alignment horizontal="center" textRotation="90" vertical="center"/>
    </xf>
    <xf borderId="3" fillId="6" fontId="4" numFmtId="10" xfId="0" applyAlignment="1" applyBorder="1" applyFont="1" applyNumberFormat="1">
      <alignment horizontal="right"/>
    </xf>
    <xf borderId="1" fillId="2" fontId="2" numFmtId="0" xfId="0" applyAlignment="1" applyBorder="1" applyFont="1">
      <alignment horizontal="center" textRotation="90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8" fontId="1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6" fillId="9" fontId="1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top"/>
    </xf>
    <xf borderId="2" fillId="9" fontId="16" numFmtId="0" xfId="0" applyAlignment="1" applyBorder="1" applyFont="1">
      <alignment horizontal="center" vertical="center"/>
    </xf>
    <xf borderId="1" fillId="10" fontId="15" numFmtId="0" xfId="0" applyAlignment="1" applyBorder="1" applyFill="1" applyFont="1">
      <alignment horizontal="center" vertical="center"/>
    </xf>
    <xf borderId="1" fillId="11" fontId="17" numFmtId="0" xfId="0" applyAlignment="1" applyBorder="1" applyFill="1" applyFont="1">
      <alignment horizontal="center" shrinkToFit="0" vertical="center" wrapText="1"/>
    </xf>
    <xf borderId="0" fillId="0" fontId="18" numFmtId="0" xfId="0" applyFont="1"/>
    <xf borderId="0" fillId="0" fontId="5" numFmtId="0" xfId="0" applyAlignment="1" applyFont="1">
      <alignment readingOrder="0"/>
    </xf>
    <xf borderId="7" fillId="0" fontId="8" numFmtId="0" xfId="0" applyBorder="1" applyFont="1"/>
    <xf borderId="8" fillId="0" fontId="8" numFmtId="0" xfId="0" applyBorder="1" applyFont="1"/>
    <xf borderId="9" fillId="11" fontId="17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7" fillId="0" fontId="20" numFmtId="0" xfId="0" applyAlignment="1" applyBorder="1" applyFont="1">
      <alignment horizontal="center" vertical="bottom"/>
    </xf>
    <xf borderId="3" fillId="0" fontId="21" numFmtId="0" xfId="0" applyAlignment="1" applyBorder="1" applyFont="1">
      <alignment readingOrder="0" vertical="top"/>
    </xf>
    <xf borderId="6" fillId="0" fontId="8" numFmtId="0" xfId="0" applyBorder="1" applyFont="1"/>
    <xf borderId="3" fillId="0" fontId="21" numFmtId="164" xfId="0" applyAlignment="1" applyBorder="1" applyFont="1" applyNumberFormat="1">
      <alignment horizontal="center"/>
    </xf>
    <xf borderId="10" fillId="0" fontId="8" numFmtId="0" xfId="0" applyBorder="1" applyFont="1"/>
    <xf borderId="0" fillId="0" fontId="10" numFmtId="0" xfId="0" applyAlignment="1" applyFont="1">
      <alignment horizontal="center" shrinkToFit="0" vertical="center" wrapText="1"/>
    </xf>
    <xf borderId="8" fillId="12" fontId="20" numFmtId="1" xfId="0" applyAlignment="1" applyBorder="1" applyFill="1" applyFont="1" applyNumberFormat="1">
      <alignment horizontal="center" vertical="center"/>
    </xf>
    <xf borderId="0" fillId="0" fontId="10" numFmtId="0" xfId="0" applyAlignment="1" applyFont="1">
      <alignment shrinkToFit="0" vertical="center" wrapText="1"/>
    </xf>
    <xf borderId="8" fillId="0" fontId="20" numFmtId="0" xfId="0" applyAlignment="1" applyBorder="1" applyFont="1">
      <alignment horizontal="center" vertical="center"/>
    </xf>
    <xf borderId="11" fillId="0" fontId="8" numFmtId="0" xfId="0" applyBorder="1" applyFont="1"/>
    <xf borderId="12" fillId="0" fontId="8" numFmtId="0" xfId="0" applyBorder="1" applyFont="1"/>
    <xf borderId="13" fillId="13" fontId="22" numFmtId="0" xfId="0" applyAlignment="1" applyBorder="1" applyFill="1" applyFont="1">
      <alignment horizontal="left" readingOrder="0" shrinkToFit="0" vertical="center" wrapText="1"/>
    </xf>
    <xf borderId="8" fillId="0" fontId="20" numFmtId="9" xfId="0" applyAlignment="1" applyBorder="1" applyFont="1" applyNumberFormat="1">
      <alignment horizontal="center" vertical="center"/>
    </xf>
    <xf borderId="14" fillId="13" fontId="22" numFmtId="0" xfId="0" applyAlignment="1" applyBorder="1" applyFont="1">
      <alignment shrinkToFit="0" vertical="top" wrapText="1"/>
    </xf>
    <xf borderId="3" fillId="13" fontId="23" numFmtId="0" xfId="0" applyAlignment="1" applyBorder="1" applyFont="1">
      <alignment horizontal="left" shrinkToFit="0" vertical="top" wrapText="1"/>
    </xf>
    <xf borderId="8" fillId="0" fontId="20" numFmtId="10" xfId="0" applyAlignment="1" applyBorder="1" applyFont="1" applyNumberFormat="1">
      <alignment horizontal="center" vertical="center"/>
    </xf>
    <xf borderId="3" fillId="13" fontId="22" numFmtId="0" xfId="0" applyAlignment="1" applyBorder="1" applyFont="1">
      <alignment horizontal="left" vertical="top"/>
    </xf>
    <xf borderId="8" fillId="0" fontId="20" numFmtId="1" xfId="0" applyAlignment="1" applyBorder="1" applyFont="1" applyNumberFormat="1">
      <alignment horizontal="center" vertical="center"/>
    </xf>
    <xf borderId="8" fillId="0" fontId="21" numFmtId="0" xfId="0" applyAlignment="1" applyBorder="1" applyFont="1">
      <alignment horizontal="center" readingOrder="0" shrinkToFit="0" vertical="top" wrapText="1"/>
    </xf>
    <xf borderId="8" fillId="0" fontId="21" numFmtId="0" xfId="0" applyAlignment="1" applyBorder="1" applyFont="1">
      <alignment horizontal="center" shrinkToFit="0" vertical="top" wrapText="1"/>
    </xf>
    <xf borderId="8" fillId="14" fontId="24" numFmtId="0" xfId="0" applyAlignment="1" applyBorder="1" applyFill="1" applyFont="1">
      <alignment horizontal="center" vertical="bottom"/>
    </xf>
    <xf borderId="8" fillId="14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3" fillId="0" fontId="18" numFmtId="164" xfId="0" applyBorder="1" applyFont="1" applyNumberFormat="1"/>
    <xf borderId="3" fillId="6" fontId="4" numFmtId="10" xfId="0" applyBorder="1" applyFont="1" applyNumberFormat="1"/>
    <xf borderId="3" fillId="15" fontId="4" numFmtId="0" xfId="0" applyAlignment="1" applyBorder="1" applyFill="1" applyFont="1">
      <alignment horizontal="right"/>
    </xf>
    <xf borderId="3" fillId="14" fontId="5" numFmtId="0" xfId="0" applyAlignment="1" applyBorder="1" applyFont="1">
      <alignment horizontal="center" readingOrder="0" shrinkToFit="0" vertical="center" wrapText="1"/>
    </xf>
    <xf borderId="3" fillId="15" fontId="4" numFmtId="10" xfId="0" applyAlignment="1" applyBorder="1" applyFont="1" applyNumberFormat="1">
      <alignment horizontal="right"/>
    </xf>
    <xf borderId="3" fillId="0" fontId="5" numFmtId="0" xfId="0" applyAlignment="1" applyBorder="1" applyFont="1">
      <alignment horizontal="left" readingOrder="0" shrinkToFit="0" vertical="top" wrapText="1"/>
    </xf>
    <xf borderId="14" fillId="16" fontId="1" numFmtId="0" xfId="0" applyAlignment="1" applyBorder="1" applyFill="1" applyFont="1">
      <alignment readingOrder="0" shrinkToFit="0" vertical="top" wrapText="1"/>
    </xf>
    <xf quotePrefix="1" borderId="3" fillId="16" fontId="5" numFmtId="0" xfId="0" applyAlignment="1" applyBorder="1" applyFont="1">
      <alignment readingOrder="0" shrinkToFit="0" vertical="top" wrapText="1"/>
    </xf>
    <xf borderId="3" fillId="16" fontId="10" numFmtId="0" xfId="0" applyAlignment="1" applyBorder="1" applyFont="1">
      <alignment horizontal="center" vertical="center"/>
    </xf>
    <xf borderId="3" fillId="16" fontId="10" numFmtId="0" xfId="0" applyAlignment="1" applyBorder="1" applyFont="1">
      <alignment horizontal="center" readingOrder="0" vertical="center"/>
    </xf>
    <xf borderId="3" fillId="16" fontId="5" numFmtId="0" xfId="0" applyAlignment="1" applyBorder="1" applyFont="1">
      <alignment horizontal="center" shrinkToFit="0" vertical="center" wrapText="1"/>
    </xf>
    <xf borderId="3" fillId="16" fontId="5" numFmtId="0" xfId="0" applyAlignment="1" applyBorder="1" applyFont="1">
      <alignment shrinkToFit="0" vertical="top" wrapText="1"/>
    </xf>
    <xf borderId="3" fillId="16" fontId="5" numFmtId="0" xfId="0" applyAlignment="1" applyBorder="1" applyFont="1">
      <alignment horizontal="center" readingOrder="0" shrinkToFit="0" vertical="center" wrapText="1"/>
    </xf>
    <xf borderId="3" fillId="16" fontId="5" numFmtId="165" xfId="0" applyAlignment="1" applyBorder="1" applyFont="1" applyNumberFormat="1">
      <alignment horizontal="center" shrinkToFit="0" vertical="center" wrapText="1"/>
    </xf>
    <xf borderId="7" fillId="0" fontId="20" numFmtId="0" xfId="0" applyAlignment="1" applyBorder="1" applyFont="1">
      <alignment horizontal="center" readingOrder="0" vertical="bottom"/>
    </xf>
    <xf borderId="3" fillId="16" fontId="25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readingOrder="0" vertical="top"/>
    </xf>
    <xf borderId="3" fillId="16" fontId="1" numFmtId="0" xfId="0" applyAlignment="1" applyBorder="1" applyFont="1">
      <alignment shrinkToFit="0" vertical="top" wrapText="1"/>
    </xf>
    <xf borderId="7" fillId="0" fontId="21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 shrinkToFit="0" vertical="center" wrapText="1"/>
    </xf>
    <xf borderId="7" fillId="0" fontId="18" numFmtId="164" xfId="0" applyBorder="1" applyFont="1" applyNumberFormat="1"/>
    <xf borderId="8" fillId="12" fontId="20" numFmtId="0" xfId="0" applyAlignment="1" applyBorder="1" applyFont="1">
      <alignment horizontal="center" vertical="center"/>
    </xf>
    <xf borderId="15" fillId="9" fontId="26" numFmtId="0" xfId="0" applyAlignment="1" applyBorder="1" applyFont="1">
      <alignment horizontal="center" vertical="bottom"/>
    </xf>
    <xf borderId="16" fillId="0" fontId="8" numFmtId="0" xfId="0" applyBorder="1" applyFont="1"/>
    <xf borderId="8" fillId="9" fontId="26" numFmtId="1" xfId="0" applyAlignment="1" applyBorder="1" applyFont="1" applyNumberFormat="1">
      <alignment horizontal="center" vertical="bottom"/>
    </xf>
    <xf borderId="3" fillId="16" fontId="5" numFmtId="0" xfId="0" applyAlignment="1" applyBorder="1" applyFont="1">
      <alignment readingOrder="0" shrinkToFit="0" vertical="top" wrapText="1"/>
    </xf>
    <xf borderId="8" fillId="9" fontId="26" numFmtId="9" xfId="0" applyAlignment="1" applyBorder="1" applyFont="1" applyNumberFormat="1">
      <alignment horizontal="center" vertical="bottom"/>
    </xf>
    <xf borderId="8" fillId="9" fontId="26" numFmtId="10" xfId="0" applyAlignment="1" applyBorder="1" applyFont="1" applyNumberFormat="1">
      <alignment horizontal="center" vertical="bottom"/>
    </xf>
    <xf borderId="7" fillId="9" fontId="18" numFmtId="0" xfId="0" applyAlignment="1" applyBorder="1" applyFont="1">
      <alignment vertical="bottom"/>
    </xf>
    <xf borderId="8" fillId="9" fontId="18" numFmtId="0" xfId="0" applyAlignment="1" applyBorder="1" applyFont="1">
      <alignment vertical="bottom"/>
    </xf>
    <xf borderId="17" fillId="0" fontId="27" numFmtId="0" xfId="0" applyAlignment="1" applyBorder="1" applyFont="1">
      <alignment horizontal="left" readingOrder="0" vertical="top"/>
    </xf>
    <xf borderId="0" fillId="0" fontId="15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8" numFmtId="0" xfId="0" applyAlignment="1" applyFont="1">
      <alignment vertical="bottom"/>
    </xf>
    <xf borderId="13" fillId="17" fontId="22" numFmtId="0" xfId="0" applyAlignment="1" applyBorder="1" applyFill="1" applyFont="1">
      <alignment horizontal="left" readingOrder="0" shrinkToFit="0" vertical="center" wrapText="1"/>
    </xf>
    <xf borderId="14" fillId="17" fontId="1" numFmtId="0" xfId="0" applyAlignment="1" applyBorder="1" applyFont="1">
      <alignment readingOrder="0" shrinkToFit="0" vertical="top" wrapText="1"/>
    </xf>
    <xf borderId="3" fillId="17" fontId="23" numFmtId="0" xfId="0" applyAlignment="1" applyBorder="1" applyFont="1">
      <alignment horizontal="left" shrinkToFit="0" vertical="top" wrapText="1"/>
    </xf>
    <xf borderId="3" fillId="17" fontId="22" numFmtId="0" xfId="0" applyAlignment="1" applyBorder="1" applyFont="1">
      <alignment horizontal="left" vertical="top"/>
    </xf>
    <xf borderId="0" fillId="0" fontId="21" numFmtId="0" xfId="0" applyAlignment="1" applyFont="1">
      <alignment readingOrder="0" vertical="bottom"/>
    </xf>
    <xf borderId="3" fillId="14" fontId="5" numFmtId="0" xfId="0" applyAlignment="1" applyBorder="1" applyFont="1">
      <alignment horizontal="left" readingOrder="0" shrinkToFit="0" vertical="top" wrapText="1"/>
    </xf>
    <xf borderId="3" fillId="18" fontId="5" numFmtId="0" xfId="0" applyAlignment="1" applyBorder="1" applyFill="1" applyFont="1">
      <alignment horizontal="left" readingOrder="0" shrinkToFit="0" vertical="top" wrapText="1"/>
    </xf>
    <xf borderId="3" fillId="18" fontId="5" numFmtId="0" xfId="0" applyAlignment="1" applyBorder="1" applyFont="1">
      <alignment horizontal="center" readingOrder="0" shrinkToFit="0" vertical="center" wrapText="1"/>
    </xf>
    <xf borderId="0" fillId="12" fontId="18" numFmtId="0" xfId="0" applyAlignment="1" applyFont="1">
      <alignment horizontal="center" readingOrder="0"/>
    </xf>
    <xf borderId="0" fillId="12" fontId="18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Alignment="1" applyFont="1">
      <alignment horizontal="center" readingOrder="0"/>
    </xf>
    <xf quotePrefix="1" borderId="0" fillId="0" fontId="18" numFmtId="0" xfId="0" applyAlignment="1" applyFont="1">
      <alignment readingOrder="0"/>
    </xf>
    <xf borderId="0" fillId="0" fontId="18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0" fillId="0" fontId="18" numFmtId="0" xfId="0" applyAlignment="1" applyFont="1">
      <alignment horizontal="left" readingOrder="0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vertical="center"/>
    </xf>
    <xf borderId="3" fillId="18" fontId="5" numFmtId="0" xfId="0" applyAlignment="1" applyBorder="1" applyFont="1">
      <alignment readingOrder="0" shrinkToFit="0" vertical="top" wrapText="1"/>
    </xf>
    <xf borderId="3" fillId="19" fontId="5" numFmtId="0" xfId="0" applyAlignment="1" applyBorder="1" applyFill="1" applyFont="1">
      <alignment horizontal="center" readingOrder="0" shrinkToFit="0" vertical="center" wrapText="1"/>
    </xf>
    <xf borderId="3" fillId="20" fontId="5" numFmtId="0" xfId="0" applyAlignment="1" applyBorder="1" applyFill="1" applyFont="1">
      <alignment horizontal="left" readingOrder="0" shrinkToFit="0" vertical="top" wrapText="1"/>
    </xf>
    <xf borderId="3" fillId="21" fontId="5" numFmtId="0" xfId="0" applyAlignment="1" applyBorder="1" applyFill="1" applyFont="1">
      <alignment horizontal="left" readingOrder="0" shrinkToFit="0" vertical="top" wrapText="1"/>
    </xf>
    <xf borderId="1" fillId="18" fontId="5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right" shrinkToFit="0" vertical="bottom" wrapText="1"/>
    </xf>
    <xf borderId="0" fillId="0" fontId="24" numFmtId="0" xfId="0" applyAlignment="1" applyFont="1">
      <alignment horizontal="center" shrinkToFit="0" wrapText="1"/>
    </xf>
    <xf borderId="0" fillId="0" fontId="24" numFmtId="2" xfId="0" applyAlignment="1" applyFont="1" applyNumberFormat="1">
      <alignment horizontal="center" shrinkToFit="0" wrapText="1"/>
    </xf>
    <xf borderId="0" fillId="0" fontId="24" numFmtId="0" xfId="0" applyAlignment="1" applyFont="1">
      <alignment shrinkToFit="0" vertical="top" wrapText="1"/>
    </xf>
    <xf borderId="0" fillId="0" fontId="16" numFmtId="0" xfId="0" applyAlignment="1" applyFont="1">
      <alignment horizontal="right" shrinkToFit="0" vertical="bottom" wrapText="1"/>
    </xf>
    <xf borderId="0" fillId="0" fontId="16" numFmtId="0" xfId="0" applyAlignment="1" applyFont="1">
      <alignment horizontal="center" shrinkToFit="0" wrapText="1"/>
    </xf>
    <xf borderId="0" fillId="0" fontId="16" numFmtId="2" xfId="0" applyAlignment="1" applyFont="1" applyNumberFormat="1">
      <alignment horizontal="center" shrinkToFit="0" wrapText="1"/>
    </xf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horizontal="right" shrinkToFit="0" vertical="top" wrapText="1"/>
    </xf>
    <xf borderId="0" fillId="0" fontId="18" numFmtId="2" xfId="0" applyFont="1" applyNumberFormat="1"/>
    <xf borderId="0" fillId="0" fontId="16" numFmtId="2" xfId="0" applyAlignment="1" applyFont="1" applyNumberFormat="1">
      <alignment horizontal="center"/>
    </xf>
    <xf borderId="0" fillId="0" fontId="18" numFmtId="2" xfId="0" applyAlignment="1" applyFont="1" applyNumberFormat="1">
      <alignment vertical="top"/>
    </xf>
    <xf borderId="0" fillId="0" fontId="16" numFmtId="10" xfId="0" applyAlignment="1" applyFont="1" applyNumberFormat="1">
      <alignment horizontal="center"/>
    </xf>
    <xf borderId="0" fillId="0" fontId="18" numFmtId="10" xfId="0" applyAlignment="1" applyFont="1" applyNumberFormat="1">
      <alignment vertical="top"/>
    </xf>
    <xf borderId="1" fillId="11" fontId="17" numFmtId="0" xfId="0" applyAlignment="1" applyBorder="1" applyFont="1">
      <alignment horizontal="center" readingOrder="0" shrinkToFit="0" vertical="center" wrapText="1"/>
    </xf>
    <xf borderId="3" fillId="16" fontId="5" numFmtId="165" xfId="0" applyAlignment="1" applyBorder="1" applyFont="1" applyNumberFormat="1">
      <alignment horizontal="center" readingOrder="0" shrinkToFit="0" vertical="center" wrapText="1"/>
    </xf>
    <xf borderId="3" fillId="16" fontId="23" numFmtId="165" xfId="0" applyAlignment="1" applyBorder="1" applyFont="1" applyNumberFormat="1">
      <alignment horizontal="center" readingOrder="0" shrinkToFit="0" vertical="center" wrapText="1"/>
    </xf>
    <xf borderId="3" fillId="16" fontId="30" numFmtId="0" xfId="0" applyAlignment="1" applyBorder="1" applyFont="1">
      <alignment readingOrder="0" shrinkToFit="0" vertical="top" wrapText="1"/>
    </xf>
    <xf borderId="3" fillId="16" fontId="31" numFmtId="0" xfId="0" applyAlignment="1" applyBorder="1" applyFont="1">
      <alignment readingOrder="0" shrinkToFit="0" vertical="top" wrapText="1"/>
    </xf>
    <xf borderId="3" fillId="16" fontId="1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readingOrder="0" shrinkToFit="0" vertical="top" wrapText="1"/>
    </xf>
    <xf borderId="3" fillId="16" fontId="32" numFmtId="0" xfId="0" applyAlignment="1" applyBorder="1" applyFont="1">
      <alignment readingOrder="0" shrinkToFit="0" vertical="top" wrapText="1"/>
    </xf>
    <xf borderId="3" fillId="0" fontId="33" numFmtId="0" xfId="0" applyAlignment="1" applyBorder="1" applyFont="1">
      <alignment horizontal="left" readingOrder="0" shrinkToFit="0" vertical="top" wrapText="1"/>
    </xf>
    <xf borderId="14" fillId="16" fontId="34" numFmtId="0" xfId="0" applyAlignment="1" applyBorder="1" applyFont="1">
      <alignment readingOrder="0" shrinkToFit="0" vertical="top" wrapText="1"/>
    </xf>
    <xf borderId="3" fillId="18" fontId="33" numFmtId="0" xfId="0" applyAlignment="1" applyBorder="1" applyFont="1">
      <alignment readingOrder="0" shrinkToFit="0" vertical="top" wrapText="1"/>
    </xf>
    <xf borderId="3" fillId="0" fontId="35" numFmtId="0" xfId="0" applyAlignment="1" applyBorder="1" applyFont="1">
      <alignment readingOrder="0" shrinkToFit="0" vertical="top" wrapText="1"/>
    </xf>
    <xf borderId="14" fillId="14" fontId="29" numFmtId="0" xfId="0" applyAlignment="1" applyBorder="1" applyFont="1">
      <alignment vertical="top"/>
    </xf>
    <xf borderId="3" fillId="0" fontId="29" numFmtId="0" xfId="0" applyAlignment="1" applyBorder="1" applyFont="1">
      <alignment vertical="top"/>
    </xf>
    <xf borderId="3" fillId="22" fontId="25" numFmtId="0" xfId="0" applyAlignment="1" applyBorder="1" applyFill="1" applyFont="1">
      <alignment horizontal="center"/>
    </xf>
    <xf borderId="3" fillId="23" fontId="25" numFmtId="0" xfId="0" applyAlignment="1" applyBorder="1" applyFill="1" applyFont="1">
      <alignment horizontal="center"/>
    </xf>
    <xf borderId="3" fillId="14" fontId="29" numFmtId="0" xfId="0" applyBorder="1" applyFont="1"/>
    <xf borderId="3" fillId="14" fontId="29" numFmtId="0" xfId="0" applyAlignment="1" applyBorder="1" applyFont="1">
      <alignment vertical="top"/>
    </xf>
    <xf borderId="3" fillId="14" fontId="29" numFmtId="165" xfId="0" applyBorder="1" applyFont="1" applyNumberFormat="1"/>
    <xf borderId="3" fillId="24" fontId="25" numFmtId="0" xfId="0" applyAlignment="1" applyBorder="1" applyFill="1" applyFont="1">
      <alignment horizontal="center" shrinkToFit="0" wrapText="1"/>
    </xf>
    <xf borderId="0" fillId="0" fontId="29" numFmtId="0" xfId="0" applyFont="1"/>
    <xf borderId="3" fillId="16" fontId="36" numFmtId="0" xfId="0" applyAlignment="1" applyBorder="1" applyFont="1">
      <alignment readingOrder="0" shrinkToFit="0" vertical="top" wrapText="1"/>
    </xf>
    <xf borderId="3" fillId="16" fontId="37" numFmtId="0" xfId="0" applyAlignment="1" applyBorder="1" applyFont="1">
      <alignment readingOrder="0" shrinkToFit="0" vertical="top" wrapText="1"/>
    </xf>
    <xf borderId="3" fillId="16" fontId="38" numFmtId="0" xfId="0" applyAlignment="1" applyBorder="1" applyFont="1">
      <alignment readingOrder="0" shrinkToFit="0" vertical="top" wrapText="1"/>
    </xf>
    <xf borderId="0" fillId="0" fontId="39" numFmtId="0" xfId="0" applyAlignment="1" applyFont="1">
      <alignment horizontal="center" readingOrder="0"/>
    </xf>
    <xf borderId="3" fillId="16" fontId="40" numFmtId="0" xfId="0" applyAlignment="1" applyBorder="1" applyFont="1">
      <alignment readingOrder="0" shrinkToFit="0" vertical="top" wrapText="1"/>
    </xf>
    <xf borderId="3" fillId="25" fontId="39" numFmtId="0" xfId="0" applyAlignment="1" applyBorder="1" applyFill="1" applyFont="1">
      <alignment horizontal="center" readingOrder="0"/>
    </xf>
    <xf borderId="3" fillId="25" fontId="41" numFmtId="0" xfId="0" applyAlignment="1" applyBorder="1" applyFont="1">
      <alignment horizontal="center"/>
    </xf>
    <xf borderId="1" fillId="14" fontId="42" numFmtId="0" xfId="0" applyAlignment="1" applyBorder="1" applyFont="1">
      <alignment horizontal="center" readingOrder="0" vertical="center"/>
    </xf>
    <xf borderId="3" fillId="14" fontId="18" numFmtId="0" xfId="0" applyAlignment="1" applyBorder="1" applyFont="1">
      <alignment readingOrder="0"/>
    </xf>
    <xf borderId="3" fillId="0" fontId="18" numFmtId="0" xfId="0" applyAlignment="1" applyBorder="1" applyFont="1">
      <alignment readingOrder="0"/>
    </xf>
    <xf borderId="1" fillId="25" fontId="43" numFmtId="0" xfId="0" applyAlignment="1" applyBorder="1" applyFont="1">
      <alignment horizontal="center" readingOrder="0" vertical="center"/>
    </xf>
    <xf borderId="3" fillId="25" fontId="18" numFmtId="0" xfId="0" applyAlignment="1" applyBorder="1" applyFont="1">
      <alignment readingOrder="0"/>
    </xf>
    <xf borderId="3" fillId="17" fontId="33" numFmtId="0" xfId="0" applyAlignment="1" applyBorder="1" applyFont="1">
      <alignment horizontal="left" readingOrder="0" shrinkToFit="0" vertical="top" wrapText="1"/>
    </xf>
    <xf borderId="14" fillId="17" fontId="34" numFmtId="0" xfId="0" applyAlignment="1" applyBorder="1" applyFont="1">
      <alignment readingOrder="0" shrinkToFit="0" vertical="top" wrapText="1"/>
    </xf>
    <xf borderId="3" fillId="17" fontId="33" numFmtId="0" xfId="0" applyAlignment="1" applyBorder="1" applyFont="1">
      <alignment readingOrder="0" shrinkToFit="0" vertical="top" wrapText="1"/>
    </xf>
    <xf borderId="1" fillId="14" fontId="43" numFmtId="0" xfId="0" applyAlignment="1" applyBorder="1" applyFont="1">
      <alignment horizontal="center" readingOrder="0" vertical="center"/>
    </xf>
    <xf borderId="1" fillId="25" fontId="42" numFmtId="0" xfId="0" applyAlignment="1" applyBorder="1" applyFont="1">
      <alignment horizontal="center" readingOrder="0" vertical="center"/>
    </xf>
    <xf quotePrefix="1" borderId="3" fillId="0" fontId="44" numFmtId="0" xfId="0" applyAlignment="1" applyBorder="1" applyFont="1">
      <alignment readingOrder="0" shrinkToFit="0" vertical="top" wrapText="1"/>
    </xf>
    <xf borderId="3" fillId="14" fontId="42" numFmtId="0" xfId="0" applyAlignment="1" applyBorder="1" applyFont="1">
      <alignment horizontal="center" readingOrder="0" vertical="center"/>
    </xf>
    <xf borderId="3" fillId="16" fontId="1" numFmtId="0" xfId="0" applyAlignment="1" applyBorder="1" applyFont="1">
      <alignment readingOrder="0" shrinkToFit="0" vertical="top" wrapText="1"/>
    </xf>
    <xf borderId="3" fillId="0" fontId="19" numFmtId="0" xfId="0" applyAlignment="1" applyBorder="1" applyFont="1">
      <alignment readingOrder="0"/>
    </xf>
    <xf quotePrefix="1" borderId="3" fillId="14" fontId="5" numFmtId="0" xfId="0" applyAlignment="1" applyBorder="1" applyFont="1">
      <alignment readingOrder="0" shrinkToFit="0" vertical="top" wrapText="1"/>
    </xf>
    <xf borderId="3" fillId="16" fontId="45" numFmtId="0" xfId="0" applyAlignment="1" applyBorder="1" applyFont="1">
      <alignment readingOrder="0" shrinkToFit="0" vertical="top" wrapText="1"/>
    </xf>
    <xf borderId="0" fillId="26" fontId="18" numFmtId="0" xfId="0" applyAlignment="1" applyFill="1" applyFont="1">
      <alignment readingOrder="0"/>
    </xf>
    <xf borderId="0" fillId="27" fontId="18" numFmtId="0" xfId="0" applyAlignment="1" applyFill="1" applyFont="1">
      <alignment readingOrder="0"/>
    </xf>
    <xf borderId="0" fillId="28" fontId="18" numFmtId="0" xfId="0" applyAlignment="1" applyFill="1" applyFont="1">
      <alignment readingOrder="0"/>
    </xf>
    <xf borderId="0" fillId="20" fontId="18" numFmtId="0" xfId="0" applyAlignment="1" applyFont="1">
      <alignment readingOrder="0"/>
    </xf>
    <xf borderId="0" fillId="17" fontId="18" numFmtId="0" xfId="0" applyAlignment="1" applyFont="1">
      <alignment readingOrder="0"/>
    </xf>
    <xf borderId="0" fillId="18" fontId="18" numFmtId="0" xfId="0" applyAlignment="1" applyFont="1">
      <alignment readingOrder="0"/>
    </xf>
    <xf borderId="0" fillId="25" fontId="18" numFmtId="0" xfId="0" applyAlignment="1" applyFont="1">
      <alignment readingOrder="0"/>
    </xf>
    <xf borderId="0" fillId="25" fontId="19" numFmtId="0" xfId="0" applyFont="1"/>
    <xf borderId="3" fillId="13" fontId="1" numFmtId="0" xfId="0" applyAlignment="1" applyBorder="1" applyFont="1">
      <alignment horizontal="center" readingOrder="1" vertical="center"/>
    </xf>
    <xf borderId="3" fillId="13" fontId="1" numFmtId="0" xfId="0" applyAlignment="1" applyBorder="1" applyFont="1">
      <alignment horizontal="center" readingOrder="1" shrinkToFit="0" vertical="center" wrapText="1"/>
    </xf>
    <xf borderId="0" fillId="0" fontId="4" numFmtId="0" xfId="0" applyAlignment="1" applyFont="1">
      <alignment horizontal="center" vertical="center"/>
    </xf>
    <xf borderId="18" fillId="0" fontId="4" numFmtId="0" xfId="0" applyAlignment="1" applyBorder="1" applyFont="1">
      <alignment horizontal="center" readingOrder="1" vertical="center"/>
    </xf>
    <xf borderId="19" fillId="0" fontId="4" numFmtId="0" xfId="0" applyAlignment="1" applyBorder="1" applyFont="1">
      <alignment horizontal="center" readingOrder="1" vertical="center"/>
    </xf>
    <xf borderId="3" fillId="0" fontId="46" numFmtId="0" xfId="0" applyAlignment="1" applyBorder="1" applyFont="1">
      <alignment vertical="center"/>
    </xf>
    <xf borderId="3" fillId="0" fontId="46" numFmtId="165" xfId="0" applyAlignment="1" applyBorder="1" applyFont="1" applyNumberFormat="1">
      <alignment horizontal="center" vertical="center"/>
    </xf>
    <xf borderId="3" fillId="0" fontId="46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vertical="center"/>
    </xf>
    <xf borderId="3" fillId="14" fontId="4" numFmtId="0" xfId="0" applyAlignment="1" applyBorder="1" applyFont="1">
      <alignment horizontal="center" shrinkToFit="0" vertical="center" wrapText="1"/>
    </xf>
    <xf borderId="0" fillId="0" fontId="46" numFmtId="0" xfId="0" applyAlignment="1" applyFont="1">
      <alignment vertical="center"/>
    </xf>
    <xf borderId="3" fillId="29" fontId="47" numFmtId="0" xfId="0" applyAlignment="1" applyBorder="1" applyFill="1" applyFont="1">
      <alignment horizontal="center"/>
    </xf>
    <xf borderId="20" fillId="29" fontId="47" numFmtId="0" xfId="0" applyAlignment="1" applyBorder="1" applyFont="1">
      <alignment horizontal="center"/>
    </xf>
    <xf borderId="0" fillId="0" fontId="46" numFmtId="0" xfId="0" applyFont="1"/>
    <xf borderId="21" fillId="29" fontId="47" numFmtId="0" xfId="0" applyAlignment="1" applyBorder="1" applyFont="1">
      <alignment horizontal="center" shrinkToFit="0" wrapText="1"/>
    </xf>
    <xf borderId="3" fillId="29" fontId="47" numFmtId="0" xfId="0" applyAlignment="1" applyBorder="1" applyFont="1">
      <alignment horizontal="center" vertical="center"/>
    </xf>
    <xf borderId="22" fillId="29" fontId="47" numFmtId="0" xfId="0" applyAlignment="1" applyBorder="1" applyFont="1">
      <alignment horizontal="left" vertical="top"/>
    </xf>
    <xf borderId="23" fillId="29" fontId="47" numFmtId="0" xfId="0" applyAlignment="1" applyBorder="1" applyFont="1">
      <alignment horizontal="left" vertical="top"/>
    </xf>
    <xf borderId="13" fillId="0" fontId="48" numFmtId="0" xfId="0" applyAlignment="1" applyBorder="1" applyFont="1">
      <alignment horizontal="center" vertical="top"/>
    </xf>
    <xf borderId="3" fillId="0" fontId="49" numFmtId="0" xfId="0" applyAlignment="1" applyBorder="1" applyFont="1">
      <alignment readingOrder="0" vertical="top"/>
    </xf>
    <xf borderId="13" fillId="0" fontId="50" numFmtId="0" xfId="0" applyAlignment="1" applyBorder="1" applyFont="1">
      <alignment readingOrder="0" shrinkToFit="0" wrapText="1"/>
    </xf>
    <xf borderId="3" fillId="0" fontId="29" numFmtId="0" xfId="0" applyAlignment="1" applyBorder="1" applyFont="1">
      <alignment horizontal="center" shrinkToFit="0" vertical="center" wrapText="1"/>
    </xf>
    <xf borderId="5" fillId="0" fontId="29" numFmtId="0" xfId="0" applyAlignment="1" applyBorder="1" applyFont="1">
      <alignment horizontal="left" vertical="top"/>
    </xf>
    <xf borderId="0" fillId="0" fontId="29" numFmtId="0" xfId="0" applyAlignment="1" applyFont="1">
      <alignment horizontal="left" vertical="top"/>
    </xf>
    <xf borderId="1" fillId="0" fontId="51" numFmtId="0" xfId="0" applyAlignment="1" applyBorder="1" applyFont="1">
      <alignment horizontal="center" readingOrder="0" vertical="top"/>
    </xf>
    <xf borderId="1" fillId="0" fontId="52" numFmtId="0" xfId="0" applyAlignment="1" applyBorder="1" applyFont="1">
      <alignment readingOrder="0" vertical="top"/>
    </xf>
    <xf borderId="24" fillId="0" fontId="49" numFmtId="0" xfId="0" applyAlignment="1" applyBorder="1" applyFont="1">
      <alignment readingOrder="0" shrinkToFit="0" vertical="top" wrapText="1"/>
    </xf>
    <xf borderId="20" fillId="30" fontId="29" numFmtId="0" xfId="0" applyAlignment="1" applyBorder="1" applyFill="1" applyFont="1">
      <alignment horizontal="center" vertical="center"/>
    </xf>
    <xf borderId="2" fillId="0" fontId="29" numFmtId="0" xfId="0" applyAlignment="1" applyBorder="1" applyFont="1">
      <alignment horizontal="left" vertical="top"/>
    </xf>
    <xf borderId="3" fillId="0" fontId="29" numFmtId="0" xfId="0" applyBorder="1" applyFont="1"/>
    <xf borderId="3" fillId="0" fontId="53" numFmtId="0" xfId="0" applyAlignment="1" applyBorder="1" applyFont="1">
      <alignment shrinkToFit="0" wrapText="1"/>
    </xf>
    <xf borderId="3" fillId="0" fontId="29" numFmtId="0" xfId="0" applyAlignment="1" applyBorder="1" applyFont="1">
      <alignment horizontal="center" vertical="center"/>
    </xf>
    <xf borderId="3" fillId="0" fontId="29" numFmtId="0" xfId="0" applyAlignment="1" applyBorder="1" applyFont="1">
      <alignment horizontal="left" vertical="top"/>
    </xf>
    <xf borderId="0" fillId="0" fontId="53" numFmtId="0" xfId="0" applyAlignment="1" applyFont="1">
      <alignment shrinkToFit="0" wrapText="1"/>
    </xf>
    <xf borderId="0" fillId="0" fontId="29" numFmtId="0" xfId="0" applyAlignment="1" applyFont="1">
      <alignment shrinkToFit="0" wrapText="1"/>
    </xf>
    <xf borderId="0" fillId="0" fontId="54" numFmtId="0" xfId="0" applyAlignment="1" applyFont="1">
      <alignment horizontal="center" vertical="center"/>
    </xf>
    <xf borderId="3" fillId="19" fontId="18" numFmtId="0" xfId="0" applyAlignment="1" applyBorder="1" applyFont="1">
      <alignment horizontal="center" readingOrder="0"/>
    </xf>
    <xf borderId="3" fillId="0" fontId="18" numFmtId="0" xfId="0" applyAlignment="1" applyBorder="1" applyFont="1">
      <alignment horizontal="center" readingOrder="0" vertical="center"/>
    </xf>
    <xf borderId="3" fillId="0" fontId="18" numFmtId="0" xfId="0" applyAlignment="1" applyBorder="1" applyFont="1">
      <alignment readingOrder="0" vertical="center"/>
    </xf>
    <xf borderId="3" fillId="0" fontId="19" numFmtId="0" xfId="0" applyAlignment="1" applyBorder="1" applyFont="1">
      <alignment vertical="center"/>
    </xf>
    <xf borderId="3" fillId="0" fontId="19" numFmtId="0" xfId="0" applyAlignment="1" applyBorder="1" applyFont="1">
      <alignment horizontal="center" vertical="center"/>
    </xf>
  </cellXfs>
  <cellStyles count="1">
    <cellStyle xfId="0" name="Normal" builtinId="0"/>
  </cellStyles>
  <dxfs count="29"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999999"/>
          <bgColor rgb="FF999999"/>
        </patternFill>
      </fill>
      <border/>
    </dxf>
    <dxf>
      <font>
        <color rgb="FF006100"/>
      </font>
      <fill>
        <patternFill patternType="solid">
          <fgColor rgb="FFCAEDFB"/>
          <bgColor rgb="FFCAEDFB"/>
        </patternFill>
      </fill>
      <border/>
    </dxf>
    <dxf>
      <font>
        <color rgb="FF9C0006"/>
      </font>
      <fill>
        <patternFill patternType="solid">
          <fgColor rgb="FFFAE2D5"/>
          <bgColor rgb="FFFAE2D5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theme="1"/>
      </font>
      <fill>
        <patternFill patternType="solid">
          <fgColor rgb="FFD9F2D0"/>
          <bgColor rgb="FFD9F2D0"/>
        </patternFill>
      </fill>
      <border/>
    </dxf>
    <dxf>
      <font>
        <color theme="1"/>
      </font>
      <fill>
        <patternFill patternType="solid">
          <fgColor rgb="FFFAE2D5"/>
          <bgColor rgb="FFFAE2D5"/>
        </patternFill>
      </fill>
      <border/>
    </dxf>
    <dxf>
      <font>
        <color theme="1"/>
      </font>
      <fill>
        <patternFill patternType="solid">
          <fgColor rgb="FFFFA72B"/>
          <bgColor rgb="FFFFA72B"/>
        </patternFill>
      </fill>
      <border/>
    </dxf>
    <dxf>
      <font>
        <color theme="1"/>
      </font>
      <fill>
        <patternFill patternType="solid">
          <fgColor rgb="FF63CEFF"/>
          <bgColor rgb="FF63CEFF"/>
        </patternFill>
      </fill>
      <border/>
    </dxf>
    <dxf>
      <font>
        <color theme="1"/>
      </font>
      <fill>
        <patternFill patternType="solid">
          <fgColor rgb="FFFFFF8F"/>
          <bgColor rgb="FFFFFF8F"/>
        </patternFill>
      </fill>
      <border/>
    </dxf>
    <dxf>
      <font/>
      <fill>
        <patternFill patternType="solid">
          <fgColor rgb="FFCE8FFF"/>
          <bgColor rgb="FFCE8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>
        <color rgb="FF0C0C0C"/>
      </font>
      <fill>
        <patternFill patternType="solid">
          <fgColor rgb="FFBFBFBF"/>
          <bgColor rgb="FFBFBFBF"/>
        </patternFill>
      </fill>
      <border/>
    </dxf>
    <dxf>
      <font>
        <color rgb="FF275317"/>
      </font>
      <fill>
        <patternFill patternType="solid">
          <fgColor rgb="FFD9F2D0"/>
          <bgColor rgb="FFD9F2D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B0E6FF"/>
          <bgColor rgb="FFB0E6FF"/>
        </patternFill>
      </fill>
      <border/>
    </dxf>
    <dxf>
      <font>
        <color theme="1"/>
      </font>
      <fill>
        <patternFill patternType="solid">
          <fgColor rgb="FFC1F1C8"/>
          <bgColor rgb="FFC1F1C8"/>
        </patternFill>
      </fill>
      <border/>
    </dxf>
    <dxf>
      <font>
        <color theme="1"/>
      </font>
      <fill>
        <patternFill patternType="solid">
          <fgColor rgb="FFF1CEEE"/>
          <bgColor rgb="FFF1CEEE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95DCF7"/>
          <bgColor rgb="FF95DCF7"/>
        </patternFill>
      </fill>
      <border/>
    </dxf>
    <dxf>
      <font>
        <color theme="1"/>
      </font>
      <fill>
        <patternFill patternType="solid">
          <fgColor rgb="FFD0D0D0"/>
          <bgColor rgb="FFD0D0D0"/>
        </patternFill>
      </fill>
      <border/>
    </dxf>
    <dxf>
      <font>
        <color theme="1"/>
      </font>
      <fill>
        <patternFill patternType="solid">
          <fgColor rgb="FFF5C6AC"/>
          <bgColor rgb="FFF5C6AC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c/9qRGckij" TargetMode="External"/><Relationship Id="rId2" Type="http://schemas.openxmlformats.org/officeDocument/2006/relationships/hyperlink" Target="https://trello.com/c/mJi7vaRw" TargetMode="External"/><Relationship Id="rId3" Type="http://schemas.openxmlformats.org/officeDocument/2006/relationships/hyperlink" Target="https://trello.com/c/mJi7vaRw" TargetMode="External"/><Relationship Id="rId4" Type="http://schemas.openxmlformats.org/officeDocument/2006/relationships/hyperlink" Target="https://trello.com/c/yeRwMM9h" TargetMode="External"/><Relationship Id="rId5" Type="http://schemas.openxmlformats.org/officeDocument/2006/relationships/hyperlink" Target="https://trello.com/c/yeRwMM9h" TargetMode="External"/><Relationship Id="rId6" Type="http://schemas.openxmlformats.org/officeDocument/2006/relationships/hyperlink" Target="https://trello.com/c/m7RByaJx" TargetMode="External"/><Relationship Id="rId7" Type="http://schemas.openxmlformats.org/officeDocument/2006/relationships/hyperlink" Target="https://trello.com/c/9Yjh6hNr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://1.it/" TargetMode="External"/><Relationship Id="rId11" Type="http://schemas.openxmlformats.org/officeDocument/2006/relationships/hyperlink" Target="https://trello.com/c/IRmi1OCh" TargetMode="External"/><Relationship Id="rId22" Type="http://schemas.openxmlformats.org/officeDocument/2006/relationships/drawing" Target="../drawings/drawing10.xml"/><Relationship Id="rId10" Type="http://schemas.openxmlformats.org/officeDocument/2006/relationships/hyperlink" Target="https://trello.com/c/IRmi1OCh" TargetMode="External"/><Relationship Id="rId21" Type="http://schemas.openxmlformats.org/officeDocument/2006/relationships/hyperlink" Target="https://trello.com/c/dXeELzgV" TargetMode="External"/><Relationship Id="rId13" Type="http://schemas.openxmlformats.org/officeDocument/2006/relationships/hyperlink" Target="https://trello.com/c/0NJMwy16" TargetMode="External"/><Relationship Id="rId12" Type="http://schemas.openxmlformats.org/officeDocument/2006/relationships/hyperlink" Target="https://trello.com/c/vv6h46ps" TargetMode="External"/><Relationship Id="rId1" Type="http://schemas.openxmlformats.org/officeDocument/2006/relationships/hyperlink" Target="https://trello.com/c/kx1St2Of" TargetMode="External"/><Relationship Id="rId2" Type="http://schemas.openxmlformats.org/officeDocument/2006/relationships/hyperlink" Target="https://trello.com/c/ReqkQfAP" TargetMode="External"/><Relationship Id="rId3" Type="http://schemas.openxmlformats.org/officeDocument/2006/relationships/hyperlink" Target="https://trello.com/c/E6hhh0hT" TargetMode="External"/><Relationship Id="rId4" Type="http://schemas.openxmlformats.org/officeDocument/2006/relationships/hyperlink" Target="https://trello.com/c/E6hhh0hT" TargetMode="External"/><Relationship Id="rId9" Type="http://schemas.openxmlformats.org/officeDocument/2006/relationships/hyperlink" Target="https://trello.com/c/IRmi1OCh" TargetMode="External"/><Relationship Id="rId15" Type="http://schemas.openxmlformats.org/officeDocument/2006/relationships/hyperlink" Target="http://1.it/" TargetMode="External"/><Relationship Id="rId14" Type="http://schemas.openxmlformats.org/officeDocument/2006/relationships/hyperlink" Target="https://trello.com/c/YfM3nMA3" TargetMode="External"/><Relationship Id="rId17" Type="http://schemas.openxmlformats.org/officeDocument/2006/relationships/hyperlink" Target="http://1.it/" TargetMode="External"/><Relationship Id="rId16" Type="http://schemas.openxmlformats.org/officeDocument/2006/relationships/hyperlink" Target="https://trello.com/c/bMzBj3TH" TargetMode="External"/><Relationship Id="rId5" Type="http://schemas.openxmlformats.org/officeDocument/2006/relationships/hyperlink" Target="https://trello.com/c/IRmi1OCh" TargetMode="External"/><Relationship Id="rId19" Type="http://schemas.openxmlformats.org/officeDocument/2006/relationships/hyperlink" Target="http://1.it/" TargetMode="External"/><Relationship Id="rId6" Type="http://schemas.openxmlformats.org/officeDocument/2006/relationships/hyperlink" Target="https://trello.com/c/IRmi1OCh" TargetMode="External"/><Relationship Id="rId18" Type="http://schemas.openxmlformats.org/officeDocument/2006/relationships/hyperlink" Target="http://1.it/" TargetMode="External"/><Relationship Id="rId7" Type="http://schemas.openxmlformats.org/officeDocument/2006/relationships/hyperlink" Target="https://trello.com/c/IRmi1OCh" TargetMode="External"/><Relationship Id="rId8" Type="http://schemas.openxmlformats.org/officeDocument/2006/relationships/hyperlink" Target="https://trello.com/c/IRmi1OCh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22.25"/>
    <col customWidth="1" min="2" max="3" width="25.0"/>
    <col customWidth="1" min="4" max="26" width="8.63"/>
  </cols>
  <sheetData>
    <row r="1">
      <c r="A1" s="1" t="s">
        <v>0</v>
      </c>
      <c r="B1" s="3"/>
      <c r="C1" s="4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4</v>
      </c>
      <c r="B2" s="11" t="s">
        <v>7</v>
      </c>
      <c r="C2" s="11" t="s">
        <v>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8" t="s">
        <v>12</v>
      </c>
      <c r="B3" s="22">
        <f>COUNTIF(Creator_Dee!$L:$L,A3)</f>
        <v>108</v>
      </c>
      <c r="C3" s="25">
        <f>IF(B3=0,0,B3/($B$10))</f>
        <v>0.9473684211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 t="s">
        <v>22</v>
      </c>
      <c r="B4" s="22">
        <f>COUNTIF(Creator_Dee!$L:$L,A4)</f>
        <v>6</v>
      </c>
      <c r="C4" s="25">
        <f>IF(B4=0,0,B4/($B$11-$B$9-$B$8))</f>
        <v>1</v>
      </c>
      <c r="D4" s="6"/>
      <c r="E4" s="3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8" t="s">
        <v>32</v>
      </c>
      <c r="B5" s="22">
        <f>COUNTIF(Creator_Dee!$L:$L,A5)</f>
        <v>0</v>
      </c>
      <c r="C5" s="25">
        <f t="shared" ref="C5:C7" si="1">IF(B5=0,0,B5/($B$11-$B$9))</f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8" t="s">
        <v>42</v>
      </c>
      <c r="B6" s="22">
        <f>COUNTIF(Creator_Dee!$L:$L,A6)</f>
        <v>0</v>
      </c>
      <c r="C6" s="25">
        <f t="shared" si="1"/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8" t="s">
        <v>43</v>
      </c>
      <c r="B7" s="22">
        <f>COUNTIF(Creator_Dee!$L:$L,A7)</f>
        <v>0</v>
      </c>
      <c r="C7" s="25">
        <f t="shared" si="1"/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8" t="s">
        <v>44</v>
      </c>
      <c r="B8" s="22">
        <f>COUNTIF(Creator_Dee!$L:$L,A8)</f>
        <v>0</v>
      </c>
      <c r="C8" s="25">
        <f t="shared" ref="C8:C9" si="2">IF(B8=0,0,B8/($B$11))</f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8" t="s">
        <v>47</v>
      </c>
      <c r="B9" s="22">
        <f>COUNTIF(Creator_Dee!$L:$L,A9)</f>
        <v>0</v>
      </c>
      <c r="C9" s="25">
        <f t="shared" si="2"/>
        <v>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8" t="s">
        <v>49</v>
      </c>
      <c r="B10" s="22">
        <f>SUM(B3:B9)</f>
        <v>114</v>
      </c>
      <c r="C10" s="6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8" t="s">
        <v>51</v>
      </c>
      <c r="B11" s="69">
        <f>SUM(B4:B9)</f>
        <v>6</v>
      </c>
      <c r="C11" s="71">
        <f>IF($B$11=0,0,$B$11/$B$10)</f>
        <v>0.05263157895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60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63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65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71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21" ht="15.75" customHeight="1">
      <c r="A21" s="1" t="s">
        <v>0</v>
      </c>
      <c r="B21" s="3"/>
      <c r="C21" s="4"/>
    </row>
    <row r="22" ht="15.75" customHeight="1">
      <c r="A22" s="11" t="s">
        <v>4</v>
      </c>
      <c r="B22" s="11" t="s">
        <v>7</v>
      </c>
      <c r="C22" s="11" t="s">
        <v>8</v>
      </c>
    </row>
    <row r="23" ht="15.75" customHeight="1">
      <c r="A23" s="18" t="s">
        <v>12</v>
      </c>
      <c r="B23" s="22">
        <f>COUNTIF(Income_Summary!$L:$L,A23)</f>
        <v>8</v>
      </c>
      <c r="C23" s="25">
        <f>IF(B23=0,0,B23/($B$30))</f>
        <v>0.5714285714</v>
      </c>
    </row>
    <row r="24" ht="15.75" customHeight="1">
      <c r="A24" s="18" t="s">
        <v>22</v>
      </c>
      <c r="B24" s="22">
        <f>COUNTIF(Creator_Dee!$L:$L,A24)</f>
        <v>6</v>
      </c>
      <c r="C24" s="25">
        <f>IF(B24=0,0,B24/($B$31-$B$29-$B$28))</f>
        <v>1</v>
      </c>
    </row>
    <row r="25" ht="15.75" customHeight="1">
      <c r="A25" s="18" t="s">
        <v>32</v>
      </c>
      <c r="B25" s="22">
        <f>COUNTIF(Creator_Dee!$L:$L,A25)</f>
        <v>0</v>
      </c>
      <c r="C25" s="25">
        <f t="shared" ref="C25:C27" si="3">IF(B25=0,0,B25/($B$31-$B$29))</f>
        <v>0</v>
      </c>
    </row>
    <row r="26" ht="15.75" customHeight="1">
      <c r="A26" s="18" t="s">
        <v>42</v>
      </c>
      <c r="B26" s="22">
        <f>COUNTIF(Creator_Dee!$L:$L,A26)</f>
        <v>0</v>
      </c>
      <c r="C26" s="25">
        <f t="shared" si="3"/>
        <v>0</v>
      </c>
    </row>
    <row r="27" ht="15.75" customHeight="1">
      <c r="A27" s="18" t="s">
        <v>43</v>
      </c>
      <c r="B27" s="22">
        <f>COUNTIF(Creator_Dee!$L:$L,A27)</f>
        <v>0</v>
      </c>
      <c r="C27" s="25">
        <f t="shared" si="3"/>
        <v>0</v>
      </c>
    </row>
    <row r="28" ht="15.75" customHeight="1">
      <c r="A28" s="18" t="s">
        <v>44</v>
      </c>
      <c r="B28" s="22">
        <f>COUNTIF(Creator_Dee!$L:$L,A28)</f>
        <v>0</v>
      </c>
      <c r="C28" s="25">
        <f t="shared" ref="C28:C29" si="4">IF(B28=0,0,B28/($B$31))</f>
        <v>0</v>
      </c>
    </row>
    <row r="29" ht="15.75" customHeight="1">
      <c r="A29" s="18" t="s">
        <v>47</v>
      </c>
      <c r="B29" s="22">
        <f>COUNTIF(Creator_Dee!$L:$L,A29)</f>
        <v>0</v>
      </c>
      <c r="C29" s="25">
        <f t="shared" si="4"/>
        <v>0</v>
      </c>
    </row>
    <row r="30" ht="15.75" customHeight="1">
      <c r="A30" s="18" t="s">
        <v>49</v>
      </c>
      <c r="B30" s="22">
        <f>SUM(B23:B29)</f>
        <v>14</v>
      </c>
      <c r="C30" s="68"/>
    </row>
    <row r="31" ht="15.75" customHeight="1">
      <c r="A31" s="18" t="s">
        <v>51</v>
      </c>
      <c r="B31" s="69">
        <f>SUM(B24:B29)</f>
        <v>6</v>
      </c>
      <c r="C31" s="71">
        <f>IF($B$11=0,0,$B$31/$B$30)</f>
        <v>0.4285714286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 B22">
    <cfRule type="cellIs" dxfId="0" priority="1" operator="equal">
      <formula>"PASS"</formula>
    </cfRule>
  </conditionalFormatting>
  <conditionalFormatting sqref="B2 B22">
    <cfRule type="cellIs" dxfId="1" priority="2" operator="equal">
      <formula>"Fail"</formula>
    </cfRule>
  </conditionalFormatting>
  <conditionalFormatting sqref="B2 B22">
    <cfRule type="cellIs" dxfId="2" priority="3" operator="equal">
      <formula>"Pending"</formula>
    </cfRule>
  </conditionalFormatting>
  <conditionalFormatting sqref="B2 B22">
    <cfRule type="cellIs" dxfId="3" priority="4" operator="equal">
      <formula>"N/A"</formula>
    </cfRule>
  </conditionalFormatting>
  <dataValidations>
    <dataValidation type="list" allowBlank="1" sqref="B2 B22">
      <formula1>"PASS,FAIL,In Progress,Blocked,Not Start,N/A,Defered"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2" max="2" width="29.25"/>
    <col customWidth="1" min="7" max="7" width="28.0"/>
  </cols>
  <sheetData>
    <row r="1">
      <c r="A1" s="2" t="s">
        <v>1</v>
      </c>
      <c r="B1" s="5" t="s">
        <v>2</v>
      </c>
      <c r="C1" s="8" t="s">
        <v>3</v>
      </c>
      <c r="D1" s="10"/>
      <c r="E1" s="8" t="s">
        <v>5</v>
      </c>
      <c r="F1" s="10"/>
      <c r="G1" s="14" t="s">
        <v>6</v>
      </c>
      <c r="H1" s="15" t="s">
        <v>9</v>
      </c>
      <c r="I1" s="15" t="s">
        <v>10</v>
      </c>
      <c r="J1" s="14" t="s">
        <v>11</v>
      </c>
      <c r="K1" s="14" t="s">
        <v>13</v>
      </c>
      <c r="L1" s="20" t="s">
        <v>14</v>
      </c>
      <c r="M1" s="21" t="s">
        <v>15</v>
      </c>
      <c r="N1" s="15" t="s">
        <v>16</v>
      </c>
      <c r="O1" s="24" t="s">
        <v>18</v>
      </c>
      <c r="P1" s="26" t="s">
        <v>19</v>
      </c>
      <c r="Q1" s="5" t="s">
        <v>20</v>
      </c>
      <c r="R1" s="29" t="s">
        <v>21</v>
      </c>
      <c r="S1" s="31" t="s">
        <v>23</v>
      </c>
      <c r="T1" s="33" t="s">
        <v>24</v>
      </c>
      <c r="U1" s="34" t="s">
        <v>25</v>
      </c>
      <c r="V1" s="36"/>
    </row>
    <row r="2" ht="108.0" customHeight="1">
      <c r="A2" s="38"/>
      <c r="B2" s="39"/>
      <c r="C2" s="41" t="s">
        <v>29</v>
      </c>
      <c r="D2" s="41" t="s">
        <v>31</v>
      </c>
      <c r="E2" s="41" t="s">
        <v>29</v>
      </c>
      <c r="F2" s="41" t="s">
        <v>31</v>
      </c>
      <c r="G2" s="39"/>
      <c r="H2" s="39"/>
      <c r="I2" s="39"/>
      <c r="J2" s="39"/>
      <c r="K2" s="39"/>
      <c r="L2" s="39"/>
      <c r="M2" s="39"/>
      <c r="N2" s="39"/>
      <c r="O2" s="39"/>
      <c r="P2" s="38"/>
      <c r="Q2" s="39"/>
      <c r="R2" s="39"/>
      <c r="S2" s="38"/>
      <c r="T2" s="39"/>
      <c r="U2" s="38"/>
      <c r="V2" s="42"/>
      <c r="W2" s="43"/>
      <c r="X2" s="43"/>
      <c r="Y2" s="43"/>
      <c r="Z2" s="43"/>
    </row>
    <row r="3">
      <c r="A3" s="44">
        <v>1.0</v>
      </c>
      <c r="B3" s="45" t="s">
        <v>41</v>
      </c>
      <c r="C3" s="47"/>
      <c r="D3" s="47"/>
      <c r="E3" s="47"/>
      <c r="F3" s="47"/>
      <c r="G3" s="50">
        <f>Creator_Dee!F220</f>
        <v>100</v>
      </c>
      <c r="H3" s="52">
        <f t="shared" ref="H3:H7" si="1">L3+M3</f>
        <v>6</v>
      </c>
      <c r="I3" s="52">
        <f>Creator_Dee!F217</f>
        <v>0</v>
      </c>
      <c r="J3" s="52">
        <f>Creator_Dee!F218</f>
        <v>0</v>
      </c>
      <c r="K3" s="52">
        <f>Creator_Dee!F219</f>
        <v>0</v>
      </c>
      <c r="L3" s="52">
        <f>Creator_Dee!F214</f>
        <v>6</v>
      </c>
      <c r="M3" s="52">
        <f>Creator_Dee!F215</f>
        <v>0</v>
      </c>
      <c r="N3" s="56">
        <f t="shared" ref="N3:N7" si="2">(H3+I3+K3)/G3</f>
        <v>0.06</v>
      </c>
      <c r="O3" s="59">
        <f t="shared" ref="O3:O8" si="3">L3/(G3-J3-K3)</f>
        <v>0.06</v>
      </c>
      <c r="P3" s="61">
        <f t="shared" ref="P3:P7" si="4">G3-H3-I3-J3-K3</f>
        <v>94</v>
      </c>
      <c r="Q3" s="62" t="s">
        <v>12</v>
      </c>
      <c r="R3" s="63" t="s">
        <v>12</v>
      </c>
      <c r="S3" s="64"/>
      <c r="T3" s="64"/>
      <c r="U3" s="65"/>
      <c r="V3" s="66"/>
    </row>
    <row r="4">
      <c r="A4" s="44">
        <v>2.0</v>
      </c>
      <c r="B4" s="45" t="s">
        <v>50</v>
      </c>
      <c r="C4" s="47"/>
      <c r="D4" s="47"/>
      <c r="E4" s="47"/>
      <c r="F4" s="67"/>
      <c r="G4" s="50">
        <f>Calendar!F120</f>
        <v>77</v>
      </c>
      <c r="H4" s="52">
        <f t="shared" si="1"/>
        <v>19</v>
      </c>
      <c r="I4" s="52">
        <f>Calendar!F117</f>
        <v>0</v>
      </c>
      <c r="J4" s="52">
        <f>Calendar!F118</f>
        <v>0</v>
      </c>
      <c r="K4" s="52">
        <f>Calendar!F119</f>
        <v>0</v>
      </c>
      <c r="L4" s="52">
        <f>Calendar!F114</f>
        <v>19</v>
      </c>
      <c r="M4" s="52">
        <f>Calendar!F115</f>
        <v>0</v>
      </c>
      <c r="N4" s="56">
        <f t="shared" si="2"/>
        <v>0.2467532468</v>
      </c>
      <c r="O4" s="59">
        <f t="shared" si="3"/>
        <v>0.2467532468</v>
      </c>
      <c r="P4" s="61">
        <f t="shared" si="4"/>
        <v>58</v>
      </c>
      <c r="Q4" s="62" t="s">
        <v>12</v>
      </c>
      <c r="R4" s="63" t="s">
        <v>12</v>
      </c>
      <c r="S4" s="64"/>
      <c r="T4" s="64"/>
      <c r="U4" s="65"/>
      <c r="V4" s="66"/>
    </row>
    <row r="5">
      <c r="A5" s="44">
        <v>3.0</v>
      </c>
      <c r="B5" s="45" t="s">
        <v>52</v>
      </c>
      <c r="C5" s="47"/>
      <c r="D5" s="47"/>
      <c r="E5" s="67"/>
      <c r="F5" s="67"/>
      <c r="G5" s="50">
        <f>User_Package!F118</f>
        <v>71</v>
      </c>
      <c r="H5" s="52">
        <f t="shared" si="1"/>
        <v>55</v>
      </c>
      <c r="I5" s="52">
        <f>User_Package!F115</f>
        <v>0</v>
      </c>
      <c r="J5" s="52">
        <f>User_Package!F116</f>
        <v>2</v>
      </c>
      <c r="K5" s="52">
        <f>User_Package!F117</f>
        <v>0</v>
      </c>
      <c r="L5" s="52">
        <f>User_Package!F112</f>
        <v>51</v>
      </c>
      <c r="M5" s="52">
        <f>User_Package!F113</f>
        <v>4</v>
      </c>
      <c r="N5" s="56">
        <f t="shared" si="2"/>
        <v>0.7746478873</v>
      </c>
      <c r="O5" s="59">
        <f t="shared" si="3"/>
        <v>0.7391304348</v>
      </c>
      <c r="P5" s="61">
        <f t="shared" si="4"/>
        <v>14</v>
      </c>
      <c r="Q5" s="62" t="s">
        <v>12</v>
      </c>
      <c r="R5" s="63" t="s">
        <v>12</v>
      </c>
      <c r="S5" s="64"/>
      <c r="T5" s="65"/>
      <c r="U5" s="64"/>
      <c r="V5" s="66"/>
    </row>
    <row r="6">
      <c r="A6" s="81">
        <v>4.0</v>
      </c>
      <c r="B6" s="83" t="s">
        <v>59</v>
      </c>
      <c r="C6" s="85"/>
      <c r="D6" s="85"/>
      <c r="E6" s="87"/>
      <c r="F6" s="87"/>
      <c r="G6" s="50">
        <f>Business_Profile!F46</f>
        <v>13</v>
      </c>
      <c r="H6" s="52">
        <f t="shared" si="1"/>
        <v>0</v>
      </c>
      <c r="I6" s="52">
        <f>Business_Profile!F47</f>
        <v>0</v>
      </c>
      <c r="J6" s="52">
        <f>Business_Profile!F48</f>
        <v>0</v>
      </c>
      <c r="K6" s="52">
        <f>Business_Profile!F49</f>
        <v>0</v>
      </c>
      <c r="L6" s="52">
        <f>Business_Profile!F44</f>
        <v>0</v>
      </c>
      <c r="M6" s="52">
        <f>Business_Profile!F45</f>
        <v>0</v>
      </c>
      <c r="N6" s="56">
        <f t="shared" si="2"/>
        <v>0</v>
      </c>
      <c r="O6" s="59">
        <f t="shared" si="3"/>
        <v>0</v>
      </c>
      <c r="P6" s="61">
        <f t="shared" si="4"/>
        <v>13</v>
      </c>
      <c r="Q6" s="62" t="s">
        <v>12</v>
      </c>
      <c r="R6" s="63" t="s">
        <v>12</v>
      </c>
      <c r="S6" s="64"/>
      <c r="T6" s="65"/>
      <c r="U6" s="64"/>
      <c r="V6" s="66"/>
    </row>
    <row r="7">
      <c r="A7" s="81">
        <v>5.0</v>
      </c>
      <c r="B7" s="83" t="s">
        <v>66</v>
      </c>
      <c r="C7" s="85"/>
      <c r="D7" s="85"/>
      <c r="E7" s="87"/>
      <c r="F7" s="87"/>
      <c r="G7" s="88">
        <f>Create_content!F86</f>
        <v>47</v>
      </c>
      <c r="H7" s="52">
        <f t="shared" si="1"/>
        <v>0</v>
      </c>
      <c r="I7" s="52">
        <f>Create_content!F87</f>
        <v>0</v>
      </c>
      <c r="J7" s="52">
        <f>Create_content!F88</f>
        <v>0</v>
      </c>
      <c r="K7" s="52">
        <f>Create_content!F89</f>
        <v>0</v>
      </c>
      <c r="L7" s="52">
        <f>Create_content!F84</f>
        <v>0</v>
      </c>
      <c r="M7" s="52">
        <f>Create_content!F85</f>
        <v>0</v>
      </c>
      <c r="N7" s="56">
        <f t="shared" si="2"/>
        <v>0</v>
      </c>
      <c r="O7" s="59">
        <f t="shared" si="3"/>
        <v>0</v>
      </c>
      <c r="P7" s="61">
        <f t="shared" si="4"/>
        <v>47</v>
      </c>
      <c r="Q7" s="62" t="s">
        <v>12</v>
      </c>
      <c r="R7" s="63" t="s">
        <v>12</v>
      </c>
      <c r="S7" s="64"/>
      <c r="T7" s="65"/>
      <c r="U7" s="64"/>
      <c r="V7" s="66"/>
    </row>
    <row r="8">
      <c r="A8" s="89" t="s">
        <v>77</v>
      </c>
      <c r="B8" s="90"/>
      <c r="C8" s="90"/>
      <c r="D8" s="90"/>
      <c r="E8" s="90"/>
      <c r="F8" s="39"/>
      <c r="G8" s="91">
        <f>SUM(G3:G5)</f>
        <v>248</v>
      </c>
      <c r="H8" s="91">
        <f>M8+L8</f>
        <v>80</v>
      </c>
      <c r="I8" s="91">
        <f t="shared" ref="I8:M8" si="5">SUM(I3:I5)</f>
        <v>0</v>
      </c>
      <c r="J8" s="91">
        <f t="shared" si="5"/>
        <v>2</v>
      </c>
      <c r="K8" s="91">
        <f t="shared" si="5"/>
        <v>0</v>
      </c>
      <c r="L8" s="91">
        <f t="shared" si="5"/>
        <v>76</v>
      </c>
      <c r="M8" s="91">
        <f t="shared" si="5"/>
        <v>4</v>
      </c>
      <c r="N8" s="93">
        <f>(H8+I8+J8+K8)/G8</f>
        <v>0.3306451613</v>
      </c>
      <c r="O8" s="94">
        <f t="shared" si="3"/>
        <v>0.3089430894</v>
      </c>
      <c r="P8" s="91">
        <f>SUM(P3:P5)</f>
        <v>166</v>
      </c>
      <c r="Q8" s="95"/>
      <c r="R8" s="96"/>
      <c r="S8" s="96"/>
      <c r="T8" s="96"/>
      <c r="U8" s="96"/>
      <c r="V8" s="66"/>
    </row>
    <row r="9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</row>
    <row r="10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</row>
    <row r="11">
      <c r="A11" s="98" t="s">
        <v>89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</row>
    <row r="12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99" t="s">
        <v>91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</row>
    <row r="13">
      <c r="A13" s="98" t="s">
        <v>94</v>
      </c>
      <c r="B13" s="100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</row>
    <row r="16">
      <c r="A16" s="98" t="s">
        <v>96</v>
      </c>
      <c r="B16" s="99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</row>
    <row r="17">
      <c r="A17" s="98" t="s">
        <v>98</v>
      </c>
      <c r="B17" s="99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</row>
    <row r="18">
      <c r="A18" s="98" t="s">
        <v>102</v>
      </c>
      <c r="B18" s="100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</row>
    <row r="19">
      <c r="A19" s="98" t="s">
        <v>40</v>
      </c>
      <c r="B19" s="10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</row>
  </sheetData>
  <mergeCells count="20">
    <mergeCell ref="A1:A2"/>
    <mergeCell ref="B1:B2"/>
    <mergeCell ref="C1:D1"/>
    <mergeCell ref="E1:F1"/>
    <mergeCell ref="G1:G2"/>
    <mergeCell ref="H1:H2"/>
    <mergeCell ref="I1:I2"/>
    <mergeCell ref="A8:F8"/>
    <mergeCell ref="Q1:Q2"/>
    <mergeCell ref="R1:R2"/>
    <mergeCell ref="S1:S2"/>
    <mergeCell ref="T1:T2"/>
    <mergeCell ref="U1:U2"/>
    <mergeCell ref="J1:J2"/>
    <mergeCell ref="K1:K2"/>
    <mergeCell ref="L1:L2"/>
    <mergeCell ref="M1:M2"/>
    <mergeCell ref="N1:N2"/>
    <mergeCell ref="O1:O2"/>
    <mergeCell ref="P1:P2"/>
  </mergeCells>
  <dataValidations>
    <dataValidation type="list" allowBlank="1" sqref="Q3:R7">
      <formula1>"Done,Fail,Pending,Not Start,On - Time,Deferred"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7.0"/>
    <col customWidth="1" min="2" max="2" width="74.63"/>
    <col customWidth="1" hidden="1" min="3" max="3" width="47.38"/>
    <col customWidth="1" hidden="1" min="4" max="4" width="55.0"/>
    <col customWidth="1" min="5" max="5" width="66.0"/>
    <col customWidth="1" min="6" max="6" width="9.88"/>
    <col customWidth="1" min="7" max="7" width="10.88"/>
    <col customWidth="1" hidden="1" min="8" max="8" width="30.13"/>
    <col customWidth="1" min="9" max="9" width="30.13"/>
    <col customWidth="1" hidden="1" min="10" max="10" width="30.13"/>
    <col customWidth="1" min="11" max="11" width="30.13"/>
    <col customWidth="1" min="12" max="12" width="31.25"/>
    <col customWidth="1" min="13" max="13" width="30.13"/>
    <col customWidth="1" min="14" max="20" width="8.63"/>
  </cols>
  <sheetData>
    <row r="1" ht="12.75" customHeight="1">
      <c r="B1" s="7" t="str">
        <f>HYPERLINK("#Document!A1", "Refer to sheet Document")</f>
        <v>Refer to sheet Document</v>
      </c>
      <c r="C1" s="9"/>
      <c r="D1" s="9"/>
      <c r="E1" s="9"/>
      <c r="F1" s="12"/>
      <c r="G1" s="13"/>
      <c r="H1" s="13"/>
      <c r="I1" s="13"/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</row>
    <row r="2">
      <c r="A2" s="17"/>
      <c r="B2" s="9"/>
      <c r="C2" s="19"/>
      <c r="D2" s="9"/>
      <c r="E2" s="9"/>
      <c r="F2" s="12"/>
      <c r="G2" s="13"/>
      <c r="H2" s="13"/>
      <c r="I2" s="13"/>
      <c r="J2" s="13"/>
      <c r="K2" s="13"/>
      <c r="L2" s="13"/>
      <c r="M2" s="16"/>
      <c r="N2" s="13"/>
      <c r="O2" s="13"/>
      <c r="P2" s="13"/>
      <c r="Q2" s="13"/>
      <c r="R2" s="13"/>
      <c r="S2" s="13"/>
      <c r="T2" s="13"/>
    </row>
    <row r="3">
      <c r="A3" s="23" t="s">
        <v>17</v>
      </c>
      <c r="B3" s="23">
        <f>COUNTIF(A13:A182,"TC_*")</f>
        <v>114</v>
      </c>
      <c r="C3" s="27"/>
      <c r="D3" s="27"/>
      <c r="E3" s="27"/>
      <c r="F3" s="28"/>
      <c r="G3" s="30"/>
      <c r="H3" s="30"/>
      <c r="I3" s="30"/>
      <c r="J3" s="30"/>
      <c r="K3" s="30"/>
      <c r="L3" s="30"/>
      <c r="M3" s="32"/>
      <c r="N3" s="13"/>
      <c r="O3" s="13"/>
      <c r="P3" s="13"/>
      <c r="Q3" s="13"/>
      <c r="R3" s="13"/>
      <c r="S3" s="13"/>
      <c r="T3" s="13"/>
    </row>
    <row r="4" ht="26.25" customHeight="1">
      <c r="A4" s="35" t="s">
        <v>26</v>
      </c>
      <c r="B4" s="35" t="s">
        <v>27</v>
      </c>
      <c r="C4" s="40" t="s">
        <v>28</v>
      </c>
      <c r="D4" s="35" t="s">
        <v>30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35" t="s">
        <v>38</v>
      </c>
      <c r="K4" s="35" t="s">
        <v>39</v>
      </c>
      <c r="L4" s="35" t="s">
        <v>40</v>
      </c>
      <c r="M4" s="35" t="s">
        <v>25</v>
      </c>
      <c r="N4" s="13"/>
      <c r="O4" s="13"/>
      <c r="P4" s="13"/>
      <c r="Q4" s="13"/>
      <c r="R4" s="13"/>
      <c r="S4" s="13"/>
      <c r="T4" s="13"/>
    </row>
    <row r="5" ht="39.0" customHeight="1">
      <c r="A5" s="46"/>
      <c r="B5" s="46"/>
      <c r="C5" s="48"/>
      <c r="D5" s="46"/>
      <c r="E5" s="46"/>
      <c r="F5" s="46"/>
      <c r="G5" s="46"/>
      <c r="H5" s="46"/>
      <c r="I5" s="46"/>
      <c r="J5" s="46"/>
      <c r="K5" s="46"/>
      <c r="L5" s="46"/>
      <c r="M5" s="46"/>
      <c r="N5" s="49"/>
      <c r="O5" s="49"/>
      <c r="P5" s="49"/>
      <c r="Q5" s="49"/>
      <c r="R5" s="49"/>
      <c r="S5" s="49"/>
      <c r="T5" s="49"/>
    </row>
    <row r="6" ht="42.0" customHeight="1">
      <c r="A6" s="46"/>
      <c r="B6" s="46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51"/>
      <c r="O6" s="51"/>
      <c r="P6" s="51"/>
      <c r="Q6" s="51"/>
      <c r="R6" s="51"/>
      <c r="S6" s="51"/>
      <c r="T6" s="51"/>
    </row>
    <row r="7" ht="58.5" customHeight="1">
      <c r="A7" s="46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51"/>
      <c r="O7" s="51"/>
      <c r="P7" s="51"/>
      <c r="Q7" s="51"/>
      <c r="R7" s="51"/>
      <c r="S7" s="51"/>
      <c r="T7" s="51"/>
    </row>
    <row r="8" ht="45.0" customHeight="1">
      <c r="A8" s="46"/>
      <c r="B8" s="46"/>
      <c r="C8" s="48"/>
      <c r="D8" s="46"/>
      <c r="E8" s="46"/>
      <c r="F8" s="46"/>
      <c r="G8" s="46"/>
      <c r="H8" s="46"/>
      <c r="I8" s="46"/>
      <c r="J8" s="46"/>
      <c r="K8" s="46"/>
      <c r="L8" s="46"/>
      <c r="M8" s="46"/>
      <c r="N8" s="51"/>
      <c r="O8" s="51"/>
      <c r="P8" s="51"/>
      <c r="Q8" s="51"/>
      <c r="R8" s="51"/>
      <c r="S8" s="51"/>
      <c r="T8" s="51"/>
    </row>
    <row r="9" ht="84.0" customHeight="1">
      <c r="A9" s="38"/>
      <c r="B9" s="38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1"/>
      <c r="O9" s="51"/>
      <c r="P9" s="51"/>
      <c r="Q9" s="51"/>
      <c r="R9" s="51"/>
      <c r="S9" s="51"/>
      <c r="T9" s="51"/>
    </row>
    <row r="10" ht="42.0" customHeight="1">
      <c r="A10" s="55" t="s">
        <v>46</v>
      </c>
      <c r="B10" s="10"/>
      <c r="C10" s="57"/>
      <c r="D10" s="58"/>
      <c r="E10" s="58"/>
      <c r="F10" s="58"/>
      <c r="G10" s="60"/>
      <c r="H10" s="60"/>
      <c r="I10" s="60"/>
      <c r="J10" s="60"/>
      <c r="K10" s="60"/>
      <c r="L10" s="60"/>
      <c r="M10" s="60"/>
      <c r="N10" s="49"/>
      <c r="O10" s="49"/>
      <c r="P10" s="49"/>
      <c r="Q10" s="49"/>
      <c r="R10" s="49"/>
      <c r="S10" s="49"/>
      <c r="T10" s="49"/>
    </row>
    <row r="11" ht="42.0" customHeight="1">
      <c r="A11" s="55" t="s">
        <v>48</v>
      </c>
      <c r="B11" s="10"/>
      <c r="C11" s="57"/>
      <c r="D11" s="58"/>
      <c r="E11" s="58"/>
      <c r="F11" s="58"/>
      <c r="G11" s="60"/>
      <c r="H11" s="60"/>
      <c r="I11" s="60"/>
      <c r="J11" s="60"/>
      <c r="K11" s="60"/>
      <c r="L11" s="60"/>
      <c r="M11" s="60"/>
      <c r="N11" s="49"/>
      <c r="O11" s="49"/>
      <c r="P11" s="49"/>
      <c r="Q11" s="49"/>
      <c r="R11" s="49"/>
      <c r="S11" s="49"/>
      <c r="T11" s="49"/>
    </row>
    <row r="12" ht="123.75" customHeight="1" outlineLevel="1">
      <c r="A12" s="70" t="str">
        <f t="shared" ref="A12:A19" si="1">"TC_Creator_Dee_"&amp;(ROW()-ROW($A$12)+1)</f>
        <v>TC_Creator_Dee_1</v>
      </c>
      <c r="B12" s="72" t="s">
        <v>53</v>
      </c>
      <c r="C12" s="73"/>
      <c r="D12" s="72"/>
      <c r="E12" s="74" t="s">
        <v>55</v>
      </c>
      <c r="F12" s="75" t="s">
        <v>56</v>
      </c>
      <c r="G12" s="76" t="s">
        <v>57</v>
      </c>
      <c r="H12" s="77"/>
      <c r="I12" s="79" t="s">
        <v>58</v>
      </c>
      <c r="J12" s="78"/>
      <c r="K12" s="80"/>
      <c r="L12" s="82" t="s">
        <v>22</v>
      </c>
      <c r="M12" s="84"/>
      <c r="N12" s="86"/>
      <c r="O12" s="86"/>
      <c r="P12" s="86"/>
      <c r="Q12" s="86"/>
      <c r="R12" s="86"/>
      <c r="S12" s="86"/>
      <c r="T12" s="86"/>
    </row>
    <row r="13" ht="123.75" customHeight="1" outlineLevel="1">
      <c r="A13" s="70" t="str">
        <f t="shared" si="1"/>
        <v>TC_Creator_Dee_2</v>
      </c>
      <c r="B13" s="72" t="s">
        <v>62</v>
      </c>
      <c r="C13" s="73"/>
      <c r="D13" s="72"/>
      <c r="E13" s="74" t="s">
        <v>64</v>
      </c>
      <c r="F13" s="75" t="s">
        <v>56</v>
      </c>
      <c r="G13" s="76" t="s">
        <v>57</v>
      </c>
      <c r="H13" s="77"/>
      <c r="I13" s="79" t="s">
        <v>58</v>
      </c>
      <c r="J13" s="78"/>
      <c r="K13" s="80"/>
      <c r="L13" s="82" t="s">
        <v>22</v>
      </c>
      <c r="M13" s="84"/>
      <c r="N13" s="86"/>
      <c r="O13" s="86"/>
      <c r="P13" s="86"/>
      <c r="Q13" s="86"/>
      <c r="R13" s="86"/>
      <c r="S13" s="86"/>
      <c r="T13" s="86"/>
    </row>
    <row r="14" ht="123.75" customHeight="1" outlineLevel="1">
      <c r="A14" s="70" t="str">
        <f t="shared" si="1"/>
        <v>TC_Creator_Dee_3</v>
      </c>
      <c r="B14" s="72" t="s">
        <v>69</v>
      </c>
      <c r="C14" s="73" t="s">
        <v>68</v>
      </c>
      <c r="D14" s="72"/>
      <c r="E14" s="74" t="s">
        <v>70</v>
      </c>
      <c r="F14" s="75" t="s">
        <v>56</v>
      </c>
      <c r="G14" s="76" t="s">
        <v>57</v>
      </c>
      <c r="H14" s="78"/>
      <c r="I14" s="79" t="s">
        <v>58</v>
      </c>
      <c r="J14" s="78"/>
      <c r="K14" s="80"/>
      <c r="L14" s="82" t="s">
        <v>22</v>
      </c>
      <c r="M14" s="84"/>
      <c r="N14" s="86"/>
      <c r="O14" s="86"/>
      <c r="P14" s="86"/>
      <c r="Q14" s="86"/>
      <c r="R14" s="86"/>
      <c r="S14" s="86"/>
      <c r="T14" s="86"/>
    </row>
    <row r="15" ht="123.75" customHeight="1" outlineLevel="1">
      <c r="A15" s="70" t="str">
        <f t="shared" si="1"/>
        <v>TC_Creator_Dee_4</v>
      </c>
      <c r="B15" s="72" t="s">
        <v>74</v>
      </c>
      <c r="C15" s="73" t="s">
        <v>68</v>
      </c>
      <c r="D15" s="72"/>
      <c r="E15" s="74" t="s">
        <v>73</v>
      </c>
      <c r="F15" s="75" t="s">
        <v>56</v>
      </c>
      <c r="G15" s="76" t="s">
        <v>57</v>
      </c>
      <c r="H15" s="78"/>
      <c r="I15" s="79" t="s">
        <v>58</v>
      </c>
      <c r="J15" s="78"/>
      <c r="K15" s="80"/>
      <c r="L15" s="82" t="s">
        <v>22</v>
      </c>
      <c r="M15" s="84"/>
      <c r="N15" s="86"/>
      <c r="O15" s="86"/>
      <c r="P15" s="86"/>
      <c r="Q15" s="86"/>
      <c r="R15" s="86"/>
      <c r="S15" s="86"/>
      <c r="T15" s="86"/>
    </row>
    <row r="16" ht="123.75" customHeight="1" outlineLevel="1">
      <c r="A16" s="70" t="str">
        <f t="shared" si="1"/>
        <v>TC_Creator_Dee_5</v>
      </c>
      <c r="B16" s="72" t="s">
        <v>78</v>
      </c>
      <c r="C16" s="73"/>
      <c r="D16" s="72"/>
      <c r="E16" s="74" t="s">
        <v>76</v>
      </c>
      <c r="F16" s="75" t="s">
        <v>56</v>
      </c>
      <c r="G16" s="76" t="s">
        <v>57</v>
      </c>
      <c r="H16" s="77"/>
      <c r="I16" s="79" t="s">
        <v>58</v>
      </c>
      <c r="J16" s="78"/>
      <c r="K16" s="80"/>
      <c r="L16" s="82" t="s">
        <v>22</v>
      </c>
      <c r="M16" s="84"/>
      <c r="N16" s="86"/>
      <c r="O16" s="86"/>
      <c r="P16" s="86"/>
      <c r="Q16" s="86"/>
      <c r="R16" s="86"/>
      <c r="S16" s="86"/>
      <c r="T16" s="86"/>
    </row>
    <row r="17" ht="123.75" customHeight="1" outlineLevel="1">
      <c r="A17" s="70" t="str">
        <f t="shared" si="1"/>
        <v>TC_Creator_Dee_6</v>
      </c>
      <c r="B17" s="72" t="s">
        <v>82</v>
      </c>
      <c r="C17" s="73" t="s">
        <v>68</v>
      </c>
      <c r="D17" s="72"/>
      <c r="E17" s="92" t="s">
        <v>80</v>
      </c>
      <c r="F17" s="75" t="s">
        <v>56</v>
      </c>
      <c r="G17" s="76" t="s">
        <v>57</v>
      </c>
      <c r="H17" s="78"/>
      <c r="I17" s="79" t="s">
        <v>58</v>
      </c>
      <c r="J17" s="78"/>
      <c r="K17" s="80"/>
      <c r="L17" s="82" t="s">
        <v>22</v>
      </c>
      <c r="M17" s="84"/>
      <c r="N17" s="86"/>
      <c r="O17" s="86"/>
      <c r="P17" s="86"/>
      <c r="Q17" s="86"/>
      <c r="R17" s="86"/>
      <c r="S17" s="86"/>
      <c r="T17" s="86"/>
    </row>
    <row r="18" ht="123.75" customHeight="1" outlineLevel="1">
      <c r="A18" s="70" t="str">
        <f t="shared" si="1"/>
        <v>TC_Creator_Dee_7</v>
      </c>
      <c r="B18" s="72" t="s">
        <v>87</v>
      </c>
      <c r="C18" s="73" t="s">
        <v>68</v>
      </c>
      <c r="D18" s="72"/>
      <c r="E18" s="92" t="s">
        <v>83</v>
      </c>
      <c r="F18" s="75" t="s">
        <v>56</v>
      </c>
      <c r="G18" s="76" t="s">
        <v>57</v>
      </c>
      <c r="H18" s="92" t="s">
        <v>84</v>
      </c>
      <c r="I18" s="77"/>
      <c r="J18" s="84"/>
      <c r="K18" s="80"/>
      <c r="L18" s="82" t="s">
        <v>12</v>
      </c>
      <c r="M18" s="84"/>
      <c r="N18" s="86"/>
      <c r="O18" s="86"/>
      <c r="P18" s="86"/>
      <c r="Q18" s="86"/>
      <c r="R18" s="86"/>
      <c r="S18" s="86"/>
      <c r="T18" s="86"/>
    </row>
    <row r="19" ht="123.75" customHeight="1" outlineLevel="1">
      <c r="A19" s="70" t="str">
        <f t="shared" si="1"/>
        <v>TC_Creator_Dee_8</v>
      </c>
      <c r="B19" s="72" t="s">
        <v>90</v>
      </c>
      <c r="C19" s="73" t="s">
        <v>68</v>
      </c>
      <c r="D19" s="72"/>
      <c r="E19" s="92" t="s">
        <v>86</v>
      </c>
      <c r="F19" s="75" t="s">
        <v>56</v>
      </c>
      <c r="G19" s="76" t="s">
        <v>57</v>
      </c>
      <c r="H19" s="78"/>
      <c r="I19" s="77"/>
      <c r="J19" s="84"/>
      <c r="K19" s="80"/>
      <c r="L19" s="82" t="s">
        <v>12</v>
      </c>
      <c r="M19" s="84"/>
      <c r="N19" s="86"/>
      <c r="O19" s="86"/>
      <c r="P19" s="86"/>
      <c r="Q19" s="86"/>
      <c r="R19" s="86"/>
      <c r="S19" s="86"/>
      <c r="T19" s="86"/>
    </row>
    <row r="20" ht="42.0" customHeight="1">
      <c r="A20" s="55" t="s">
        <v>93</v>
      </c>
      <c r="B20" s="10"/>
      <c r="C20" s="57"/>
      <c r="D20" s="58"/>
      <c r="E20" s="58"/>
      <c r="F20" s="58"/>
      <c r="G20" s="60"/>
      <c r="H20" s="60"/>
      <c r="I20" s="60"/>
      <c r="J20" s="60"/>
      <c r="K20" s="60"/>
      <c r="L20" s="60"/>
      <c r="M20" s="60"/>
      <c r="N20" s="49"/>
      <c r="O20" s="49"/>
      <c r="P20" s="49"/>
      <c r="Q20" s="49"/>
      <c r="R20" s="49"/>
      <c r="S20" s="49"/>
      <c r="T20" s="49"/>
    </row>
    <row r="21" ht="30.0" customHeight="1" outlineLevel="1">
      <c r="A21" s="101" t="s">
        <v>95</v>
      </c>
      <c r="B21" s="10"/>
      <c r="C21" s="102"/>
      <c r="D21" s="103"/>
      <c r="E21" s="103"/>
      <c r="F21" s="103"/>
      <c r="G21" s="104"/>
      <c r="H21" s="104"/>
      <c r="I21" s="104"/>
      <c r="J21" s="104"/>
      <c r="K21" s="104"/>
      <c r="L21" s="104"/>
      <c r="M21" s="104"/>
      <c r="N21" s="86"/>
      <c r="O21" s="86"/>
      <c r="P21" s="86"/>
      <c r="Q21" s="86"/>
      <c r="R21" s="86"/>
      <c r="S21" s="86"/>
      <c r="T21" s="86"/>
    </row>
    <row r="22" ht="123.75" customHeight="1" outlineLevel="1">
      <c r="A22" s="70" t="str">
        <f t="shared" ref="A22:A41" si="2">"TC_Creator_Dee_"&amp;(ROW()-ROW($A$12)+1-2)</f>
        <v>TC_Creator_Dee_9</v>
      </c>
      <c r="B22" s="72" t="s">
        <v>99</v>
      </c>
      <c r="C22" s="73"/>
      <c r="D22" s="72"/>
      <c r="E22" s="92" t="s">
        <v>100</v>
      </c>
      <c r="F22" s="75" t="s">
        <v>56</v>
      </c>
      <c r="G22" s="76" t="s">
        <v>101</v>
      </c>
      <c r="H22" s="77"/>
      <c r="I22" s="77"/>
      <c r="J22" s="78"/>
      <c r="K22" s="80"/>
      <c r="L22" s="82" t="s">
        <v>12</v>
      </c>
      <c r="M22" s="84"/>
      <c r="N22" s="86"/>
      <c r="O22" s="86"/>
      <c r="P22" s="86"/>
      <c r="Q22" s="86"/>
      <c r="R22" s="86"/>
      <c r="S22" s="86"/>
      <c r="T22" s="86"/>
    </row>
    <row r="23" ht="123.75" customHeight="1" outlineLevel="1">
      <c r="A23" s="70" t="str">
        <f t="shared" si="2"/>
        <v>TC_Creator_Dee_10</v>
      </c>
      <c r="B23" s="72" t="s">
        <v>105</v>
      </c>
      <c r="C23" s="73"/>
      <c r="D23" s="72"/>
      <c r="E23" s="92" t="s">
        <v>106</v>
      </c>
      <c r="F23" s="75" t="s">
        <v>56</v>
      </c>
      <c r="G23" s="76" t="s">
        <v>101</v>
      </c>
      <c r="H23" s="77"/>
      <c r="I23" s="77"/>
      <c r="J23" s="78"/>
      <c r="K23" s="80"/>
      <c r="L23" s="82" t="s">
        <v>12</v>
      </c>
      <c r="M23" s="84"/>
      <c r="N23" s="86"/>
      <c r="O23" s="86"/>
      <c r="P23" s="86"/>
      <c r="Q23" s="86"/>
      <c r="R23" s="86"/>
      <c r="S23" s="86"/>
      <c r="T23" s="86"/>
    </row>
    <row r="24" ht="123.75" customHeight="1" outlineLevel="1">
      <c r="A24" s="70" t="str">
        <f t="shared" si="2"/>
        <v>TC_Creator_Dee_11</v>
      </c>
      <c r="B24" s="72" t="s">
        <v>111</v>
      </c>
      <c r="C24" s="73" t="s">
        <v>68</v>
      </c>
      <c r="D24" s="72"/>
      <c r="E24" s="92" t="s">
        <v>113</v>
      </c>
      <c r="F24" s="76" t="s">
        <v>109</v>
      </c>
      <c r="G24" s="76" t="s">
        <v>101</v>
      </c>
      <c r="H24" s="78"/>
      <c r="I24" s="77"/>
      <c r="J24" s="78"/>
      <c r="K24" s="80"/>
      <c r="L24" s="82" t="s">
        <v>12</v>
      </c>
      <c r="M24" s="84"/>
      <c r="N24" s="86"/>
      <c r="O24" s="86"/>
      <c r="P24" s="86"/>
      <c r="Q24" s="86"/>
      <c r="R24" s="86"/>
      <c r="S24" s="86"/>
      <c r="T24" s="86"/>
    </row>
    <row r="25" ht="123.75" customHeight="1" outlineLevel="1">
      <c r="A25" s="70" t="str">
        <f t="shared" si="2"/>
        <v>TC_Creator_Dee_12</v>
      </c>
      <c r="B25" s="106" t="s">
        <v>115</v>
      </c>
      <c r="C25" s="73"/>
      <c r="D25" s="72"/>
      <c r="E25" s="92" t="s">
        <v>116</v>
      </c>
      <c r="F25" s="76" t="s">
        <v>56</v>
      </c>
      <c r="G25" s="76" t="s">
        <v>57</v>
      </c>
      <c r="H25" s="92" t="s">
        <v>118</v>
      </c>
      <c r="I25" s="77"/>
      <c r="J25" s="84"/>
      <c r="K25" s="80"/>
      <c r="L25" s="82" t="s">
        <v>12</v>
      </c>
      <c r="M25" s="84"/>
      <c r="N25" s="86"/>
      <c r="O25" s="86"/>
      <c r="P25" s="86"/>
      <c r="Q25" s="86"/>
      <c r="R25" s="86"/>
      <c r="S25" s="86"/>
      <c r="T25" s="86"/>
    </row>
    <row r="26" ht="123.75" customHeight="1" outlineLevel="1">
      <c r="A26" s="108" t="str">
        <f t="shared" si="2"/>
        <v>TC_Creator_Dee_13</v>
      </c>
      <c r="B26" s="72" t="s">
        <v>119</v>
      </c>
      <c r="C26" s="73"/>
      <c r="D26" s="72"/>
      <c r="E26" s="92" t="s">
        <v>121</v>
      </c>
      <c r="F26" s="76" t="s">
        <v>56</v>
      </c>
      <c r="G26" s="76" t="s">
        <v>57</v>
      </c>
      <c r="H26" s="78"/>
      <c r="I26" s="77"/>
      <c r="J26" s="84"/>
      <c r="K26" s="80"/>
      <c r="L26" s="82" t="s">
        <v>12</v>
      </c>
      <c r="M26" s="84"/>
      <c r="N26" s="86"/>
      <c r="O26" s="86"/>
      <c r="P26" s="86"/>
      <c r="Q26" s="86"/>
      <c r="R26" s="86"/>
      <c r="S26" s="86"/>
      <c r="T26" s="86"/>
    </row>
    <row r="27" ht="123.75" customHeight="1" outlineLevel="1">
      <c r="A27" s="70" t="str">
        <f t="shared" si="2"/>
        <v>TC_Creator_Dee_14</v>
      </c>
      <c r="B27" s="72" t="s">
        <v>123</v>
      </c>
      <c r="C27" s="73"/>
      <c r="D27" s="72"/>
      <c r="E27" s="92" t="s">
        <v>125</v>
      </c>
      <c r="F27" s="76" t="s">
        <v>109</v>
      </c>
      <c r="G27" s="76" t="s">
        <v>101</v>
      </c>
      <c r="H27" s="78"/>
      <c r="I27" s="77"/>
      <c r="J27" s="84"/>
      <c r="K27" s="80"/>
      <c r="L27" s="82" t="s">
        <v>12</v>
      </c>
      <c r="M27" s="84"/>
      <c r="N27" s="86"/>
      <c r="O27" s="86"/>
      <c r="P27" s="86"/>
      <c r="Q27" s="86"/>
      <c r="R27" s="86"/>
      <c r="S27" s="86"/>
      <c r="T27" s="86"/>
    </row>
    <row r="28" ht="123.75" customHeight="1" outlineLevel="1">
      <c r="A28" s="70" t="str">
        <f t="shared" si="2"/>
        <v>TC_Creator_Dee_15</v>
      </c>
      <c r="B28" s="72" t="s">
        <v>127</v>
      </c>
      <c r="C28" s="73"/>
      <c r="D28" s="72"/>
      <c r="E28" s="92" t="s">
        <v>129</v>
      </c>
      <c r="F28" s="76" t="s">
        <v>56</v>
      </c>
      <c r="G28" s="76" t="s">
        <v>57</v>
      </c>
      <c r="H28" s="78"/>
      <c r="I28" s="77"/>
      <c r="J28" s="84"/>
      <c r="K28" s="80"/>
      <c r="L28" s="82" t="s">
        <v>12</v>
      </c>
      <c r="M28" s="79" t="s">
        <v>131</v>
      </c>
      <c r="N28" s="86"/>
      <c r="O28" s="86"/>
      <c r="P28" s="86"/>
      <c r="Q28" s="86"/>
      <c r="R28" s="86"/>
      <c r="S28" s="86"/>
      <c r="T28" s="86"/>
    </row>
    <row r="29" ht="123.75" customHeight="1" outlineLevel="1">
      <c r="A29" s="108" t="str">
        <f t="shared" si="2"/>
        <v>TC_Creator_Dee_16</v>
      </c>
      <c r="B29" s="72" t="s">
        <v>132</v>
      </c>
      <c r="C29" s="73"/>
      <c r="D29" s="72"/>
      <c r="E29" s="92" t="s">
        <v>134</v>
      </c>
      <c r="F29" s="76" t="s">
        <v>56</v>
      </c>
      <c r="G29" s="76" t="s">
        <v>57</v>
      </c>
      <c r="H29" s="78"/>
      <c r="I29" s="77"/>
      <c r="J29" s="84"/>
      <c r="K29" s="80"/>
      <c r="L29" s="82" t="s">
        <v>12</v>
      </c>
      <c r="M29" s="79" t="s">
        <v>135</v>
      </c>
      <c r="N29" s="86"/>
      <c r="O29" s="86"/>
      <c r="P29" s="86"/>
      <c r="Q29" s="86"/>
      <c r="R29" s="86"/>
      <c r="S29" s="86"/>
      <c r="T29" s="86"/>
    </row>
    <row r="30" ht="123.75" customHeight="1" outlineLevel="1">
      <c r="A30" s="70" t="str">
        <f t="shared" si="2"/>
        <v>TC_Creator_Dee_17</v>
      </c>
      <c r="B30" s="72" t="s">
        <v>137</v>
      </c>
      <c r="C30" s="73"/>
      <c r="D30" s="72"/>
      <c r="E30" s="92" t="s">
        <v>138</v>
      </c>
      <c r="F30" s="76" t="s">
        <v>56</v>
      </c>
      <c r="G30" s="76" t="s">
        <v>57</v>
      </c>
      <c r="H30" s="78"/>
      <c r="I30" s="77"/>
      <c r="J30" s="84"/>
      <c r="K30" s="80"/>
      <c r="L30" s="82" t="s">
        <v>12</v>
      </c>
      <c r="M30" s="79" t="s">
        <v>139</v>
      </c>
      <c r="N30" s="86"/>
      <c r="O30" s="86"/>
      <c r="P30" s="86"/>
      <c r="Q30" s="86"/>
      <c r="R30" s="86"/>
      <c r="S30" s="86"/>
      <c r="T30" s="86"/>
    </row>
    <row r="31" ht="123.75" customHeight="1" outlineLevel="1">
      <c r="A31" s="70" t="str">
        <f t="shared" si="2"/>
        <v>TC_Creator_Dee_18</v>
      </c>
      <c r="B31" s="72" t="s">
        <v>147</v>
      </c>
      <c r="C31" s="73"/>
      <c r="D31" s="72"/>
      <c r="E31" s="92" t="s">
        <v>152</v>
      </c>
      <c r="F31" s="76" t="s">
        <v>56</v>
      </c>
      <c r="G31" s="76" t="s">
        <v>57</v>
      </c>
      <c r="H31" s="78"/>
      <c r="I31" s="77"/>
      <c r="J31" s="84"/>
      <c r="K31" s="80"/>
      <c r="L31" s="82" t="s">
        <v>12</v>
      </c>
      <c r="M31" s="79" t="s">
        <v>145</v>
      </c>
      <c r="N31" s="86"/>
      <c r="O31" s="86"/>
      <c r="P31" s="86"/>
      <c r="Q31" s="86"/>
      <c r="R31" s="86"/>
      <c r="S31" s="86"/>
      <c r="T31" s="86"/>
    </row>
    <row r="32" ht="123.75" customHeight="1" outlineLevel="1">
      <c r="A32" s="70" t="str">
        <f t="shared" si="2"/>
        <v>TC_Creator_Dee_19</v>
      </c>
      <c r="B32" s="72" t="s">
        <v>165</v>
      </c>
      <c r="C32" s="73"/>
      <c r="D32" s="72"/>
      <c r="E32" s="92" t="s">
        <v>170</v>
      </c>
      <c r="F32" s="76" t="s">
        <v>56</v>
      </c>
      <c r="G32" s="76" t="s">
        <v>57</v>
      </c>
      <c r="H32" s="78"/>
      <c r="I32" s="77"/>
      <c r="J32" s="84"/>
      <c r="K32" s="80"/>
      <c r="L32" s="82" t="s">
        <v>12</v>
      </c>
      <c r="M32" s="79" t="s">
        <v>161</v>
      </c>
      <c r="N32" s="86"/>
      <c r="O32" s="86"/>
      <c r="P32" s="86"/>
      <c r="Q32" s="86"/>
      <c r="R32" s="86"/>
      <c r="S32" s="86"/>
      <c r="T32" s="86"/>
    </row>
    <row r="33" ht="123.75" customHeight="1" outlineLevel="1">
      <c r="A33" s="70" t="str">
        <f t="shared" si="2"/>
        <v>TC_Creator_Dee_20</v>
      </c>
      <c r="B33" s="72" t="s">
        <v>176</v>
      </c>
      <c r="C33" s="73"/>
      <c r="D33" s="72"/>
      <c r="E33" s="92" t="s">
        <v>177</v>
      </c>
      <c r="F33" s="76" t="s">
        <v>56</v>
      </c>
      <c r="G33" s="76" t="s">
        <v>57</v>
      </c>
      <c r="H33" s="78"/>
      <c r="I33" s="77"/>
      <c r="J33" s="84"/>
      <c r="K33" s="80"/>
      <c r="L33" s="82" t="s">
        <v>12</v>
      </c>
      <c r="M33" s="79" t="s">
        <v>168</v>
      </c>
      <c r="N33" s="86"/>
      <c r="O33" s="86"/>
      <c r="P33" s="86"/>
      <c r="Q33" s="86"/>
      <c r="R33" s="86"/>
      <c r="S33" s="86"/>
      <c r="T33" s="86"/>
    </row>
    <row r="34" ht="123.75" customHeight="1" outlineLevel="1">
      <c r="A34" s="70" t="str">
        <f t="shared" si="2"/>
        <v>TC_Creator_Dee_21</v>
      </c>
      <c r="B34" s="72" t="s">
        <v>181</v>
      </c>
      <c r="C34" s="73"/>
      <c r="D34" s="72"/>
      <c r="E34" s="92" t="s">
        <v>183</v>
      </c>
      <c r="F34" s="76" t="s">
        <v>56</v>
      </c>
      <c r="G34" s="76" t="s">
        <v>57</v>
      </c>
      <c r="H34" s="78"/>
      <c r="I34" s="77"/>
      <c r="J34" s="84"/>
      <c r="K34" s="80"/>
      <c r="L34" s="82" t="s">
        <v>12</v>
      </c>
      <c r="M34" s="79" t="s">
        <v>175</v>
      </c>
      <c r="N34" s="86"/>
      <c r="O34" s="86"/>
      <c r="P34" s="86"/>
      <c r="Q34" s="86"/>
      <c r="R34" s="86"/>
      <c r="S34" s="86"/>
      <c r="T34" s="86"/>
    </row>
    <row r="35" ht="123.75" customHeight="1" outlineLevel="1">
      <c r="A35" s="70" t="str">
        <f t="shared" si="2"/>
        <v>TC_Creator_Dee_22</v>
      </c>
      <c r="B35" s="72" t="s">
        <v>187</v>
      </c>
      <c r="C35" s="73"/>
      <c r="D35" s="72"/>
      <c r="E35" s="92" t="s">
        <v>190</v>
      </c>
      <c r="F35" s="76" t="s">
        <v>56</v>
      </c>
      <c r="G35" s="76" t="s">
        <v>57</v>
      </c>
      <c r="H35" s="78"/>
      <c r="I35" s="77"/>
      <c r="J35" s="84"/>
      <c r="K35" s="80"/>
      <c r="L35" s="82" t="s">
        <v>12</v>
      </c>
      <c r="M35" s="79" t="s">
        <v>182</v>
      </c>
      <c r="N35" s="86"/>
      <c r="O35" s="86"/>
      <c r="P35" s="86"/>
      <c r="Q35" s="86"/>
      <c r="R35" s="86"/>
      <c r="S35" s="86"/>
      <c r="T35" s="86"/>
    </row>
    <row r="36" ht="123.75" customHeight="1" outlineLevel="1">
      <c r="A36" s="70" t="str">
        <f t="shared" si="2"/>
        <v>TC_Creator_Dee_23</v>
      </c>
      <c r="B36" s="72" t="s">
        <v>193</v>
      </c>
      <c r="C36" s="73"/>
      <c r="D36" s="72"/>
      <c r="E36" s="119" t="s">
        <v>196</v>
      </c>
      <c r="F36" s="76" t="s">
        <v>56</v>
      </c>
      <c r="G36" s="76" t="s">
        <v>57</v>
      </c>
      <c r="H36" s="78"/>
      <c r="I36" s="77"/>
      <c r="J36" s="84"/>
      <c r="K36" s="80"/>
      <c r="L36" s="82" t="s">
        <v>12</v>
      </c>
      <c r="M36" s="79" t="s">
        <v>186</v>
      </c>
      <c r="N36" s="86"/>
      <c r="O36" s="86"/>
      <c r="P36" s="86"/>
      <c r="Q36" s="86"/>
      <c r="R36" s="86"/>
      <c r="S36" s="86"/>
      <c r="T36" s="86"/>
    </row>
    <row r="37" ht="123.75" customHeight="1" outlineLevel="1">
      <c r="A37" s="120" t="str">
        <f t="shared" si="2"/>
        <v>TC_Creator_Dee_24</v>
      </c>
      <c r="B37" s="72" t="s">
        <v>200</v>
      </c>
      <c r="C37" s="73"/>
      <c r="D37" s="72"/>
      <c r="E37" s="92" t="s">
        <v>201</v>
      </c>
      <c r="F37" s="76" t="s">
        <v>56</v>
      </c>
      <c r="G37" s="76" t="s">
        <v>101</v>
      </c>
      <c r="H37" s="78"/>
      <c r="I37" s="77"/>
      <c r="J37" s="84"/>
      <c r="K37" s="80"/>
      <c r="L37" s="82" t="s">
        <v>12</v>
      </c>
      <c r="M37" s="84"/>
      <c r="N37" s="86"/>
      <c r="O37" s="86"/>
      <c r="P37" s="86"/>
      <c r="Q37" s="86"/>
      <c r="R37" s="86"/>
      <c r="S37" s="86"/>
      <c r="T37" s="86"/>
    </row>
    <row r="38" ht="123.75" customHeight="1" outlineLevel="1">
      <c r="A38" s="120" t="str">
        <f t="shared" si="2"/>
        <v>TC_Creator_Dee_25</v>
      </c>
      <c r="B38" s="72" t="s">
        <v>203</v>
      </c>
      <c r="C38" s="73"/>
      <c r="D38" s="72"/>
      <c r="E38" s="92" t="s">
        <v>204</v>
      </c>
      <c r="F38" s="76" t="s">
        <v>56</v>
      </c>
      <c r="G38" s="76" t="s">
        <v>101</v>
      </c>
      <c r="H38" s="78"/>
      <c r="I38" s="77"/>
      <c r="J38" s="84"/>
      <c r="K38" s="80"/>
      <c r="L38" s="82" t="s">
        <v>12</v>
      </c>
      <c r="M38" s="84"/>
      <c r="N38" s="86"/>
      <c r="O38" s="86"/>
      <c r="P38" s="86"/>
      <c r="Q38" s="86"/>
      <c r="R38" s="86"/>
      <c r="S38" s="86"/>
      <c r="T38" s="86"/>
    </row>
    <row r="39" ht="123.75" customHeight="1" outlineLevel="1">
      <c r="A39" s="120" t="str">
        <f t="shared" si="2"/>
        <v>TC_Creator_Dee_26</v>
      </c>
      <c r="B39" s="72" t="s">
        <v>206</v>
      </c>
      <c r="C39" s="73"/>
      <c r="D39" s="72"/>
      <c r="E39" s="92" t="s">
        <v>208</v>
      </c>
      <c r="F39" s="76" t="s">
        <v>56</v>
      </c>
      <c r="G39" s="76" t="s">
        <v>101</v>
      </c>
      <c r="H39" s="78"/>
      <c r="I39" s="77"/>
      <c r="J39" s="84"/>
      <c r="K39" s="80"/>
      <c r="L39" s="82" t="s">
        <v>12</v>
      </c>
      <c r="M39" s="84"/>
      <c r="N39" s="86"/>
      <c r="O39" s="86"/>
      <c r="P39" s="86"/>
      <c r="Q39" s="86"/>
      <c r="R39" s="86"/>
      <c r="S39" s="86"/>
      <c r="T39" s="86"/>
    </row>
    <row r="40" ht="123.75" customHeight="1" outlineLevel="1">
      <c r="A40" s="70" t="str">
        <f t="shared" si="2"/>
        <v>TC_Creator_Dee_27</v>
      </c>
      <c r="B40" s="72" t="s">
        <v>209</v>
      </c>
      <c r="C40" s="73"/>
      <c r="D40" s="72"/>
      <c r="E40" s="92" t="s">
        <v>207</v>
      </c>
      <c r="F40" s="76" t="s">
        <v>56</v>
      </c>
      <c r="G40" s="76" t="s">
        <v>101</v>
      </c>
      <c r="H40" s="78"/>
      <c r="I40" s="77"/>
      <c r="J40" s="84"/>
      <c r="K40" s="80"/>
      <c r="L40" s="82" t="s">
        <v>12</v>
      </c>
      <c r="M40" s="84"/>
      <c r="N40" s="86"/>
      <c r="O40" s="86"/>
      <c r="P40" s="86"/>
      <c r="Q40" s="86"/>
      <c r="R40" s="86"/>
      <c r="S40" s="86"/>
      <c r="T40" s="86"/>
    </row>
    <row r="41" ht="123.75" customHeight="1" outlineLevel="1">
      <c r="A41" s="70" t="str">
        <f t="shared" si="2"/>
        <v>TC_Creator_Dee_28</v>
      </c>
      <c r="B41" s="72" t="s">
        <v>212</v>
      </c>
      <c r="C41" s="73"/>
      <c r="D41" s="72"/>
      <c r="E41" s="92" t="s">
        <v>213</v>
      </c>
      <c r="F41" s="76" t="s">
        <v>109</v>
      </c>
      <c r="G41" s="76" t="s">
        <v>214</v>
      </c>
      <c r="H41" s="78"/>
      <c r="I41" s="77"/>
      <c r="J41" s="84"/>
      <c r="K41" s="80"/>
      <c r="L41" s="82" t="s">
        <v>12</v>
      </c>
      <c r="M41" s="84"/>
      <c r="N41" s="86"/>
      <c r="O41" s="86"/>
      <c r="P41" s="86"/>
      <c r="Q41" s="86"/>
      <c r="R41" s="86"/>
      <c r="S41" s="86"/>
      <c r="T41" s="86"/>
    </row>
    <row r="42" ht="42.75" customHeight="1" outlineLevel="1">
      <c r="A42" s="101" t="s">
        <v>216</v>
      </c>
      <c r="B42" s="10"/>
      <c r="C42" s="102"/>
      <c r="D42" s="103"/>
      <c r="E42" s="103"/>
      <c r="F42" s="103"/>
      <c r="G42" s="104"/>
      <c r="H42" s="104"/>
      <c r="I42" s="104"/>
      <c r="J42" s="104"/>
      <c r="K42" s="104"/>
      <c r="L42" s="104"/>
      <c r="M42" s="104"/>
      <c r="N42" s="86"/>
      <c r="O42" s="86"/>
      <c r="P42" s="86"/>
      <c r="Q42" s="86"/>
      <c r="R42" s="86"/>
      <c r="S42" s="86"/>
      <c r="T42" s="86"/>
    </row>
    <row r="43" ht="123.75" customHeight="1" outlineLevel="1">
      <c r="A43" s="70" t="str">
        <f t="shared" ref="A43:A48" si="3">"TC_Creator_Dee_"&amp;(ROW()-ROW($A$12)+1-4)</f>
        <v>TC_Creator_Dee_28</v>
      </c>
      <c r="B43" s="72" t="s">
        <v>218</v>
      </c>
      <c r="C43" s="73"/>
      <c r="D43" s="72"/>
      <c r="E43" s="92" t="s">
        <v>219</v>
      </c>
      <c r="F43" s="76" t="s">
        <v>109</v>
      </c>
      <c r="G43" s="76" t="s">
        <v>57</v>
      </c>
      <c r="H43" s="78"/>
      <c r="I43" s="77"/>
      <c r="J43" s="84"/>
      <c r="K43" s="80"/>
      <c r="L43" s="82" t="s">
        <v>12</v>
      </c>
      <c r="M43" s="84"/>
      <c r="N43" s="86"/>
      <c r="O43" s="86"/>
      <c r="P43" s="86"/>
      <c r="Q43" s="86"/>
      <c r="R43" s="86"/>
      <c r="S43" s="86"/>
      <c r="T43" s="86"/>
    </row>
    <row r="44" ht="123.75" customHeight="1" outlineLevel="1">
      <c r="A44" s="108" t="str">
        <f t="shared" si="3"/>
        <v>TC_Creator_Dee_29</v>
      </c>
      <c r="B44" s="72" t="s">
        <v>221</v>
      </c>
      <c r="C44" s="73"/>
      <c r="D44" s="72"/>
      <c r="E44" s="92" t="s">
        <v>222</v>
      </c>
      <c r="F44" s="76" t="s">
        <v>109</v>
      </c>
      <c r="G44" s="76" t="s">
        <v>57</v>
      </c>
      <c r="H44" s="78"/>
      <c r="I44" s="77"/>
      <c r="J44" s="84"/>
      <c r="K44" s="80"/>
      <c r="L44" s="82" t="s">
        <v>12</v>
      </c>
      <c r="M44" s="84"/>
      <c r="N44" s="86"/>
      <c r="O44" s="86"/>
      <c r="P44" s="86"/>
      <c r="Q44" s="86"/>
      <c r="R44" s="86"/>
      <c r="S44" s="86"/>
      <c r="T44" s="86"/>
    </row>
    <row r="45" ht="123.75" customHeight="1" outlineLevel="1">
      <c r="A45" s="70" t="str">
        <f t="shared" si="3"/>
        <v>TC_Creator_Dee_30</v>
      </c>
      <c r="B45" s="72" t="s">
        <v>224</v>
      </c>
      <c r="C45" s="73"/>
      <c r="D45" s="72"/>
      <c r="E45" s="92" t="s">
        <v>225</v>
      </c>
      <c r="F45" s="76" t="s">
        <v>109</v>
      </c>
      <c r="G45" s="76" t="s">
        <v>57</v>
      </c>
      <c r="H45" s="78"/>
      <c r="I45" s="77"/>
      <c r="J45" s="84"/>
      <c r="K45" s="80"/>
      <c r="L45" s="82" t="s">
        <v>12</v>
      </c>
      <c r="M45" s="84"/>
      <c r="N45" s="86"/>
      <c r="O45" s="86"/>
      <c r="P45" s="86"/>
      <c r="Q45" s="86"/>
      <c r="R45" s="86"/>
      <c r="S45" s="86"/>
      <c r="T45" s="86"/>
    </row>
    <row r="46" ht="123.75" customHeight="1" outlineLevel="1">
      <c r="A46" s="70" t="str">
        <f t="shared" si="3"/>
        <v>TC_Creator_Dee_31</v>
      </c>
      <c r="B46" s="72" t="s">
        <v>228</v>
      </c>
      <c r="C46" s="73"/>
      <c r="D46" s="72"/>
      <c r="E46" s="92" t="s">
        <v>229</v>
      </c>
      <c r="F46" s="76" t="s">
        <v>109</v>
      </c>
      <c r="G46" s="76" t="s">
        <v>57</v>
      </c>
      <c r="H46" s="78"/>
      <c r="I46" s="77"/>
      <c r="J46" s="84"/>
      <c r="K46" s="80"/>
      <c r="L46" s="82" t="s">
        <v>12</v>
      </c>
      <c r="M46" s="84"/>
      <c r="N46" s="86"/>
      <c r="O46" s="86"/>
      <c r="P46" s="86"/>
      <c r="Q46" s="86"/>
      <c r="R46" s="86"/>
      <c r="S46" s="86"/>
      <c r="T46" s="86"/>
    </row>
    <row r="47" ht="123.75" customHeight="1" outlineLevel="1">
      <c r="A47" s="70" t="str">
        <f t="shared" si="3"/>
        <v>TC_Creator_Dee_32</v>
      </c>
      <c r="B47" s="72" t="s">
        <v>232</v>
      </c>
      <c r="C47" s="73"/>
      <c r="D47" s="72"/>
      <c r="E47" s="92" t="s">
        <v>222</v>
      </c>
      <c r="F47" s="76" t="s">
        <v>56</v>
      </c>
      <c r="G47" s="76" t="s">
        <v>57</v>
      </c>
      <c r="H47" s="78"/>
      <c r="I47" s="77"/>
      <c r="J47" s="84"/>
      <c r="K47" s="80"/>
      <c r="L47" s="82" t="s">
        <v>12</v>
      </c>
      <c r="M47" s="84"/>
      <c r="N47" s="86"/>
      <c r="O47" s="86"/>
      <c r="P47" s="86"/>
      <c r="Q47" s="86"/>
      <c r="R47" s="86"/>
      <c r="S47" s="86"/>
      <c r="T47" s="86"/>
    </row>
    <row r="48" ht="123.75" customHeight="1" outlineLevel="1">
      <c r="A48" s="70" t="str">
        <f t="shared" si="3"/>
        <v>TC_Creator_Dee_33</v>
      </c>
      <c r="B48" s="72" t="s">
        <v>234</v>
      </c>
      <c r="C48" s="73"/>
      <c r="D48" s="72"/>
      <c r="E48" s="92" t="s">
        <v>235</v>
      </c>
      <c r="F48" s="76" t="s">
        <v>56</v>
      </c>
      <c r="G48" s="76" t="s">
        <v>57</v>
      </c>
      <c r="H48" s="78"/>
      <c r="I48" s="77"/>
      <c r="J48" s="84"/>
      <c r="K48" s="80"/>
      <c r="L48" s="82" t="s">
        <v>12</v>
      </c>
      <c r="M48" s="84"/>
      <c r="N48" s="86"/>
      <c r="O48" s="86"/>
      <c r="P48" s="86"/>
      <c r="Q48" s="86"/>
      <c r="R48" s="86"/>
      <c r="S48" s="86"/>
      <c r="T48" s="86"/>
    </row>
    <row r="49" ht="30.0" customHeight="1" outlineLevel="1">
      <c r="A49" s="101" t="s">
        <v>223</v>
      </c>
      <c r="B49" s="10"/>
      <c r="C49" s="102"/>
      <c r="D49" s="103"/>
      <c r="E49" s="103"/>
      <c r="F49" s="103"/>
      <c r="G49" s="104"/>
      <c r="H49" s="104"/>
      <c r="I49" s="104"/>
      <c r="J49" s="104"/>
      <c r="K49" s="104"/>
      <c r="L49" s="104"/>
      <c r="M49" s="104"/>
      <c r="N49" s="86"/>
      <c r="O49" s="86"/>
      <c r="P49" s="86"/>
      <c r="Q49" s="86"/>
      <c r="R49" s="86"/>
      <c r="S49" s="86"/>
      <c r="T49" s="86"/>
    </row>
    <row r="50" ht="123.75" customHeight="1" outlineLevel="1">
      <c r="A50" s="70" t="str">
        <f t="shared" ref="A50:A62" si="4">"TC_Creator_Dee_"&amp;(ROW()-ROW($A$12)+1-3)</f>
        <v>TC_Creator_Dee_36</v>
      </c>
      <c r="B50" s="72" t="s">
        <v>239</v>
      </c>
      <c r="C50" s="73"/>
      <c r="D50" s="72"/>
      <c r="E50" s="92" t="s">
        <v>227</v>
      </c>
      <c r="F50" s="76" t="s">
        <v>56</v>
      </c>
      <c r="G50" s="76" t="s">
        <v>57</v>
      </c>
      <c r="H50" s="78"/>
      <c r="I50" s="77"/>
      <c r="J50" s="84"/>
      <c r="K50" s="80"/>
      <c r="L50" s="82" t="s">
        <v>12</v>
      </c>
      <c r="M50" s="84"/>
      <c r="N50" s="86"/>
      <c r="O50" s="86"/>
      <c r="P50" s="86"/>
      <c r="Q50" s="86"/>
      <c r="R50" s="86"/>
      <c r="S50" s="86"/>
      <c r="T50" s="86"/>
    </row>
    <row r="51" ht="123.75" customHeight="1" outlineLevel="1">
      <c r="A51" s="70" t="str">
        <f t="shared" si="4"/>
        <v>TC_Creator_Dee_37</v>
      </c>
      <c r="B51" s="72" t="s">
        <v>243</v>
      </c>
      <c r="C51" s="73"/>
      <c r="D51" s="72"/>
      <c r="E51" s="92" t="s">
        <v>231</v>
      </c>
      <c r="F51" s="76" t="s">
        <v>56</v>
      </c>
      <c r="G51" s="76" t="s">
        <v>57</v>
      </c>
      <c r="H51" s="78"/>
      <c r="I51" s="77"/>
      <c r="J51" s="84"/>
      <c r="K51" s="80"/>
      <c r="L51" s="82" t="s">
        <v>12</v>
      </c>
      <c r="M51" s="84"/>
      <c r="N51" s="86"/>
      <c r="O51" s="86"/>
      <c r="P51" s="86"/>
      <c r="Q51" s="86"/>
      <c r="R51" s="86"/>
      <c r="S51" s="86"/>
      <c r="T51" s="86"/>
    </row>
    <row r="52" ht="123.75" customHeight="1" outlineLevel="1">
      <c r="A52" s="70" t="str">
        <f t="shared" si="4"/>
        <v>TC_Creator_Dee_38</v>
      </c>
      <c r="B52" s="72" t="s">
        <v>244</v>
      </c>
      <c r="C52" s="73"/>
      <c r="D52" s="72"/>
      <c r="E52" s="92" t="s">
        <v>246</v>
      </c>
      <c r="F52" s="76" t="s">
        <v>56</v>
      </c>
      <c r="G52" s="76" t="s">
        <v>214</v>
      </c>
      <c r="H52" s="78"/>
      <c r="I52" s="77"/>
      <c r="J52" s="84"/>
      <c r="K52" s="80"/>
      <c r="L52" s="82" t="s">
        <v>12</v>
      </c>
      <c r="M52" s="84"/>
      <c r="N52" s="86"/>
      <c r="O52" s="86"/>
      <c r="P52" s="86"/>
      <c r="Q52" s="86"/>
      <c r="R52" s="86"/>
      <c r="S52" s="86"/>
      <c r="T52" s="86"/>
    </row>
    <row r="53" ht="123.75" customHeight="1" outlineLevel="1">
      <c r="A53" s="70" t="str">
        <f t="shared" si="4"/>
        <v>TC_Creator_Dee_39</v>
      </c>
      <c r="B53" s="72" t="s">
        <v>248</v>
      </c>
      <c r="C53" s="73"/>
      <c r="D53" s="72"/>
      <c r="E53" s="92" t="s">
        <v>250</v>
      </c>
      <c r="F53" s="76" t="s">
        <v>56</v>
      </c>
      <c r="G53" s="76" t="s">
        <v>214</v>
      </c>
      <c r="H53" s="78"/>
      <c r="I53" s="77"/>
      <c r="J53" s="84"/>
      <c r="K53" s="80"/>
      <c r="L53" s="82" t="s">
        <v>12</v>
      </c>
      <c r="M53" s="84"/>
      <c r="N53" s="86"/>
      <c r="O53" s="86"/>
      <c r="P53" s="86"/>
      <c r="Q53" s="86"/>
      <c r="R53" s="86"/>
      <c r="S53" s="86"/>
      <c r="T53" s="86"/>
    </row>
    <row r="54" ht="123.75" customHeight="1" outlineLevel="1">
      <c r="A54" s="70" t="str">
        <f t="shared" si="4"/>
        <v>TC_Creator_Dee_40</v>
      </c>
      <c r="B54" s="72" t="s">
        <v>254</v>
      </c>
      <c r="C54" s="73"/>
      <c r="D54" s="72"/>
      <c r="E54" s="92" t="s">
        <v>256</v>
      </c>
      <c r="F54" s="76" t="s">
        <v>56</v>
      </c>
      <c r="G54" s="76" t="s">
        <v>214</v>
      </c>
      <c r="H54" s="78"/>
      <c r="I54" s="77"/>
      <c r="J54" s="84"/>
      <c r="K54" s="80"/>
      <c r="L54" s="82" t="s">
        <v>12</v>
      </c>
      <c r="M54" s="84"/>
      <c r="N54" s="86"/>
      <c r="O54" s="86"/>
      <c r="P54" s="86"/>
      <c r="Q54" s="86"/>
      <c r="R54" s="86"/>
      <c r="S54" s="86"/>
      <c r="T54" s="86"/>
    </row>
    <row r="55" ht="123.75" customHeight="1" outlineLevel="1">
      <c r="A55" s="70" t="str">
        <f t="shared" si="4"/>
        <v>TC_Creator_Dee_41</v>
      </c>
      <c r="B55" s="72" t="s">
        <v>261</v>
      </c>
      <c r="C55" s="73"/>
      <c r="D55" s="72"/>
      <c r="E55" s="92" t="s">
        <v>262</v>
      </c>
      <c r="F55" s="76" t="s">
        <v>56</v>
      </c>
      <c r="G55" s="76" t="s">
        <v>214</v>
      </c>
      <c r="H55" s="78"/>
      <c r="I55" s="77"/>
      <c r="J55" s="84"/>
      <c r="K55" s="80"/>
      <c r="L55" s="82" t="s">
        <v>12</v>
      </c>
      <c r="M55" s="84"/>
      <c r="N55" s="86"/>
      <c r="O55" s="86"/>
      <c r="P55" s="86"/>
      <c r="Q55" s="86"/>
      <c r="R55" s="86"/>
      <c r="S55" s="86"/>
      <c r="T55" s="86"/>
    </row>
    <row r="56" ht="123.75" customHeight="1" outlineLevel="1">
      <c r="A56" s="70" t="str">
        <f t="shared" si="4"/>
        <v>TC_Creator_Dee_42</v>
      </c>
      <c r="B56" s="72" t="s">
        <v>266</v>
      </c>
      <c r="C56" s="73"/>
      <c r="D56" s="72"/>
      <c r="E56" s="92" t="s">
        <v>267</v>
      </c>
      <c r="F56" s="76" t="s">
        <v>56</v>
      </c>
      <c r="G56" s="76" t="s">
        <v>214</v>
      </c>
      <c r="H56" s="78"/>
      <c r="I56" s="77"/>
      <c r="J56" s="84"/>
      <c r="K56" s="80"/>
      <c r="L56" s="82" t="s">
        <v>12</v>
      </c>
      <c r="M56" s="84"/>
      <c r="N56" s="86"/>
      <c r="O56" s="86"/>
      <c r="P56" s="86"/>
      <c r="Q56" s="86"/>
      <c r="R56" s="86"/>
      <c r="S56" s="86"/>
      <c r="T56" s="86"/>
    </row>
    <row r="57" ht="123.75" customHeight="1" outlineLevel="1">
      <c r="A57" s="70" t="str">
        <f t="shared" si="4"/>
        <v>TC_Creator_Dee_43</v>
      </c>
      <c r="B57" s="72" t="s">
        <v>271</v>
      </c>
      <c r="C57" s="73"/>
      <c r="D57" s="72"/>
      <c r="E57" s="92" t="s">
        <v>272</v>
      </c>
      <c r="F57" s="76" t="s">
        <v>56</v>
      </c>
      <c r="G57" s="76" t="s">
        <v>214</v>
      </c>
      <c r="H57" s="78"/>
      <c r="I57" s="77"/>
      <c r="J57" s="84"/>
      <c r="K57" s="80"/>
      <c r="L57" s="82" t="s">
        <v>12</v>
      </c>
      <c r="M57" s="84"/>
      <c r="N57" s="86"/>
      <c r="O57" s="86"/>
      <c r="P57" s="86"/>
      <c r="Q57" s="86"/>
      <c r="R57" s="86"/>
      <c r="S57" s="86"/>
      <c r="T57" s="86"/>
    </row>
    <row r="58" ht="123.75" customHeight="1" outlineLevel="1">
      <c r="A58" s="70" t="str">
        <f t="shared" si="4"/>
        <v>TC_Creator_Dee_44</v>
      </c>
      <c r="B58" s="72" t="s">
        <v>277</v>
      </c>
      <c r="C58" s="73"/>
      <c r="D58" s="72"/>
      <c r="E58" s="92" t="s">
        <v>280</v>
      </c>
      <c r="F58" s="76" t="s">
        <v>56</v>
      </c>
      <c r="G58" s="76" t="s">
        <v>214</v>
      </c>
      <c r="H58" s="78"/>
      <c r="I58" s="77"/>
      <c r="J58" s="84"/>
      <c r="K58" s="80"/>
      <c r="L58" s="82" t="s">
        <v>12</v>
      </c>
      <c r="M58" s="84"/>
      <c r="N58" s="86"/>
      <c r="O58" s="86"/>
      <c r="P58" s="86"/>
      <c r="Q58" s="86"/>
      <c r="R58" s="86"/>
      <c r="S58" s="86"/>
      <c r="T58" s="86"/>
    </row>
    <row r="59" ht="123.75" customHeight="1" outlineLevel="1">
      <c r="A59" s="70" t="str">
        <f t="shared" si="4"/>
        <v>TC_Creator_Dee_45</v>
      </c>
      <c r="B59" s="72" t="s">
        <v>283</v>
      </c>
      <c r="C59" s="73"/>
      <c r="D59" s="72"/>
      <c r="E59" s="92" t="s">
        <v>284</v>
      </c>
      <c r="F59" s="76" t="s">
        <v>56</v>
      </c>
      <c r="G59" s="76" t="s">
        <v>214</v>
      </c>
      <c r="H59" s="78"/>
      <c r="I59" s="77"/>
      <c r="J59" s="84"/>
      <c r="K59" s="80"/>
      <c r="L59" s="82" t="s">
        <v>12</v>
      </c>
      <c r="M59" s="84"/>
      <c r="N59" s="86"/>
      <c r="O59" s="86"/>
      <c r="P59" s="86"/>
      <c r="Q59" s="86"/>
      <c r="R59" s="86"/>
      <c r="S59" s="86"/>
      <c r="T59" s="86"/>
    </row>
    <row r="60" ht="123.75" customHeight="1" outlineLevel="1">
      <c r="A60" s="70" t="str">
        <f t="shared" si="4"/>
        <v>TC_Creator_Dee_46</v>
      </c>
      <c r="B60" s="72" t="s">
        <v>288</v>
      </c>
      <c r="C60" s="73"/>
      <c r="D60" s="72"/>
      <c r="E60" s="92" t="s">
        <v>290</v>
      </c>
      <c r="F60" s="76" t="s">
        <v>56</v>
      </c>
      <c r="G60" s="76" t="s">
        <v>214</v>
      </c>
      <c r="H60" s="78"/>
      <c r="I60" s="77"/>
      <c r="J60" s="84"/>
      <c r="K60" s="80"/>
      <c r="L60" s="82" t="s">
        <v>12</v>
      </c>
      <c r="M60" s="84"/>
      <c r="N60" s="86"/>
      <c r="O60" s="86"/>
      <c r="P60" s="86"/>
      <c r="Q60" s="86"/>
      <c r="R60" s="86"/>
      <c r="S60" s="86"/>
      <c r="T60" s="86"/>
    </row>
    <row r="61" ht="123.75" customHeight="1" outlineLevel="1">
      <c r="A61" s="70" t="str">
        <f t="shared" si="4"/>
        <v>TC_Creator_Dee_47</v>
      </c>
      <c r="B61" s="72" t="s">
        <v>294</v>
      </c>
      <c r="C61" s="73"/>
      <c r="D61" s="72"/>
      <c r="E61" s="92" t="s">
        <v>238</v>
      </c>
      <c r="F61" s="76" t="s">
        <v>56</v>
      </c>
      <c r="G61" s="76" t="s">
        <v>57</v>
      </c>
      <c r="H61" s="78"/>
      <c r="I61" s="77"/>
      <c r="J61" s="84"/>
      <c r="K61" s="80"/>
      <c r="L61" s="82" t="s">
        <v>12</v>
      </c>
      <c r="M61" s="84"/>
      <c r="N61" s="86"/>
      <c r="O61" s="86"/>
      <c r="P61" s="86"/>
      <c r="Q61" s="86"/>
      <c r="R61" s="86"/>
      <c r="S61" s="86"/>
      <c r="T61" s="86"/>
    </row>
    <row r="62" ht="123.75" customHeight="1" outlineLevel="1">
      <c r="A62" s="70" t="str">
        <f t="shared" si="4"/>
        <v>TC_Creator_Dee_48</v>
      </c>
      <c r="B62" s="72" t="s">
        <v>298</v>
      </c>
      <c r="C62" s="73"/>
      <c r="D62" s="72"/>
      <c r="E62" s="92" t="s">
        <v>241</v>
      </c>
      <c r="F62" s="76" t="s">
        <v>109</v>
      </c>
      <c r="G62" s="76" t="s">
        <v>214</v>
      </c>
      <c r="H62" s="78"/>
      <c r="I62" s="77"/>
      <c r="J62" s="84"/>
      <c r="K62" s="80"/>
      <c r="L62" s="82" t="s">
        <v>12</v>
      </c>
      <c r="M62" s="84"/>
      <c r="N62" s="86"/>
      <c r="O62" s="86"/>
      <c r="P62" s="86"/>
      <c r="Q62" s="86"/>
      <c r="R62" s="86"/>
      <c r="S62" s="86"/>
      <c r="T62" s="86"/>
    </row>
    <row r="63" ht="42.0" customHeight="1">
      <c r="A63" s="55" t="s">
        <v>300</v>
      </c>
      <c r="B63" s="10"/>
      <c r="C63" s="57"/>
      <c r="D63" s="58"/>
      <c r="E63" s="58"/>
      <c r="F63" s="58"/>
      <c r="G63" s="60"/>
      <c r="H63" s="60"/>
      <c r="I63" s="60"/>
      <c r="J63" s="60"/>
      <c r="K63" s="60"/>
      <c r="L63" s="60"/>
      <c r="M63" s="60"/>
      <c r="N63" s="49"/>
      <c r="O63" s="49"/>
      <c r="P63" s="49"/>
      <c r="Q63" s="49"/>
      <c r="R63" s="49"/>
      <c r="S63" s="49"/>
      <c r="T63" s="49"/>
    </row>
    <row r="64" ht="123.75" customHeight="1" outlineLevel="1">
      <c r="A64" s="70" t="str">
        <f t="shared" ref="A64:A68" si="5">"TC_Creator_Dee_"&amp;(ROW()-ROW($A$12)+1-5)</f>
        <v>TC_Creator_Dee_48</v>
      </c>
      <c r="B64" s="72" t="s">
        <v>305</v>
      </c>
      <c r="C64" s="73"/>
      <c r="D64" s="72"/>
      <c r="E64" s="92" t="s">
        <v>307</v>
      </c>
      <c r="F64" s="76" t="s">
        <v>56</v>
      </c>
      <c r="G64" s="76" t="s">
        <v>101</v>
      </c>
      <c r="H64" s="78"/>
      <c r="I64" s="77"/>
      <c r="J64" s="84"/>
      <c r="K64" s="80"/>
      <c r="L64" s="82" t="s">
        <v>12</v>
      </c>
      <c r="M64" s="84"/>
      <c r="N64" s="86"/>
      <c r="O64" s="86"/>
      <c r="P64" s="86"/>
      <c r="Q64" s="86"/>
      <c r="R64" s="86"/>
      <c r="S64" s="86"/>
      <c r="T64" s="86"/>
    </row>
    <row r="65" ht="139.5" customHeight="1" outlineLevel="1">
      <c r="A65" s="70" t="str">
        <f t="shared" si="5"/>
        <v>TC_Creator_Dee_49</v>
      </c>
      <c r="B65" s="72" t="s">
        <v>309</v>
      </c>
      <c r="C65" s="73"/>
      <c r="D65" s="72"/>
      <c r="E65" s="92" t="s">
        <v>311</v>
      </c>
      <c r="F65" s="76" t="s">
        <v>56</v>
      </c>
      <c r="G65" s="76" t="s">
        <v>101</v>
      </c>
      <c r="H65" s="78"/>
      <c r="I65" s="77"/>
      <c r="J65" s="84"/>
      <c r="K65" s="80"/>
      <c r="L65" s="82" t="s">
        <v>12</v>
      </c>
      <c r="M65" s="84"/>
      <c r="N65" s="86"/>
      <c r="O65" s="86"/>
      <c r="P65" s="86"/>
      <c r="Q65" s="86"/>
      <c r="R65" s="86"/>
      <c r="S65" s="86"/>
      <c r="T65" s="86"/>
    </row>
    <row r="66" ht="139.5" customHeight="1" outlineLevel="1">
      <c r="A66" s="70" t="str">
        <f t="shared" si="5"/>
        <v>TC_Creator_Dee_50</v>
      </c>
      <c r="B66" s="72" t="s">
        <v>314</v>
      </c>
      <c r="C66" s="73"/>
      <c r="D66" s="72"/>
      <c r="E66" s="92" t="s">
        <v>316</v>
      </c>
      <c r="F66" s="76" t="s">
        <v>56</v>
      </c>
      <c r="G66" s="76" t="s">
        <v>101</v>
      </c>
      <c r="H66" s="78"/>
      <c r="I66" s="77"/>
      <c r="J66" s="84"/>
      <c r="K66" s="80"/>
      <c r="L66" s="82" t="s">
        <v>12</v>
      </c>
      <c r="M66" s="84"/>
      <c r="N66" s="86"/>
      <c r="O66" s="86"/>
      <c r="P66" s="86"/>
      <c r="Q66" s="86"/>
      <c r="R66" s="86"/>
      <c r="S66" s="86"/>
      <c r="T66" s="86"/>
    </row>
    <row r="67" ht="123.75" customHeight="1" outlineLevel="1">
      <c r="A67" s="70" t="str">
        <f t="shared" si="5"/>
        <v>TC_Creator_Dee_51</v>
      </c>
      <c r="B67" s="72" t="s">
        <v>319</v>
      </c>
      <c r="C67" s="73"/>
      <c r="D67" s="72"/>
      <c r="E67" s="92" t="s">
        <v>321</v>
      </c>
      <c r="F67" s="76" t="s">
        <v>56</v>
      </c>
      <c r="G67" s="76" t="s">
        <v>101</v>
      </c>
      <c r="H67" s="78"/>
      <c r="I67" s="77"/>
      <c r="J67" s="84"/>
      <c r="K67" s="80"/>
      <c r="L67" s="82" t="s">
        <v>12</v>
      </c>
      <c r="M67" s="84"/>
      <c r="N67" s="86"/>
      <c r="O67" s="86"/>
      <c r="P67" s="86"/>
      <c r="Q67" s="86"/>
      <c r="R67" s="86"/>
      <c r="S67" s="86"/>
      <c r="T67" s="86"/>
    </row>
    <row r="68" ht="123.75" customHeight="1" outlineLevel="1">
      <c r="A68" s="70" t="str">
        <f t="shared" si="5"/>
        <v>TC_Creator_Dee_52</v>
      </c>
      <c r="B68" s="72" t="s">
        <v>324</v>
      </c>
      <c r="C68" s="73"/>
      <c r="D68" s="72"/>
      <c r="E68" s="92" t="s">
        <v>198</v>
      </c>
      <c r="F68" s="76" t="s">
        <v>56</v>
      </c>
      <c r="G68" s="76" t="s">
        <v>101</v>
      </c>
      <c r="H68" s="78"/>
      <c r="I68" s="77"/>
      <c r="J68" s="84"/>
      <c r="K68" s="80"/>
      <c r="L68" s="82" t="s">
        <v>12</v>
      </c>
      <c r="M68" s="84"/>
      <c r="N68" s="86"/>
      <c r="O68" s="86"/>
      <c r="P68" s="86"/>
      <c r="Q68" s="86"/>
      <c r="R68" s="86"/>
      <c r="S68" s="86"/>
      <c r="T68" s="86"/>
    </row>
    <row r="69" ht="123.75" customHeight="1" outlineLevel="1">
      <c r="A69" s="70" t="str">
        <f t="shared" ref="A69:A73" si="6">"TC_Creator_Dee_"&amp;(ROW()-ROW($A$12)+1-4)</f>
        <v>TC_Creator_Dee_54</v>
      </c>
      <c r="B69" s="72" t="s">
        <v>329</v>
      </c>
      <c r="C69" s="73"/>
      <c r="D69" s="72"/>
      <c r="E69" s="92" t="s">
        <v>331</v>
      </c>
      <c r="F69" s="76" t="s">
        <v>56</v>
      </c>
      <c r="G69" s="76" t="s">
        <v>57</v>
      </c>
      <c r="H69" s="78"/>
      <c r="I69" s="77"/>
      <c r="J69" s="84"/>
      <c r="K69" s="80"/>
      <c r="L69" s="82" t="s">
        <v>12</v>
      </c>
      <c r="M69" s="84"/>
      <c r="N69" s="86"/>
      <c r="O69" s="86"/>
      <c r="P69" s="86"/>
      <c r="Q69" s="86"/>
      <c r="R69" s="86"/>
      <c r="S69" s="86"/>
      <c r="T69" s="86"/>
    </row>
    <row r="70" ht="123.75" customHeight="1" outlineLevel="1">
      <c r="A70" s="70" t="str">
        <f t="shared" si="6"/>
        <v>TC_Creator_Dee_55</v>
      </c>
      <c r="B70" s="72" t="s">
        <v>334</v>
      </c>
      <c r="C70" s="73"/>
      <c r="D70" s="72"/>
      <c r="E70" s="92" t="s">
        <v>336</v>
      </c>
      <c r="F70" s="76" t="s">
        <v>56</v>
      </c>
      <c r="G70" s="76" t="s">
        <v>57</v>
      </c>
      <c r="H70" s="78"/>
      <c r="I70" s="77"/>
      <c r="J70" s="84"/>
      <c r="K70" s="80"/>
      <c r="L70" s="82" t="s">
        <v>12</v>
      </c>
      <c r="M70" s="84"/>
      <c r="N70" s="86"/>
      <c r="O70" s="86"/>
      <c r="P70" s="86"/>
      <c r="Q70" s="86"/>
      <c r="R70" s="86"/>
      <c r="S70" s="86"/>
      <c r="T70" s="86"/>
    </row>
    <row r="71" ht="146.25" customHeight="1" outlineLevel="1">
      <c r="A71" s="70" t="str">
        <f t="shared" si="6"/>
        <v>TC_Creator_Dee_56</v>
      </c>
      <c r="B71" s="72" t="s">
        <v>338</v>
      </c>
      <c r="C71" s="73"/>
      <c r="D71" s="72"/>
      <c r="E71" s="92" t="s">
        <v>340</v>
      </c>
      <c r="F71" s="76" t="s">
        <v>56</v>
      </c>
      <c r="G71" s="76" t="s">
        <v>57</v>
      </c>
      <c r="H71" s="78"/>
      <c r="I71" s="77"/>
      <c r="J71" s="84"/>
      <c r="K71" s="80"/>
      <c r="L71" s="82" t="s">
        <v>12</v>
      </c>
      <c r="M71" s="84"/>
      <c r="N71" s="86"/>
      <c r="O71" s="86"/>
      <c r="P71" s="86"/>
      <c r="Q71" s="86"/>
      <c r="R71" s="86"/>
      <c r="S71" s="86"/>
      <c r="T71" s="86"/>
    </row>
    <row r="72" ht="123.75" customHeight="1" outlineLevel="1">
      <c r="A72" s="70" t="str">
        <f t="shared" si="6"/>
        <v>TC_Creator_Dee_57</v>
      </c>
      <c r="B72" s="72" t="s">
        <v>342</v>
      </c>
      <c r="C72" s="73"/>
      <c r="D72" s="72"/>
      <c r="E72" s="92" t="s">
        <v>318</v>
      </c>
      <c r="F72" s="76" t="s">
        <v>56</v>
      </c>
      <c r="G72" s="76" t="s">
        <v>101</v>
      </c>
      <c r="H72" s="78"/>
      <c r="I72" s="77"/>
      <c r="J72" s="84"/>
      <c r="K72" s="80"/>
      <c r="L72" s="82" t="s">
        <v>12</v>
      </c>
      <c r="M72" s="84"/>
      <c r="N72" s="86"/>
      <c r="O72" s="86"/>
      <c r="P72" s="86"/>
      <c r="Q72" s="86"/>
      <c r="R72" s="86"/>
      <c r="S72" s="86"/>
      <c r="T72" s="86"/>
    </row>
    <row r="73" ht="123.75" customHeight="1" outlineLevel="1">
      <c r="A73" s="70" t="str">
        <f t="shared" si="6"/>
        <v>TC_Creator_Dee_58</v>
      </c>
      <c r="B73" s="72" t="s">
        <v>345</v>
      </c>
      <c r="C73" s="73"/>
      <c r="D73" s="72"/>
      <c r="E73" s="92" t="s">
        <v>323</v>
      </c>
      <c r="F73" s="76" t="s">
        <v>56</v>
      </c>
      <c r="G73" s="76" t="s">
        <v>57</v>
      </c>
      <c r="H73" s="78"/>
      <c r="I73" s="77"/>
      <c r="J73" s="84"/>
      <c r="K73" s="80"/>
      <c r="L73" s="82" t="s">
        <v>12</v>
      </c>
      <c r="M73" s="84"/>
      <c r="N73" s="86"/>
      <c r="O73" s="86"/>
      <c r="P73" s="86"/>
      <c r="Q73" s="86"/>
      <c r="R73" s="86"/>
      <c r="S73" s="86"/>
      <c r="T73" s="86"/>
    </row>
    <row r="74" ht="39.0" customHeight="1" outlineLevel="1">
      <c r="A74" s="101" t="s">
        <v>347</v>
      </c>
      <c r="B74" s="10"/>
      <c r="C74" s="102"/>
      <c r="D74" s="103"/>
      <c r="E74" s="103"/>
      <c r="F74" s="103"/>
      <c r="G74" s="104"/>
      <c r="H74" s="104"/>
      <c r="I74" s="104"/>
      <c r="J74" s="104"/>
      <c r="K74" s="104"/>
      <c r="L74" s="104"/>
      <c r="M74" s="104"/>
      <c r="N74" s="86"/>
      <c r="O74" s="86"/>
      <c r="P74" s="86"/>
      <c r="Q74" s="86"/>
      <c r="R74" s="86"/>
      <c r="S74" s="86"/>
      <c r="T74" s="86"/>
    </row>
    <row r="75" ht="123.75" customHeight="1" outlineLevel="1">
      <c r="A75" s="70" t="str">
        <f t="shared" ref="A75:A81" si="7">"TC_Creator_Dee_"&amp;(ROW()-ROW($A$12)+1-5)</f>
        <v>TC_Creator_Dee_59</v>
      </c>
      <c r="B75" s="72" t="s">
        <v>350</v>
      </c>
      <c r="C75" s="73"/>
      <c r="D75" s="72"/>
      <c r="E75" s="92" t="s">
        <v>351</v>
      </c>
      <c r="F75" s="76" t="s">
        <v>56</v>
      </c>
      <c r="G75" s="76" t="s">
        <v>214</v>
      </c>
      <c r="H75" s="78"/>
      <c r="I75" s="77"/>
      <c r="J75" s="84"/>
      <c r="K75" s="80"/>
      <c r="L75" s="82" t="s">
        <v>12</v>
      </c>
      <c r="M75" s="84"/>
      <c r="N75" s="86"/>
      <c r="O75" s="86"/>
      <c r="P75" s="86"/>
      <c r="Q75" s="86"/>
      <c r="R75" s="86"/>
      <c r="S75" s="86"/>
      <c r="T75" s="86"/>
    </row>
    <row r="76" ht="123.75" customHeight="1" outlineLevel="1">
      <c r="A76" s="70" t="str">
        <f t="shared" si="7"/>
        <v>TC_Creator_Dee_60</v>
      </c>
      <c r="B76" s="72" t="s">
        <v>354</v>
      </c>
      <c r="C76" s="73"/>
      <c r="D76" s="72"/>
      <c r="E76" s="92" t="s">
        <v>356</v>
      </c>
      <c r="F76" s="76" t="s">
        <v>56</v>
      </c>
      <c r="G76" s="76" t="s">
        <v>214</v>
      </c>
      <c r="H76" s="78"/>
      <c r="I76" s="77"/>
      <c r="J76" s="84"/>
      <c r="K76" s="80"/>
      <c r="L76" s="82" t="s">
        <v>12</v>
      </c>
      <c r="M76" s="84"/>
      <c r="N76" s="86"/>
      <c r="O76" s="86"/>
      <c r="P76" s="86"/>
      <c r="Q76" s="86"/>
      <c r="R76" s="86"/>
      <c r="S76" s="86"/>
      <c r="T76" s="86"/>
    </row>
    <row r="77" ht="123.75" customHeight="1" outlineLevel="1">
      <c r="A77" s="70" t="str">
        <f t="shared" si="7"/>
        <v>TC_Creator_Dee_61</v>
      </c>
      <c r="B77" s="72" t="s">
        <v>358</v>
      </c>
      <c r="C77" s="73"/>
      <c r="D77" s="72"/>
      <c r="E77" s="92" t="s">
        <v>359</v>
      </c>
      <c r="F77" s="76" t="s">
        <v>56</v>
      </c>
      <c r="G77" s="76" t="s">
        <v>214</v>
      </c>
      <c r="H77" s="78"/>
      <c r="I77" s="77"/>
      <c r="J77" s="84"/>
      <c r="K77" s="80"/>
      <c r="L77" s="82" t="s">
        <v>12</v>
      </c>
      <c r="M77" s="84"/>
      <c r="N77" s="86"/>
      <c r="O77" s="86"/>
      <c r="P77" s="86"/>
      <c r="Q77" s="86"/>
      <c r="R77" s="86"/>
      <c r="S77" s="86"/>
      <c r="T77" s="86"/>
    </row>
    <row r="78" ht="123.75" customHeight="1" outlineLevel="1">
      <c r="A78" s="70" t="str">
        <f t="shared" si="7"/>
        <v>TC_Creator_Dee_62</v>
      </c>
      <c r="B78" s="72" t="s">
        <v>362</v>
      </c>
      <c r="C78" s="73"/>
      <c r="D78" s="72"/>
      <c r="E78" s="92" t="s">
        <v>363</v>
      </c>
      <c r="F78" s="76" t="s">
        <v>56</v>
      </c>
      <c r="G78" s="76" t="s">
        <v>214</v>
      </c>
      <c r="H78" s="78"/>
      <c r="I78" s="77"/>
      <c r="J78" s="84"/>
      <c r="K78" s="80"/>
      <c r="L78" s="82" t="s">
        <v>12</v>
      </c>
      <c r="M78" s="84"/>
      <c r="N78" s="86"/>
      <c r="O78" s="86"/>
      <c r="P78" s="86"/>
      <c r="Q78" s="86"/>
      <c r="R78" s="86"/>
      <c r="S78" s="86"/>
      <c r="T78" s="86"/>
    </row>
    <row r="79" ht="123.75" customHeight="1" outlineLevel="1">
      <c r="A79" s="70" t="str">
        <f t="shared" si="7"/>
        <v>TC_Creator_Dee_63</v>
      </c>
      <c r="B79" s="72" t="s">
        <v>367</v>
      </c>
      <c r="C79" s="73"/>
      <c r="D79" s="72"/>
      <c r="E79" s="92" t="s">
        <v>368</v>
      </c>
      <c r="F79" s="76" t="s">
        <v>56</v>
      </c>
      <c r="G79" s="76" t="s">
        <v>214</v>
      </c>
      <c r="H79" s="78"/>
      <c r="I79" s="77"/>
      <c r="J79" s="84"/>
      <c r="K79" s="80"/>
      <c r="L79" s="82"/>
      <c r="M79" s="84"/>
      <c r="N79" s="86"/>
      <c r="O79" s="86"/>
      <c r="P79" s="86"/>
      <c r="Q79" s="86"/>
      <c r="R79" s="86"/>
      <c r="S79" s="86"/>
      <c r="T79" s="86"/>
    </row>
    <row r="80" ht="123.75" customHeight="1" outlineLevel="1">
      <c r="A80" s="70" t="str">
        <f t="shared" si="7"/>
        <v>TC_Creator_Dee_64</v>
      </c>
      <c r="B80" s="72" t="s">
        <v>371</v>
      </c>
      <c r="C80" s="73"/>
      <c r="D80" s="72"/>
      <c r="E80" s="92" t="s">
        <v>372</v>
      </c>
      <c r="F80" s="76" t="s">
        <v>56</v>
      </c>
      <c r="G80" s="76" t="s">
        <v>214</v>
      </c>
      <c r="H80" s="78"/>
      <c r="I80" s="77"/>
      <c r="J80" s="84"/>
      <c r="K80" s="80"/>
      <c r="L80" s="82" t="s">
        <v>12</v>
      </c>
      <c r="M80" s="84"/>
      <c r="N80" s="86"/>
      <c r="O80" s="86"/>
      <c r="P80" s="86"/>
      <c r="Q80" s="86"/>
      <c r="R80" s="86"/>
      <c r="S80" s="86"/>
      <c r="T80" s="86"/>
    </row>
    <row r="81" ht="123.75" customHeight="1" outlineLevel="1">
      <c r="A81" s="70" t="str">
        <f t="shared" si="7"/>
        <v>TC_Creator_Dee_65</v>
      </c>
      <c r="B81" s="72" t="s">
        <v>376</v>
      </c>
      <c r="C81" s="73"/>
      <c r="D81" s="72"/>
      <c r="E81" s="92" t="s">
        <v>377</v>
      </c>
      <c r="F81" s="76" t="s">
        <v>56</v>
      </c>
      <c r="G81" s="76" t="s">
        <v>214</v>
      </c>
      <c r="H81" s="78"/>
      <c r="I81" s="77"/>
      <c r="J81" s="84"/>
      <c r="K81" s="80"/>
      <c r="L81" s="82" t="s">
        <v>12</v>
      </c>
      <c r="M81" s="84"/>
      <c r="N81" s="86"/>
      <c r="O81" s="86"/>
      <c r="P81" s="86"/>
      <c r="Q81" s="86"/>
      <c r="R81" s="86"/>
      <c r="S81" s="86"/>
      <c r="T81" s="86"/>
    </row>
    <row r="82" ht="39.0" customHeight="1" outlineLevel="1">
      <c r="A82" s="101" t="s">
        <v>381</v>
      </c>
      <c r="B82" s="10"/>
      <c r="C82" s="102"/>
      <c r="D82" s="103"/>
      <c r="E82" s="103"/>
      <c r="F82" s="103"/>
      <c r="G82" s="104"/>
      <c r="H82" s="104"/>
      <c r="I82" s="104"/>
      <c r="J82" s="104"/>
      <c r="K82" s="104"/>
      <c r="L82" s="104"/>
      <c r="M82" s="104"/>
      <c r="N82" s="86"/>
      <c r="O82" s="86"/>
      <c r="P82" s="86"/>
      <c r="Q82" s="86"/>
      <c r="R82" s="86"/>
      <c r="S82" s="86"/>
      <c r="T82" s="86"/>
    </row>
    <row r="83" ht="123.75" customHeight="1" outlineLevel="1">
      <c r="A83" s="70" t="str">
        <f t="shared" ref="A83:A89" si="8">"TC_Creator_Dee_"&amp;(ROW()-ROW($A$12)+1-5)</f>
        <v>TC_Creator_Dee_67</v>
      </c>
      <c r="B83" s="72" t="s">
        <v>385</v>
      </c>
      <c r="C83" s="73"/>
      <c r="D83" s="72"/>
      <c r="E83" s="92" t="s">
        <v>386</v>
      </c>
      <c r="F83" s="76" t="s">
        <v>56</v>
      </c>
      <c r="G83" s="76" t="s">
        <v>214</v>
      </c>
      <c r="H83" s="78"/>
      <c r="I83" s="77"/>
      <c r="J83" s="84"/>
      <c r="K83" s="80"/>
      <c r="L83" s="82" t="s">
        <v>12</v>
      </c>
      <c r="M83" s="84"/>
      <c r="N83" s="86"/>
      <c r="O83" s="86"/>
      <c r="P83" s="86"/>
      <c r="Q83" s="86"/>
      <c r="R83" s="86"/>
      <c r="S83" s="86"/>
      <c r="T83" s="86"/>
    </row>
    <row r="84" ht="123.75" customHeight="1" outlineLevel="1">
      <c r="A84" s="70" t="str">
        <f t="shared" si="8"/>
        <v>TC_Creator_Dee_68</v>
      </c>
      <c r="B84" s="72" t="s">
        <v>389</v>
      </c>
      <c r="C84" s="73"/>
      <c r="D84" s="72"/>
      <c r="E84" s="92" t="s">
        <v>391</v>
      </c>
      <c r="F84" s="76" t="s">
        <v>56</v>
      </c>
      <c r="G84" s="76" t="s">
        <v>214</v>
      </c>
      <c r="H84" s="78"/>
      <c r="I84" s="77"/>
      <c r="J84" s="84"/>
      <c r="K84" s="80"/>
      <c r="L84" s="82" t="s">
        <v>12</v>
      </c>
      <c r="M84" s="84"/>
      <c r="N84" s="86"/>
      <c r="O84" s="86"/>
      <c r="P84" s="86"/>
      <c r="Q84" s="86"/>
      <c r="R84" s="86"/>
      <c r="S84" s="86"/>
      <c r="T84" s="86"/>
    </row>
    <row r="85" ht="123.75" customHeight="1" outlineLevel="1">
      <c r="A85" s="70" t="str">
        <f t="shared" si="8"/>
        <v>TC_Creator_Dee_69</v>
      </c>
      <c r="B85" s="72" t="s">
        <v>394</v>
      </c>
      <c r="C85" s="73"/>
      <c r="D85" s="72"/>
      <c r="E85" s="92" t="s">
        <v>396</v>
      </c>
      <c r="F85" s="76" t="s">
        <v>56</v>
      </c>
      <c r="G85" s="76" t="s">
        <v>214</v>
      </c>
      <c r="H85" s="78"/>
      <c r="I85" s="77"/>
      <c r="J85" s="84"/>
      <c r="K85" s="80"/>
      <c r="L85" s="82" t="s">
        <v>12</v>
      </c>
      <c r="M85" s="84"/>
      <c r="N85" s="86"/>
      <c r="O85" s="86"/>
      <c r="P85" s="86"/>
      <c r="Q85" s="86"/>
      <c r="R85" s="86"/>
      <c r="S85" s="86"/>
      <c r="T85" s="86"/>
    </row>
    <row r="86" ht="123.75" customHeight="1" outlineLevel="1">
      <c r="A86" s="70" t="str">
        <f t="shared" si="8"/>
        <v>TC_Creator_Dee_70</v>
      </c>
      <c r="B86" s="72" t="s">
        <v>399</v>
      </c>
      <c r="C86" s="73"/>
      <c r="D86" s="72"/>
      <c r="E86" s="92" t="s">
        <v>400</v>
      </c>
      <c r="F86" s="76" t="s">
        <v>56</v>
      </c>
      <c r="G86" s="76" t="s">
        <v>101</v>
      </c>
      <c r="H86" s="78"/>
      <c r="I86" s="77"/>
      <c r="J86" s="84"/>
      <c r="K86" s="80"/>
      <c r="L86" s="82" t="s">
        <v>12</v>
      </c>
      <c r="M86" s="84"/>
      <c r="N86" s="86"/>
      <c r="O86" s="86"/>
      <c r="P86" s="86"/>
      <c r="Q86" s="86"/>
      <c r="R86" s="86"/>
      <c r="S86" s="86"/>
      <c r="T86" s="86"/>
    </row>
    <row r="87" ht="123.75" customHeight="1" outlineLevel="1">
      <c r="A87" s="70" t="str">
        <f t="shared" si="8"/>
        <v>TC_Creator_Dee_71</v>
      </c>
      <c r="B87" s="72" t="s">
        <v>404</v>
      </c>
      <c r="C87" s="73"/>
      <c r="D87" s="72"/>
      <c r="E87" s="92" t="s">
        <v>405</v>
      </c>
      <c r="F87" s="76" t="s">
        <v>109</v>
      </c>
      <c r="G87" s="76" t="s">
        <v>101</v>
      </c>
      <c r="H87" s="78"/>
      <c r="I87" s="77"/>
      <c r="J87" s="84"/>
      <c r="K87" s="80"/>
      <c r="L87" s="82" t="s">
        <v>12</v>
      </c>
      <c r="M87" s="84"/>
      <c r="N87" s="86"/>
      <c r="O87" s="86"/>
      <c r="P87" s="86"/>
      <c r="Q87" s="86"/>
      <c r="R87" s="86"/>
      <c r="S87" s="86"/>
      <c r="T87" s="86"/>
    </row>
    <row r="88" ht="123.75" customHeight="1" outlineLevel="1">
      <c r="A88" s="70" t="str">
        <f t="shared" si="8"/>
        <v>TC_Creator_Dee_72</v>
      </c>
      <c r="B88" s="72" t="s">
        <v>408</v>
      </c>
      <c r="C88" s="73"/>
      <c r="D88" s="72"/>
      <c r="E88" s="92" t="s">
        <v>409</v>
      </c>
      <c r="F88" s="76" t="s">
        <v>56</v>
      </c>
      <c r="G88" s="76" t="s">
        <v>214</v>
      </c>
      <c r="H88" s="78"/>
      <c r="I88" s="77"/>
      <c r="J88" s="84"/>
      <c r="K88" s="80"/>
      <c r="L88" s="82" t="s">
        <v>12</v>
      </c>
      <c r="M88" s="84"/>
      <c r="N88" s="86"/>
      <c r="O88" s="86"/>
      <c r="P88" s="86"/>
      <c r="Q88" s="86"/>
      <c r="R88" s="86"/>
      <c r="S88" s="86"/>
      <c r="T88" s="86"/>
    </row>
    <row r="89" ht="123.75" customHeight="1" outlineLevel="1">
      <c r="A89" s="70" t="str">
        <f t="shared" si="8"/>
        <v>TC_Creator_Dee_73</v>
      </c>
      <c r="B89" s="72" t="s">
        <v>412</v>
      </c>
      <c r="C89" s="73"/>
      <c r="D89" s="72"/>
      <c r="E89" s="92" t="s">
        <v>413</v>
      </c>
      <c r="F89" s="76" t="s">
        <v>56</v>
      </c>
      <c r="G89" s="76" t="s">
        <v>57</v>
      </c>
      <c r="H89" s="78"/>
      <c r="I89" s="77"/>
      <c r="J89" s="84"/>
      <c r="K89" s="80"/>
      <c r="L89" s="82" t="s">
        <v>12</v>
      </c>
      <c r="M89" s="84"/>
      <c r="N89" s="86"/>
      <c r="O89" s="86"/>
      <c r="P89" s="86"/>
      <c r="Q89" s="86"/>
      <c r="R89" s="86"/>
      <c r="S89" s="86"/>
      <c r="T89" s="86"/>
    </row>
    <row r="90" ht="39.0" customHeight="1" outlineLevel="1">
      <c r="A90" s="101" t="s">
        <v>416</v>
      </c>
      <c r="B90" s="10"/>
      <c r="C90" s="102"/>
      <c r="D90" s="103"/>
      <c r="E90" s="103"/>
      <c r="F90" s="103"/>
      <c r="G90" s="104"/>
      <c r="H90" s="104"/>
      <c r="I90" s="104"/>
      <c r="J90" s="104"/>
      <c r="K90" s="104"/>
      <c r="L90" s="104"/>
      <c r="M90" s="104"/>
      <c r="N90" s="86"/>
      <c r="O90" s="86"/>
      <c r="P90" s="86"/>
      <c r="Q90" s="86"/>
      <c r="R90" s="86"/>
      <c r="S90" s="86"/>
      <c r="T90" s="86"/>
    </row>
    <row r="91" ht="155.25" customHeight="1" outlineLevel="1">
      <c r="A91" s="70" t="str">
        <f t="shared" ref="A91:A97" si="9">"TC_Creator_Dee_"&amp;(ROW()-ROW($A$12)+1-5)</f>
        <v>TC_Creator_Dee_75</v>
      </c>
      <c r="B91" s="72" t="s">
        <v>420</v>
      </c>
      <c r="C91" s="73"/>
      <c r="D91" s="72"/>
      <c r="E91" s="92" t="s">
        <v>421</v>
      </c>
      <c r="F91" s="76" t="s">
        <v>56</v>
      </c>
      <c r="G91" s="76" t="s">
        <v>57</v>
      </c>
      <c r="H91" s="78"/>
      <c r="I91" s="77"/>
      <c r="J91" s="84"/>
      <c r="K91" s="80"/>
      <c r="L91" s="82" t="s">
        <v>12</v>
      </c>
      <c r="M91" s="84"/>
      <c r="N91" s="86"/>
      <c r="O91" s="86"/>
      <c r="P91" s="86"/>
      <c r="Q91" s="86"/>
      <c r="R91" s="86"/>
      <c r="S91" s="86"/>
      <c r="T91" s="86"/>
    </row>
    <row r="92" ht="137.25" customHeight="1" outlineLevel="1">
      <c r="A92" s="70" t="str">
        <f t="shared" si="9"/>
        <v>TC_Creator_Dee_76</v>
      </c>
      <c r="B92" s="72" t="s">
        <v>424</v>
      </c>
      <c r="C92" s="73"/>
      <c r="D92" s="72"/>
      <c r="E92" s="92" t="s">
        <v>425</v>
      </c>
      <c r="F92" s="76" t="s">
        <v>56</v>
      </c>
      <c r="G92" s="76" t="s">
        <v>57</v>
      </c>
      <c r="H92" s="78"/>
      <c r="I92" s="77"/>
      <c r="J92" s="84"/>
      <c r="K92" s="80"/>
      <c r="L92" s="82" t="s">
        <v>12</v>
      </c>
      <c r="M92" s="84"/>
      <c r="N92" s="86"/>
      <c r="O92" s="86"/>
      <c r="P92" s="86"/>
      <c r="Q92" s="86"/>
      <c r="R92" s="86"/>
      <c r="S92" s="86"/>
      <c r="T92" s="86"/>
    </row>
    <row r="93" ht="192.75" customHeight="1" outlineLevel="1">
      <c r="A93" s="70" t="str">
        <f t="shared" si="9"/>
        <v>TC_Creator_Dee_77</v>
      </c>
      <c r="B93" s="72" t="s">
        <v>429</v>
      </c>
      <c r="C93" s="73"/>
      <c r="D93" s="72"/>
      <c r="E93" s="92" t="s">
        <v>430</v>
      </c>
      <c r="F93" s="76" t="s">
        <v>56</v>
      </c>
      <c r="G93" s="76" t="s">
        <v>101</v>
      </c>
      <c r="H93" s="78"/>
      <c r="I93" s="77"/>
      <c r="J93" s="84"/>
      <c r="K93" s="80"/>
      <c r="L93" s="82" t="s">
        <v>12</v>
      </c>
      <c r="M93" s="84"/>
      <c r="N93" s="86"/>
      <c r="O93" s="86"/>
      <c r="P93" s="86"/>
      <c r="Q93" s="86"/>
      <c r="R93" s="86"/>
      <c r="S93" s="86"/>
      <c r="T93" s="86"/>
    </row>
    <row r="94" ht="204.0" customHeight="1" outlineLevel="1">
      <c r="A94" s="70" t="str">
        <f t="shared" si="9"/>
        <v>TC_Creator_Dee_78</v>
      </c>
      <c r="B94" s="72" t="s">
        <v>434</v>
      </c>
      <c r="C94" s="73"/>
      <c r="D94" s="72"/>
      <c r="E94" s="92" t="s">
        <v>436</v>
      </c>
      <c r="F94" s="76" t="s">
        <v>56</v>
      </c>
      <c r="G94" s="76" t="s">
        <v>101</v>
      </c>
      <c r="H94" s="78"/>
      <c r="I94" s="77"/>
      <c r="J94" s="84"/>
      <c r="K94" s="80"/>
      <c r="L94" s="82" t="s">
        <v>12</v>
      </c>
      <c r="M94" s="84"/>
      <c r="N94" s="86"/>
      <c r="O94" s="86"/>
      <c r="P94" s="86"/>
      <c r="Q94" s="86"/>
      <c r="R94" s="86"/>
      <c r="S94" s="86"/>
      <c r="T94" s="86"/>
    </row>
    <row r="95" ht="188.25" customHeight="1" outlineLevel="1">
      <c r="A95" s="70" t="str">
        <f t="shared" si="9"/>
        <v>TC_Creator_Dee_79</v>
      </c>
      <c r="B95" s="72" t="s">
        <v>438</v>
      </c>
      <c r="C95" s="73"/>
      <c r="D95" s="72"/>
      <c r="E95" s="92" t="s">
        <v>440</v>
      </c>
      <c r="F95" s="76" t="s">
        <v>56</v>
      </c>
      <c r="G95" s="76" t="s">
        <v>101</v>
      </c>
      <c r="H95" s="78"/>
      <c r="I95" s="77"/>
      <c r="J95" s="84"/>
      <c r="K95" s="80"/>
      <c r="L95" s="82" t="s">
        <v>12</v>
      </c>
      <c r="M95" s="84"/>
      <c r="N95" s="86"/>
      <c r="O95" s="86"/>
      <c r="P95" s="86"/>
      <c r="Q95" s="86"/>
      <c r="R95" s="86"/>
      <c r="S95" s="86"/>
      <c r="T95" s="86"/>
    </row>
    <row r="96" ht="123.75" customHeight="1" outlineLevel="1">
      <c r="A96" s="70" t="str">
        <f t="shared" si="9"/>
        <v>TC_Creator_Dee_80</v>
      </c>
      <c r="B96" s="72" t="s">
        <v>442</v>
      </c>
      <c r="C96" s="73"/>
      <c r="D96" s="72"/>
      <c r="E96" s="92" t="s">
        <v>445</v>
      </c>
      <c r="F96" s="76" t="s">
        <v>56</v>
      </c>
      <c r="G96" s="76" t="s">
        <v>101</v>
      </c>
      <c r="H96" s="78"/>
      <c r="I96" s="77"/>
      <c r="J96" s="84"/>
      <c r="K96" s="80"/>
      <c r="L96" s="82" t="s">
        <v>12</v>
      </c>
      <c r="M96" s="84"/>
      <c r="N96" s="86"/>
      <c r="O96" s="86"/>
      <c r="P96" s="86"/>
      <c r="Q96" s="86"/>
      <c r="R96" s="86"/>
      <c r="S96" s="86"/>
      <c r="T96" s="86"/>
    </row>
    <row r="97" ht="123.75" customHeight="1" outlineLevel="1">
      <c r="A97" s="70" t="str">
        <f t="shared" si="9"/>
        <v>TC_Creator_Dee_81</v>
      </c>
      <c r="B97" s="72" t="s">
        <v>446</v>
      </c>
      <c r="C97" s="73"/>
      <c r="D97" s="72"/>
      <c r="E97" s="92" t="s">
        <v>448</v>
      </c>
      <c r="F97" s="76" t="s">
        <v>56</v>
      </c>
      <c r="G97" s="76" t="s">
        <v>57</v>
      </c>
      <c r="H97" s="78"/>
      <c r="I97" s="77"/>
      <c r="J97" s="84"/>
      <c r="K97" s="80"/>
      <c r="L97" s="82" t="s">
        <v>12</v>
      </c>
      <c r="M97" s="84"/>
      <c r="N97" s="86"/>
      <c r="O97" s="86"/>
      <c r="P97" s="86"/>
      <c r="Q97" s="86"/>
      <c r="R97" s="86"/>
      <c r="S97" s="86"/>
      <c r="T97" s="86"/>
    </row>
    <row r="98" ht="39.0" customHeight="1" outlineLevel="1">
      <c r="A98" s="101" t="s">
        <v>450</v>
      </c>
      <c r="B98" s="10"/>
      <c r="C98" s="102"/>
      <c r="D98" s="103"/>
      <c r="E98" s="103"/>
      <c r="F98" s="103"/>
      <c r="G98" s="104"/>
      <c r="H98" s="104"/>
      <c r="I98" s="104"/>
      <c r="J98" s="104"/>
      <c r="K98" s="104"/>
      <c r="L98" s="104"/>
      <c r="M98" s="104"/>
      <c r="N98" s="86"/>
      <c r="O98" s="86"/>
      <c r="P98" s="86"/>
      <c r="Q98" s="86"/>
      <c r="R98" s="86"/>
      <c r="S98" s="86"/>
      <c r="T98" s="86"/>
    </row>
    <row r="99" ht="123.75" customHeight="1" outlineLevel="1">
      <c r="A99" s="120" t="str">
        <f t="shared" ref="A99:A109" si="10">"TC_Creator_Dee_"&amp;(ROW()-ROW($A$12)+1-5)</f>
        <v>TC_Creator_Dee_83</v>
      </c>
      <c r="B99" s="72" t="s">
        <v>453</v>
      </c>
      <c r="C99" s="73"/>
      <c r="D99" s="72"/>
      <c r="E99" s="92" t="s">
        <v>455</v>
      </c>
      <c r="F99" s="76" t="s">
        <v>56</v>
      </c>
      <c r="G99" s="76" t="s">
        <v>101</v>
      </c>
      <c r="H99" s="78"/>
      <c r="I99" s="77"/>
      <c r="J99" s="84"/>
      <c r="K99" s="80"/>
      <c r="L99" s="82" t="s">
        <v>12</v>
      </c>
      <c r="M99" s="84"/>
      <c r="N99" s="86"/>
      <c r="O99" s="86"/>
      <c r="P99" s="86"/>
      <c r="Q99" s="86"/>
      <c r="R99" s="86"/>
      <c r="S99" s="86"/>
      <c r="T99" s="86"/>
    </row>
    <row r="100" ht="123.75" customHeight="1" outlineLevel="1">
      <c r="A100" s="70" t="str">
        <f t="shared" si="10"/>
        <v>TC_Creator_Dee_84</v>
      </c>
      <c r="B100" s="72" t="s">
        <v>457</v>
      </c>
      <c r="C100" s="73"/>
      <c r="D100" s="72"/>
      <c r="E100" s="92" t="s">
        <v>459</v>
      </c>
      <c r="F100" s="76" t="s">
        <v>56</v>
      </c>
      <c r="G100" s="76" t="s">
        <v>101</v>
      </c>
      <c r="H100" s="78"/>
      <c r="I100" s="77"/>
      <c r="J100" s="84"/>
      <c r="K100" s="80"/>
      <c r="L100" s="82" t="s">
        <v>12</v>
      </c>
      <c r="M100" s="84"/>
      <c r="N100" s="86"/>
      <c r="O100" s="86"/>
      <c r="P100" s="86"/>
      <c r="Q100" s="86"/>
      <c r="R100" s="86"/>
      <c r="S100" s="86"/>
      <c r="T100" s="86"/>
    </row>
    <row r="101" ht="123.75" customHeight="1" outlineLevel="1">
      <c r="A101" s="70" t="str">
        <f t="shared" si="10"/>
        <v>TC_Creator_Dee_85</v>
      </c>
      <c r="B101" s="72" t="s">
        <v>461</v>
      </c>
      <c r="C101" s="73"/>
      <c r="D101" s="72"/>
      <c r="E101" s="92" t="s">
        <v>464</v>
      </c>
      <c r="F101" s="76" t="s">
        <v>56</v>
      </c>
      <c r="G101" s="76" t="s">
        <v>101</v>
      </c>
      <c r="H101" s="78"/>
      <c r="I101" s="77"/>
      <c r="J101" s="84"/>
      <c r="K101" s="80"/>
      <c r="L101" s="82" t="s">
        <v>12</v>
      </c>
      <c r="M101" s="84"/>
      <c r="N101" s="86"/>
      <c r="O101" s="86"/>
      <c r="P101" s="86"/>
      <c r="Q101" s="86"/>
      <c r="R101" s="86"/>
      <c r="S101" s="86"/>
      <c r="T101" s="86"/>
    </row>
    <row r="102" ht="123.75" customHeight="1" outlineLevel="1">
      <c r="A102" s="70" t="str">
        <f t="shared" si="10"/>
        <v>TC_Creator_Dee_86</v>
      </c>
      <c r="B102" s="72" t="s">
        <v>466</v>
      </c>
      <c r="C102" s="73"/>
      <c r="D102" s="72"/>
      <c r="E102" s="92" t="s">
        <v>469</v>
      </c>
      <c r="F102" s="76" t="s">
        <v>56</v>
      </c>
      <c r="G102" s="76" t="s">
        <v>101</v>
      </c>
      <c r="H102" s="78"/>
      <c r="I102" s="77"/>
      <c r="J102" s="84"/>
      <c r="K102" s="80"/>
      <c r="L102" s="82" t="s">
        <v>12</v>
      </c>
      <c r="M102" s="84"/>
      <c r="N102" s="86"/>
      <c r="O102" s="86"/>
      <c r="P102" s="86"/>
      <c r="Q102" s="86"/>
      <c r="R102" s="86"/>
      <c r="S102" s="86"/>
      <c r="T102" s="86"/>
    </row>
    <row r="103" ht="123.75" customHeight="1" outlineLevel="1">
      <c r="A103" s="70" t="str">
        <f t="shared" si="10"/>
        <v>TC_Creator_Dee_87</v>
      </c>
      <c r="B103" s="72" t="s">
        <v>471</v>
      </c>
      <c r="C103" s="73"/>
      <c r="D103" s="72"/>
      <c r="E103" s="92" t="s">
        <v>473</v>
      </c>
      <c r="F103" s="76" t="s">
        <v>56</v>
      </c>
      <c r="G103" s="76" t="s">
        <v>101</v>
      </c>
      <c r="H103" s="78"/>
      <c r="I103" s="77"/>
      <c r="J103" s="84"/>
      <c r="K103" s="80"/>
      <c r="L103" s="82" t="s">
        <v>12</v>
      </c>
      <c r="M103" s="84"/>
      <c r="N103" s="86"/>
      <c r="O103" s="86"/>
      <c r="P103" s="86"/>
      <c r="Q103" s="86"/>
      <c r="R103" s="86"/>
      <c r="S103" s="86"/>
      <c r="T103" s="86"/>
    </row>
    <row r="104" ht="123.75" customHeight="1" outlineLevel="1">
      <c r="A104" s="108" t="str">
        <f t="shared" si="10"/>
        <v>TC_Creator_Dee_88</v>
      </c>
      <c r="B104" s="72" t="s">
        <v>475</v>
      </c>
      <c r="C104" s="73"/>
      <c r="D104" s="72"/>
      <c r="E104" s="92" t="s">
        <v>477</v>
      </c>
      <c r="F104" s="76" t="s">
        <v>56</v>
      </c>
      <c r="G104" s="76" t="s">
        <v>101</v>
      </c>
      <c r="H104" s="92" t="s">
        <v>419</v>
      </c>
      <c r="I104" s="77"/>
      <c r="J104" s="84"/>
      <c r="K104" s="80"/>
      <c r="L104" s="82" t="s">
        <v>12</v>
      </c>
      <c r="M104" s="84"/>
      <c r="N104" s="86"/>
      <c r="O104" s="86"/>
      <c r="P104" s="86"/>
      <c r="Q104" s="86"/>
      <c r="R104" s="86"/>
      <c r="S104" s="86"/>
      <c r="T104" s="86"/>
    </row>
    <row r="105" ht="123.75" customHeight="1" outlineLevel="1">
      <c r="A105" s="108" t="str">
        <f t="shared" si="10"/>
        <v>TC_Creator_Dee_89</v>
      </c>
      <c r="B105" s="72" t="s">
        <v>480</v>
      </c>
      <c r="C105" s="73"/>
      <c r="D105" s="72"/>
      <c r="E105" s="92" t="s">
        <v>477</v>
      </c>
      <c r="F105" s="76" t="s">
        <v>56</v>
      </c>
      <c r="G105" s="76" t="s">
        <v>101</v>
      </c>
      <c r="H105" s="78"/>
      <c r="I105" s="77"/>
      <c r="J105" s="84"/>
      <c r="K105" s="80"/>
      <c r="L105" s="82" t="s">
        <v>12</v>
      </c>
      <c r="M105" s="84"/>
      <c r="N105" s="86"/>
      <c r="O105" s="86"/>
      <c r="P105" s="86"/>
      <c r="Q105" s="86"/>
      <c r="R105" s="86"/>
      <c r="S105" s="86"/>
      <c r="T105" s="86"/>
    </row>
    <row r="106" ht="123.75" customHeight="1" outlineLevel="1">
      <c r="A106" s="108" t="str">
        <f t="shared" si="10"/>
        <v>TC_Creator_Dee_90</v>
      </c>
      <c r="B106" s="72" t="s">
        <v>481</v>
      </c>
      <c r="C106" s="73"/>
      <c r="D106" s="72"/>
      <c r="E106" s="92" t="s">
        <v>483</v>
      </c>
      <c r="F106" s="76" t="s">
        <v>56</v>
      </c>
      <c r="G106" s="76" t="s">
        <v>101</v>
      </c>
      <c r="H106" s="78"/>
      <c r="I106" s="77"/>
      <c r="J106" s="84"/>
      <c r="K106" s="80"/>
      <c r="L106" s="82" t="s">
        <v>12</v>
      </c>
      <c r="M106" s="84"/>
      <c r="N106" s="86"/>
      <c r="O106" s="86"/>
      <c r="P106" s="86"/>
      <c r="Q106" s="86"/>
      <c r="R106" s="86"/>
      <c r="S106" s="86"/>
      <c r="T106" s="86"/>
    </row>
    <row r="107" ht="123.75" customHeight="1" outlineLevel="1">
      <c r="A107" s="108" t="str">
        <f t="shared" si="10"/>
        <v>TC_Creator_Dee_91</v>
      </c>
      <c r="B107" s="72" t="s">
        <v>486</v>
      </c>
      <c r="C107" s="73"/>
      <c r="D107" s="72"/>
      <c r="E107" s="92" t="s">
        <v>487</v>
      </c>
      <c r="F107" s="76" t="s">
        <v>56</v>
      </c>
      <c r="G107" s="76" t="s">
        <v>101</v>
      </c>
      <c r="H107" s="78"/>
      <c r="I107" s="77"/>
      <c r="J107" s="84"/>
      <c r="K107" s="80"/>
      <c r="L107" s="82" t="s">
        <v>12</v>
      </c>
      <c r="M107" s="84"/>
      <c r="N107" s="86"/>
      <c r="O107" s="86"/>
      <c r="P107" s="86"/>
      <c r="Q107" s="86"/>
      <c r="R107" s="86"/>
      <c r="S107" s="86"/>
      <c r="T107" s="86"/>
    </row>
    <row r="108" ht="123.75" customHeight="1" outlineLevel="1">
      <c r="A108" s="108" t="str">
        <f t="shared" si="10"/>
        <v>TC_Creator_Dee_92</v>
      </c>
      <c r="B108" s="72" t="s">
        <v>489</v>
      </c>
      <c r="C108" s="73"/>
      <c r="D108" s="72"/>
      <c r="E108" s="92" t="s">
        <v>490</v>
      </c>
      <c r="F108" s="76" t="s">
        <v>56</v>
      </c>
      <c r="G108" s="76" t="s">
        <v>101</v>
      </c>
      <c r="H108" s="78"/>
      <c r="I108" s="77"/>
      <c r="J108" s="84"/>
      <c r="K108" s="80"/>
      <c r="L108" s="82" t="s">
        <v>12</v>
      </c>
      <c r="M108" s="84"/>
      <c r="N108" s="86"/>
      <c r="O108" s="86"/>
      <c r="P108" s="86"/>
      <c r="Q108" s="86"/>
      <c r="R108" s="86"/>
      <c r="S108" s="86"/>
      <c r="T108" s="86"/>
    </row>
    <row r="109" ht="123.75" customHeight="1" outlineLevel="1">
      <c r="A109" s="108" t="str">
        <f t="shared" si="10"/>
        <v>TC_Creator_Dee_93</v>
      </c>
      <c r="B109" s="72" t="s">
        <v>492</v>
      </c>
      <c r="C109" s="73"/>
      <c r="D109" s="72"/>
      <c r="E109" s="92" t="s">
        <v>494</v>
      </c>
      <c r="F109" s="76" t="s">
        <v>56</v>
      </c>
      <c r="G109" s="76" t="s">
        <v>101</v>
      </c>
      <c r="H109" s="78"/>
      <c r="I109" s="77"/>
      <c r="J109" s="84"/>
      <c r="K109" s="80"/>
      <c r="L109" s="82" t="s">
        <v>12</v>
      </c>
      <c r="M109" s="84"/>
      <c r="N109" s="86"/>
      <c r="O109" s="86"/>
      <c r="P109" s="86"/>
      <c r="Q109" s="86"/>
      <c r="R109" s="86"/>
      <c r="S109" s="86"/>
      <c r="T109" s="86"/>
    </row>
    <row r="110" ht="36.75" customHeight="1" outlineLevel="1">
      <c r="A110" s="101" t="s">
        <v>451</v>
      </c>
      <c r="B110" s="10"/>
      <c r="C110" s="102"/>
      <c r="D110" s="103"/>
      <c r="E110" s="103"/>
      <c r="F110" s="103"/>
      <c r="G110" s="104"/>
      <c r="H110" s="104"/>
      <c r="I110" s="104"/>
      <c r="J110" s="104"/>
      <c r="K110" s="104"/>
      <c r="L110" s="104"/>
      <c r="M110" s="104"/>
      <c r="N110" s="86"/>
      <c r="O110" s="86"/>
      <c r="P110" s="86"/>
      <c r="Q110" s="86"/>
      <c r="R110" s="86"/>
      <c r="S110" s="86"/>
      <c r="T110" s="86"/>
    </row>
    <row r="111" ht="123.75" customHeight="1" outlineLevel="1">
      <c r="A111" s="70" t="str">
        <f t="shared" ref="A111:A117" si="11">"TC_Creator_Dee_"&amp;(ROW()-ROW($A$12)+1-6)</f>
        <v>TC_Creator_Dee_94</v>
      </c>
      <c r="B111" s="72" t="s">
        <v>497</v>
      </c>
      <c r="C111" s="73"/>
      <c r="D111" s="72"/>
      <c r="E111" s="92" t="s">
        <v>456</v>
      </c>
      <c r="F111" s="76" t="s">
        <v>56</v>
      </c>
      <c r="G111" s="76" t="s">
        <v>214</v>
      </c>
      <c r="H111" s="78"/>
      <c r="I111" s="77"/>
      <c r="J111" s="84"/>
      <c r="K111" s="80"/>
      <c r="L111" s="82" t="s">
        <v>12</v>
      </c>
      <c r="M111" s="84"/>
      <c r="N111" s="86"/>
      <c r="O111" s="86"/>
      <c r="P111" s="86"/>
      <c r="Q111" s="86"/>
      <c r="R111" s="86"/>
      <c r="S111" s="86"/>
      <c r="T111" s="86"/>
    </row>
    <row r="112" ht="123.75" customHeight="1" outlineLevel="1">
      <c r="A112" s="70" t="str">
        <f t="shared" si="11"/>
        <v>TC_Creator_Dee_95</v>
      </c>
      <c r="B112" s="72" t="s">
        <v>499</v>
      </c>
      <c r="C112" s="73"/>
      <c r="D112" s="72"/>
      <c r="E112" s="92" t="s">
        <v>460</v>
      </c>
      <c r="F112" s="76" t="s">
        <v>56</v>
      </c>
      <c r="G112" s="76" t="s">
        <v>214</v>
      </c>
      <c r="H112" s="78"/>
      <c r="I112" s="77"/>
      <c r="J112" s="84"/>
      <c r="K112" s="80"/>
      <c r="L112" s="82" t="s">
        <v>12</v>
      </c>
      <c r="M112" s="84"/>
      <c r="N112" s="86"/>
      <c r="O112" s="86"/>
      <c r="P112" s="86"/>
      <c r="Q112" s="86"/>
      <c r="R112" s="86"/>
      <c r="S112" s="86"/>
      <c r="T112" s="86"/>
    </row>
    <row r="113" ht="123.75" customHeight="1" outlineLevel="1">
      <c r="A113" s="70" t="str">
        <f t="shared" si="11"/>
        <v>TC_Creator_Dee_96</v>
      </c>
      <c r="B113" s="72" t="s">
        <v>501</v>
      </c>
      <c r="C113" s="73"/>
      <c r="D113" s="72"/>
      <c r="E113" s="92" t="s">
        <v>502</v>
      </c>
      <c r="F113" s="76" t="s">
        <v>56</v>
      </c>
      <c r="G113" s="76" t="s">
        <v>214</v>
      </c>
      <c r="H113" s="78"/>
      <c r="I113" s="77"/>
      <c r="J113" s="84"/>
      <c r="K113" s="80"/>
      <c r="L113" s="82" t="s">
        <v>12</v>
      </c>
      <c r="M113" s="84"/>
      <c r="N113" s="86"/>
      <c r="O113" s="86"/>
      <c r="P113" s="86"/>
      <c r="Q113" s="86"/>
      <c r="R113" s="86"/>
      <c r="S113" s="86"/>
      <c r="T113" s="86"/>
    </row>
    <row r="114" ht="123.75" customHeight="1" outlineLevel="1">
      <c r="A114" s="70" t="str">
        <f t="shared" si="11"/>
        <v>TC_Creator_Dee_97</v>
      </c>
      <c r="B114" s="72" t="s">
        <v>504</v>
      </c>
      <c r="C114" s="73"/>
      <c r="D114" s="72"/>
      <c r="E114" s="92" t="s">
        <v>470</v>
      </c>
      <c r="F114" s="76" t="s">
        <v>56</v>
      </c>
      <c r="G114" s="76" t="s">
        <v>214</v>
      </c>
      <c r="H114" s="78"/>
      <c r="I114" s="77"/>
      <c r="J114" s="84"/>
      <c r="K114" s="80"/>
      <c r="L114" s="82" t="s">
        <v>12</v>
      </c>
      <c r="M114" s="84"/>
      <c r="N114" s="86"/>
      <c r="O114" s="86"/>
      <c r="P114" s="86"/>
      <c r="Q114" s="86"/>
      <c r="R114" s="86"/>
      <c r="S114" s="86"/>
      <c r="T114" s="86"/>
    </row>
    <row r="115" ht="123.75" customHeight="1" outlineLevel="1">
      <c r="A115" s="70" t="str">
        <f t="shared" si="11"/>
        <v>TC_Creator_Dee_98</v>
      </c>
      <c r="B115" s="72" t="s">
        <v>506</v>
      </c>
      <c r="C115" s="73"/>
      <c r="D115" s="72"/>
      <c r="E115" s="92" t="s">
        <v>507</v>
      </c>
      <c r="F115" s="76" t="s">
        <v>56</v>
      </c>
      <c r="G115" s="76" t="s">
        <v>214</v>
      </c>
      <c r="H115" s="78"/>
      <c r="I115" s="77"/>
      <c r="J115" s="84"/>
      <c r="K115" s="80"/>
      <c r="L115" s="82" t="s">
        <v>12</v>
      </c>
      <c r="M115" s="84"/>
      <c r="N115" s="86"/>
      <c r="O115" s="86"/>
      <c r="P115" s="86"/>
      <c r="Q115" s="86"/>
      <c r="R115" s="86"/>
      <c r="S115" s="86"/>
      <c r="T115" s="86"/>
    </row>
    <row r="116" ht="123.75" customHeight="1" outlineLevel="1">
      <c r="A116" s="70" t="str">
        <f t="shared" si="11"/>
        <v>TC_Creator_Dee_99</v>
      </c>
      <c r="B116" s="72" t="s">
        <v>508</v>
      </c>
      <c r="C116" s="73"/>
      <c r="D116" s="72"/>
      <c r="E116" s="92" t="s">
        <v>510</v>
      </c>
      <c r="F116" s="76" t="s">
        <v>56</v>
      </c>
      <c r="G116" s="76" t="s">
        <v>214</v>
      </c>
      <c r="H116" s="78"/>
      <c r="I116" s="77"/>
      <c r="J116" s="84"/>
      <c r="K116" s="80"/>
      <c r="L116" s="82" t="s">
        <v>12</v>
      </c>
      <c r="M116" s="84"/>
      <c r="N116" s="86"/>
      <c r="O116" s="86"/>
      <c r="P116" s="86"/>
      <c r="Q116" s="86"/>
      <c r="R116" s="86"/>
      <c r="S116" s="86"/>
      <c r="T116" s="86"/>
    </row>
    <row r="117" ht="123.75" customHeight="1" outlineLevel="1">
      <c r="A117" s="70" t="str">
        <f t="shared" si="11"/>
        <v>TC_Creator_Dee_100</v>
      </c>
      <c r="B117" s="72" t="s">
        <v>511</v>
      </c>
      <c r="C117" s="73"/>
      <c r="D117" s="72"/>
      <c r="E117" s="92" t="s">
        <v>512</v>
      </c>
      <c r="F117" s="76" t="s">
        <v>56</v>
      </c>
      <c r="G117" s="76" t="s">
        <v>214</v>
      </c>
      <c r="H117" s="78"/>
      <c r="I117" s="77"/>
      <c r="J117" s="84"/>
      <c r="K117" s="80"/>
      <c r="L117" s="82" t="s">
        <v>12</v>
      </c>
      <c r="M117" s="84"/>
      <c r="N117" s="86"/>
      <c r="O117" s="86"/>
      <c r="P117" s="86"/>
      <c r="Q117" s="86"/>
      <c r="R117" s="86"/>
      <c r="S117" s="86"/>
      <c r="T117" s="86"/>
    </row>
    <row r="118" ht="33.0" customHeight="1" outlineLevel="1">
      <c r="A118" s="101" t="s">
        <v>514</v>
      </c>
      <c r="B118" s="10"/>
      <c r="C118" s="102"/>
      <c r="D118" s="103"/>
      <c r="E118" s="103"/>
      <c r="F118" s="103"/>
      <c r="G118" s="104"/>
      <c r="H118" s="104"/>
      <c r="I118" s="104"/>
      <c r="J118" s="104"/>
      <c r="K118" s="104"/>
      <c r="L118" s="104"/>
      <c r="M118" s="104"/>
      <c r="N118" s="86"/>
      <c r="O118" s="86"/>
      <c r="P118" s="86"/>
      <c r="Q118" s="86"/>
      <c r="R118" s="86"/>
      <c r="S118" s="86"/>
      <c r="T118" s="86"/>
    </row>
    <row r="119" ht="123.75" customHeight="1" outlineLevel="1">
      <c r="A119" s="70" t="str">
        <f t="shared" ref="A119:A123" si="12">"TC_Creator_Dee_"&amp;(ROW()-ROW($A$12)+1-7)</f>
        <v>TC_Creator_Dee_101</v>
      </c>
      <c r="B119" s="72" t="s">
        <v>516</v>
      </c>
      <c r="C119" s="73"/>
      <c r="D119" s="72"/>
      <c r="E119" s="92" t="s">
        <v>518</v>
      </c>
      <c r="F119" s="76" t="s">
        <v>56</v>
      </c>
      <c r="G119" s="76" t="s">
        <v>101</v>
      </c>
      <c r="H119" s="78"/>
      <c r="I119" s="77"/>
      <c r="J119" s="84"/>
      <c r="K119" s="80"/>
      <c r="L119" s="82" t="s">
        <v>12</v>
      </c>
      <c r="M119" s="84"/>
      <c r="N119" s="86"/>
      <c r="O119" s="86"/>
      <c r="P119" s="86"/>
      <c r="Q119" s="86"/>
      <c r="R119" s="86"/>
      <c r="S119" s="86"/>
      <c r="T119" s="86"/>
    </row>
    <row r="120" ht="123.75" customHeight="1" outlineLevel="1">
      <c r="A120" s="70" t="str">
        <f t="shared" si="12"/>
        <v>TC_Creator_Dee_102</v>
      </c>
      <c r="B120" s="72" t="s">
        <v>520</v>
      </c>
      <c r="C120" s="73"/>
      <c r="D120" s="72"/>
      <c r="E120" s="92" t="s">
        <v>521</v>
      </c>
      <c r="F120" s="76" t="s">
        <v>56</v>
      </c>
      <c r="G120" s="76" t="s">
        <v>101</v>
      </c>
      <c r="H120" s="78"/>
      <c r="I120" s="77"/>
      <c r="J120" s="84"/>
      <c r="K120" s="80"/>
      <c r="L120" s="82" t="s">
        <v>12</v>
      </c>
      <c r="M120" s="84"/>
      <c r="N120" s="86"/>
      <c r="O120" s="86"/>
      <c r="P120" s="86"/>
      <c r="Q120" s="86"/>
      <c r="R120" s="86"/>
      <c r="S120" s="86"/>
      <c r="T120" s="86"/>
    </row>
    <row r="121" ht="123.75" customHeight="1" outlineLevel="1">
      <c r="A121" s="70" t="str">
        <f t="shared" si="12"/>
        <v>TC_Creator_Dee_103</v>
      </c>
      <c r="B121" s="72" t="s">
        <v>522</v>
      </c>
      <c r="C121" s="73"/>
      <c r="D121" s="72"/>
      <c r="E121" s="92" t="s">
        <v>523</v>
      </c>
      <c r="F121" s="76" t="s">
        <v>56</v>
      </c>
      <c r="G121" s="76" t="s">
        <v>101</v>
      </c>
      <c r="H121" s="78"/>
      <c r="I121" s="77"/>
      <c r="J121" s="84"/>
      <c r="K121" s="80"/>
      <c r="L121" s="82" t="s">
        <v>12</v>
      </c>
      <c r="M121" s="84"/>
      <c r="N121" s="86"/>
      <c r="O121" s="86"/>
      <c r="P121" s="86"/>
      <c r="Q121" s="86"/>
      <c r="R121" s="86"/>
      <c r="S121" s="86"/>
      <c r="T121" s="86"/>
    </row>
    <row r="122" ht="123.75" customHeight="1" outlineLevel="1">
      <c r="A122" s="70" t="str">
        <f t="shared" si="12"/>
        <v>TC_Creator_Dee_104</v>
      </c>
      <c r="B122" s="72" t="s">
        <v>525</v>
      </c>
      <c r="C122" s="73"/>
      <c r="D122" s="72"/>
      <c r="E122" s="92" t="s">
        <v>526</v>
      </c>
      <c r="F122" s="76" t="s">
        <v>56</v>
      </c>
      <c r="G122" s="76" t="s">
        <v>101</v>
      </c>
      <c r="H122" s="78"/>
      <c r="I122" s="77"/>
      <c r="J122" s="84"/>
      <c r="K122" s="80"/>
      <c r="L122" s="82" t="s">
        <v>12</v>
      </c>
      <c r="M122" s="84"/>
      <c r="N122" s="86"/>
      <c r="O122" s="86"/>
      <c r="P122" s="86"/>
      <c r="Q122" s="86"/>
      <c r="R122" s="86"/>
      <c r="S122" s="86"/>
      <c r="T122" s="86"/>
    </row>
    <row r="123" ht="123.75" customHeight="1" outlineLevel="1">
      <c r="A123" s="70" t="str">
        <f t="shared" si="12"/>
        <v>TC_Creator_Dee_105</v>
      </c>
      <c r="B123" s="72" t="s">
        <v>528</v>
      </c>
      <c r="C123" s="73"/>
      <c r="D123" s="72"/>
      <c r="E123" s="92" t="s">
        <v>529</v>
      </c>
      <c r="F123" s="76" t="s">
        <v>56</v>
      </c>
      <c r="G123" s="76" t="s">
        <v>101</v>
      </c>
      <c r="H123" s="78"/>
      <c r="I123" s="77"/>
      <c r="J123" s="84"/>
      <c r="K123" s="80"/>
      <c r="L123" s="82" t="s">
        <v>12</v>
      </c>
      <c r="M123" s="84"/>
      <c r="N123" s="86"/>
      <c r="O123" s="86"/>
      <c r="P123" s="86"/>
      <c r="Q123" s="86"/>
      <c r="R123" s="86"/>
      <c r="S123" s="86"/>
      <c r="T123" s="86"/>
    </row>
    <row r="124" ht="42.0" customHeight="1">
      <c r="A124" s="55" t="s">
        <v>531</v>
      </c>
      <c r="B124" s="10"/>
      <c r="C124" s="57"/>
      <c r="D124" s="58"/>
      <c r="E124" s="58"/>
      <c r="F124" s="58"/>
      <c r="G124" s="60"/>
      <c r="H124" s="60"/>
      <c r="I124" s="60"/>
      <c r="J124" s="60"/>
      <c r="K124" s="60"/>
      <c r="L124" s="60"/>
      <c r="M124" s="60"/>
      <c r="N124" s="49"/>
      <c r="O124" s="49"/>
      <c r="P124" s="49"/>
      <c r="Q124" s="49"/>
      <c r="R124" s="49"/>
      <c r="S124" s="49"/>
      <c r="T124" s="49"/>
    </row>
    <row r="125" ht="123.75" customHeight="1" outlineLevel="1">
      <c r="A125" s="70" t="str">
        <f t="shared" ref="A125:A138" si="13">"TC_Creator_Dee_"&amp;(ROW()-ROW($A$12)+1-2)</f>
        <v>TC_Creator_Dee_112</v>
      </c>
      <c r="B125" s="72" t="s">
        <v>533</v>
      </c>
      <c r="C125" s="73"/>
      <c r="D125" s="72"/>
      <c r="E125" s="92" t="s">
        <v>207</v>
      </c>
      <c r="F125" s="76" t="s">
        <v>56</v>
      </c>
      <c r="G125" s="76" t="s">
        <v>101</v>
      </c>
      <c r="H125" s="78"/>
      <c r="I125" s="77"/>
      <c r="J125" s="84"/>
      <c r="K125" s="80"/>
      <c r="L125" s="82" t="s">
        <v>12</v>
      </c>
      <c r="M125" s="84"/>
      <c r="N125" s="86"/>
      <c r="O125" s="86"/>
      <c r="P125" s="86"/>
      <c r="Q125" s="86"/>
      <c r="R125" s="86"/>
      <c r="S125" s="86"/>
      <c r="T125" s="86"/>
    </row>
    <row r="126" ht="123.75" customHeight="1" outlineLevel="1">
      <c r="A126" s="70" t="str">
        <f t="shared" si="13"/>
        <v>TC_Creator_Dee_113</v>
      </c>
      <c r="B126" s="72" t="s">
        <v>535</v>
      </c>
      <c r="C126" s="73"/>
      <c r="D126" s="72"/>
      <c r="E126" s="92" t="s">
        <v>211</v>
      </c>
      <c r="F126" s="76" t="s">
        <v>56</v>
      </c>
      <c r="G126" s="76" t="s">
        <v>101</v>
      </c>
      <c r="H126" s="78"/>
      <c r="I126" s="77"/>
      <c r="J126" s="84"/>
      <c r="K126" s="80"/>
      <c r="L126" s="82" t="s">
        <v>12</v>
      </c>
      <c r="M126" s="84"/>
      <c r="N126" s="86"/>
      <c r="O126" s="86"/>
      <c r="P126" s="86"/>
      <c r="Q126" s="86"/>
      <c r="R126" s="86"/>
      <c r="S126" s="86"/>
      <c r="T126" s="86"/>
    </row>
    <row r="127" ht="123.75" customHeight="1" outlineLevel="1">
      <c r="A127" s="70" t="str">
        <f t="shared" si="13"/>
        <v>TC_Creator_Dee_114</v>
      </c>
      <c r="B127" s="72" t="s">
        <v>537</v>
      </c>
      <c r="C127" s="73"/>
      <c r="D127" s="72"/>
      <c r="E127" s="92"/>
      <c r="F127" s="76" t="s">
        <v>56</v>
      </c>
      <c r="G127" s="76" t="s">
        <v>101</v>
      </c>
      <c r="H127" s="78"/>
      <c r="I127" s="77"/>
      <c r="J127" s="84"/>
      <c r="K127" s="80"/>
      <c r="L127" s="82" t="s">
        <v>12</v>
      </c>
      <c r="M127" s="84"/>
      <c r="N127" s="86"/>
      <c r="O127" s="86"/>
      <c r="P127" s="86"/>
      <c r="Q127" s="86"/>
      <c r="R127" s="86"/>
      <c r="S127" s="86"/>
      <c r="T127" s="86"/>
    </row>
    <row r="128" ht="123.75" customHeight="1" outlineLevel="1">
      <c r="A128" s="70" t="str">
        <f t="shared" si="13"/>
        <v>TC_Creator_Dee_115</v>
      </c>
      <c r="B128" s="72" t="s">
        <v>539</v>
      </c>
      <c r="C128" s="73"/>
      <c r="D128" s="72"/>
      <c r="E128" s="92"/>
      <c r="F128" s="76" t="s">
        <v>56</v>
      </c>
      <c r="G128" s="76" t="s">
        <v>101</v>
      </c>
      <c r="H128" s="78"/>
      <c r="I128" s="77"/>
      <c r="J128" s="84"/>
      <c r="K128" s="80"/>
      <c r="L128" s="82" t="s">
        <v>12</v>
      </c>
      <c r="M128" s="84"/>
      <c r="N128" s="86"/>
      <c r="O128" s="86"/>
      <c r="P128" s="86"/>
      <c r="Q128" s="86"/>
      <c r="R128" s="86"/>
      <c r="S128" s="86"/>
      <c r="T128" s="86"/>
    </row>
    <row r="129" ht="123.75" customHeight="1" outlineLevel="1">
      <c r="A129" s="70" t="str">
        <f t="shared" si="13"/>
        <v>TC_Creator_Dee_116</v>
      </c>
      <c r="B129" s="72" t="s">
        <v>541</v>
      </c>
      <c r="C129" s="73"/>
      <c r="D129" s="72"/>
      <c r="E129" s="92" t="s">
        <v>213</v>
      </c>
      <c r="F129" s="76" t="s">
        <v>109</v>
      </c>
      <c r="G129" s="76" t="s">
        <v>214</v>
      </c>
      <c r="H129" s="78"/>
      <c r="I129" s="77"/>
      <c r="J129" s="84"/>
      <c r="K129" s="80"/>
      <c r="L129" s="82" t="s">
        <v>12</v>
      </c>
      <c r="M129" s="84"/>
      <c r="N129" s="86"/>
      <c r="O129" s="86"/>
      <c r="P129" s="86"/>
      <c r="Q129" s="86"/>
      <c r="R129" s="86"/>
      <c r="S129" s="86"/>
      <c r="T129" s="86"/>
    </row>
    <row r="130" ht="123.75" customHeight="1" outlineLevel="1">
      <c r="A130" s="70" t="str">
        <f t="shared" si="13"/>
        <v>TC_Creator_Dee_117</v>
      </c>
      <c r="B130" s="72" t="s">
        <v>543</v>
      </c>
      <c r="C130" s="73"/>
      <c r="D130" s="72"/>
      <c r="E130" s="92" t="s">
        <v>544</v>
      </c>
      <c r="F130" s="76" t="s">
        <v>109</v>
      </c>
      <c r="G130" s="76" t="s">
        <v>101</v>
      </c>
      <c r="H130" s="78"/>
      <c r="I130" s="77"/>
      <c r="J130" s="84"/>
      <c r="K130" s="80"/>
      <c r="L130" s="82" t="s">
        <v>12</v>
      </c>
      <c r="M130" s="84"/>
      <c r="N130" s="86"/>
      <c r="O130" s="86"/>
      <c r="P130" s="86"/>
      <c r="Q130" s="86"/>
      <c r="R130" s="86"/>
      <c r="S130" s="86"/>
      <c r="T130" s="86"/>
    </row>
    <row r="131" ht="123.75" customHeight="1" outlineLevel="1">
      <c r="A131" s="70" t="str">
        <f t="shared" si="13"/>
        <v>TC_Creator_Dee_118</v>
      </c>
      <c r="B131" s="72" t="s">
        <v>546</v>
      </c>
      <c r="C131" s="73"/>
      <c r="D131" s="72"/>
      <c r="E131" s="92" t="s">
        <v>544</v>
      </c>
      <c r="F131" s="76" t="s">
        <v>109</v>
      </c>
      <c r="G131" s="76" t="s">
        <v>214</v>
      </c>
      <c r="H131" s="78"/>
      <c r="I131" s="77"/>
      <c r="J131" s="84"/>
      <c r="K131" s="80"/>
      <c r="L131" s="82" t="s">
        <v>12</v>
      </c>
      <c r="M131" s="84"/>
      <c r="N131" s="86"/>
      <c r="O131" s="86"/>
      <c r="P131" s="86"/>
      <c r="Q131" s="86"/>
      <c r="R131" s="86"/>
      <c r="S131" s="86"/>
      <c r="T131" s="86"/>
    </row>
    <row r="132" ht="123.75" customHeight="1" outlineLevel="1">
      <c r="A132" s="70" t="str">
        <f t="shared" si="13"/>
        <v>TC_Creator_Dee_119</v>
      </c>
      <c r="B132" s="72" t="s">
        <v>548</v>
      </c>
      <c r="C132" s="73"/>
      <c r="D132" s="72"/>
      <c r="E132" s="92" t="s">
        <v>544</v>
      </c>
      <c r="F132" s="76" t="s">
        <v>109</v>
      </c>
      <c r="G132" s="76" t="s">
        <v>57</v>
      </c>
      <c r="H132" s="78"/>
      <c r="I132" s="77"/>
      <c r="J132" s="84"/>
      <c r="K132" s="80"/>
      <c r="L132" s="82" t="s">
        <v>12</v>
      </c>
      <c r="M132" s="84"/>
      <c r="N132" s="86"/>
      <c r="O132" s="86"/>
      <c r="P132" s="86"/>
      <c r="Q132" s="86"/>
      <c r="R132" s="86"/>
      <c r="S132" s="86"/>
      <c r="T132" s="86"/>
    </row>
    <row r="133" ht="123.75" customHeight="1" outlineLevel="1">
      <c r="A133" s="70" t="str">
        <f t="shared" si="13"/>
        <v>TC_Creator_Dee_120</v>
      </c>
      <c r="B133" s="72" t="s">
        <v>550</v>
      </c>
      <c r="C133" s="73"/>
      <c r="D133" s="72"/>
      <c r="E133" s="92" t="s">
        <v>544</v>
      </c>
      <c r="F133" s="76" t="s">
        <v>109</v>
      </c>
      <c r="G133" s="76" t="s">
        <v>214</v>
      </c>
      <c r="H133" s="78"/>
      <c r="I133" s="77"/>
      <c r="J133" s="84"/>
      <c r="K133" s="80"/>
      <c r="L133" s="82" t="s">
        <v>12</v>
      </c>
      <c r="M133" s="84"/>
      <c r="N133" s="86"/>
      <c r="O133" s="86"/>
      <c r="P133" s="86"/>
      <c r="Q133" s="86"/>
      <c r="R133" s="86"/>
      <c r="S133" s="86"/>
      <c r="T133" s="86"/>
    </row>
    <row r="134" ht="123.75" customHeight="1" outlineLevel="1">
      <c r="A134" s="70" t="str">
        <f t="shared" si="13"/>
        <v>TC_Creator_Dee_121</v>
      </c>
      <c r="B134" s="72" t="s">
        <v>552</v>
      </c>
      <c r="C134" s="73"/>
      <c r="D134" s="72"/>
      <c r="E134" s="92" t="s">
        <v>553</v>
      </c>
      <c r="F134" s="76" t="s">
        <v>109</v>
      </c>
      <c r="G134" s="76" t="s">
        <v>214</v>
      </c>
      <c r="H134" s="78"/>
      <c r="I134" s="77"/>
      <c r="J134" s="84"/>
      <c r="K134" s="80"/>
      <c r="L134" s="82" t="s">
        <v>12</v>
      </c>
      <c r="M134" s="84"/>
      <c r="N134" s="86"/>
      <c r="O134" s="86"/>
      <c r="P134" s="86"/>
      <c r="Q134" s="86"/>
      <c r="R134" s="86"/>
      <c r="S134" s="86"/>
      <c r="T134" s="86"/>
    </row>
    <row r="135" ht="123.75" customHeight="1" outlineLevel="1">
      <c r="A135" s="70" t="str">
        <f t="shared" si="13"/>
        <v>TC_Creator_Dee_122</v>
      </c>
      <c r="B135" s="72" t="s">
        <v>555</v>
      </c>
      <c r="C135" s="73"/>
      <c r="D135" s="72"/>
      <c r="E135" s="92" t="s">
        <v>544</v>
      </c>
      <c r="F135" s="76" t="s">
        <v>109</v>
      </c>
      <c r="G135" s="76" t="s">
        <v>214</v>
      </c>
      <c r="H135" s="78"/>
      <c r="I135" s="77"/>
      <c r="J135" s="84"/>
      <c r="K135" s="80"/>
      <c r="L135" s="82" t="s">
        <v>12</v>
      </c>
      <c r="M135" s="84"/>
      <c r="N135" s="86"/>
      <c r="O135" s="86"/>
      <c r="P135" s="86"/>
      <c r="Q135" s="86"/>
      <c r="R135" s="86"/>
      <c r="S135" s="86"/>
      <c r="T135" s="86"/>
    </row>
    <row r="136" ht="123.75" customHeight="1" outlineLevel="1">
      <c r="A136" s="70" t="str">
        <f t="shared" si="13"/>
        <v>TC_Creator_Dee_123</v>
      </c>
      <c r="B136" s="72" t="s">
        <v>557</v>
      </c>
      <c r="C136" s="73"/>
      <c r="D136" s="72"/>
      <c r="E136" s="92" t="s">
        <v>544</v>
      </c>
      <c r="F136" s="76" t="s">
        <v>109</v>
      </c>
      <c r="G136" s="76" t="s">
        <v>214</v>
      </c>
      <c r="H136" s="78"/>
      <c r="I136" s="77"/>
      <c r="J136" s="84"/>
      <c r="K136" s="80"/>
      <c r="L136" s="82" t="s">
        <v>12</v>
      </c>
      <c r="M136" s="84"/>
      <c r="N136" s="86"/>
      <c r="O136" s="86"/>
      <c r="P136" s="86"/>
      <c r="Q136" s="86"/>
      <c r="R136" s="86"/>
      <c r="S136" s="86"/>
      <c r="T136" s="86"/>
    </row>
    <row r="137" ht="123.75" customHeight="1" outlineLevel="1">
      <c r="A137" s="70" t="str">
        <f t="shared" si="13"/>
        <v>TC_Creator_Dee_124</v>
      </c>
      <c r="B137" s="72" t="s">
        <v>559</v>
      </c>
      <c r="C137" s="73"/>
      <c r="D137" s="72"/>
      <c r="E137" s="92" t="s">
        <v>544</v>
      </c>
      <c r="F137" s="76" t="s">
        <v>109</v>
      </c>
      <c r="G137" s="76" t="s">
        <v>57</v>
      </c>
      <c r="H137" s="78"/>
      <c r="I137" s="77"/>
      <c r="J137" s="84"/>
      <c r="K137" s="80"/>
      <c r="L137" s="82" t="s">
        <v>12</v>
      </c>
      <c r="M137" s="84"/>
      <c r="N137" s="86"/>
      <c r="O137" s="86"/>
      <c r="P137" s="86"/>
      <c r="Q137" s="86"/>
      <c r="R137" s="86"/>
      <c r="S137" s="86"/>
      <c r="T137" s="86"/>
    </row>
    <row r="138" ht="123.75" customHeight="1" outlineLevel="1">
      <c r="A138" s="108" t="str">
        <f t="shared" si="13"/>
        <v>TC_Creator_Dee_125</v>
      </c>
      <c r="B138" s="72" t="s">
        <v>561</v>
      </c>
      <c r="C138" s="73"/>
      <c r="D138" s="72"/>
      <c r="E138" s="92" t="s">
        <v>544</v>
      </c>
      <c r="F138" s="76" t="s">
        <v>109</v>
      </c>
      <c r="G138" s="76" t="s">
        <v>214</v>
      </c>
      <c r="H138" s="78"/>
      <c r="I138" s="77"/>
      <c r="J138" s="84"/>
      <c r="K138" s="80"/>
      <c r="L138" s="82" t="s">
        <v>12</v>
      </c>
      <c r="M138" s="84"/>
      <c r="N138" s="86"/>
      <c r="O138" s="86"/>
      <c r="P138" s="86"/>
      <c r="Q138" s="86"/>
      <c r="R138" s="86"/>
      <c r="S138" s="86"/>
      <c r="T138" s="86"/>
    </row>
    <row r="139" ht="15.75" customHeight="1">
      <c r="I139" s="117"/>
      <c r="K139" s="117"/>
      <c r="L139" s="118"/>
    </row>
    <row r="140" ht="15.75" customHeight="1">
      <c r="I140" s="117"/>
      <c r="K140" s="117"/>
      <c r="L140" s="118"/>
    </row>
    <row r="141" ht="15.75" customHeight="1">
      <c r="I141" s="117"/>
      <c r="K141" s="117"/>
      <c r="L141" s="118"/>
    </row>
    <row r="142" ht="15.75" customHeight="1">
      <c r="I142" s="117"/>
      <c r="K142" s="117"/>
      <c r="L142" s="118"/>
    </row>
    <row r="143" ht="15.75" customHeight="1">
      <c r="I143" s="117"/>
      <c r="K143" s="117"/>
      <c r="L143" s="118"/>
    </row>
    <row r="144" ht="15.75" customHeight="1">
      <c r="I144" s="117"/>
      <c r="K144" s="117"/>
      <c r="L144" s="118"/>
    </row>
    <row r="145" ht="15.75" customHeight="1">
      <c r="I145" s="117"/>
      <c r="K145" s="117"/>
      <c r="L145" s="118"/>
    </row>
    <row r="146" ht="15.75" customHeight="1">
      <c r="I146" s="117"/>
      <c r="K146" s="117"/>
      <c r="L146" s="118"/>
    </row>
    <row r="147" ht="15.75" customHeight="1">
      <c r="I147" s="117"/>
      <c r="K147" s="117"/>
      <c r="L147" s="118"/>
    </row>
    <row r="148" ht="15.75" customHeight="1">
      <c r="I148" s="117"/>
      <c r="K148" s="117"/>
      <c r="L148" s="118"/>
    </row>
    <row r="149" ht="15.75" customHeight="1">
      <c r="I149" s="117"/>
      <c r="K149" s="117"/>
      <c r="L149" s="118"/>
    </row>
    <row r="150" ht="15.75" customHeight="1">
      <c r="I150" s="117"/>
      <c r="K150" s="117"/>
      <c r="L150" s="118"/>
    </row>
    <row r="151" ht="15.75" customHeight="1">
      <c r="I151" s="117"/>
      <c r="K151" s="117"/>
      <c r="L151" s="118"/>
    </row>
    <row r="152" ht="15.75" customHeight="1">
      <c r="I152" s="117"/>
      <c r="K152" s="117"/>
      <c r="L152" s="118"/>
    </row>
    <row r="153" ht="15.75" customHeight="1">
      <c r="I153" s="117"/>
      <c r="K153" s="117"/>
      <c r="L153" s="118"/>
    </row>
    <row r="154" ht="15.75" customHeight="1">
      <c r="I154" s="117"/>
      <c r="K154" s="117"/>
      <c r="L154" s="118"/>
    </row>
    <row r="155" ht="15.75" customHeight="1">
      <c r="I155" s="117"/>
      <c r="K155" s="117"/>
      <c r="L155" s="118"/>
    </row>
    <row r="156" ht="15.75" customHeight="1">
      <c r="I156" s="117"/>
      <c r="K156" s="117"/>
      <c r="L156" s="118"/>
    </row>
    <row r="157" ht="15.75" customHeight="1">
      <c r="I157" s="117"/>
      <c r="K157" s="117"/>
      <c r="L157" s="118"/>
    </row>
    <row r="158" ht="15.75" customHeight="1">
      <c r="I158" s="117"/>
      <c r="K158" s="117"/>
      <c r="L158" s="118"/>
    </row>
    <row r="159" ht="15.75" customHeight="1">
      <c r="I159" s="117"/>
      <c r="K159" s="117"/>
      <c r="L159" s="118"/>
    </row>
    <row r="160" ht="15.75" customHeight="1">
      <c r="I160" s="117"/>
      <c r="K160" s="117"/>
      <c r="L160" s="118"/>
    </row>
    <row r="161" ht="15.75" customHeight="1">
      <c r="I161" s="117"/>
      <c r="K161" s="117"/>
      <c r="L161" s="118"/>
    </row>
    <row r="162" ht="15.75" customHeight="1">
      <c r="I162" s="117"/>
      <c r="K162" s="117"/>
      <c r="L162" s="118"/>
    </row>
    <row r="163" ht="15.75" customHeight="1">
      <c r="I163" s="117"/>
      <c r="K163" s="117"/>
      <c r="L163" s="118"/>
    </row>
    <row r="164" ht="15.75" customHeight="1">
      <c r="I164" s="117"/>
      <c r="K164" s="117"/>
      <c r="L164" s="118"/>
    </row>
    <row r="165" ht="15.75" customHeight="1">
      <c r="I165" s="117"/>
      <c r="K165" s="117"/>
      <c r="L165" s="118"/>
    </row>
    <row r="166" ht="15.75" customHeight="1">
      <c r="I166" s="117"/>
      <c r="K166" s="117"/>
      <c r="L166" s="118"/>
    </row>
    <row r="167" ht="15.75" customHeight="1">
      <c r="I167" s="117"/>
      <c r="K167" s="117"/>
      <c r="L167" s="118"/>
    </row>
    <row r="168" ht="15.75" customHeight="1">
      <c r="I168" s="117"/>
      <c r="K168" s="117"/>
      <c r="L168" s="118"/>
    </row>
    <row r="169" ht="15.75" customHeight="1">
      <c r="I169" s="117"/>
      <c r="K169" s="117"/>
      <c r="L169" s="118"/>
    </row>
    <row r="170" ht="15.75" customHeight="1">
      <c r="I170" s="117"/>
      <c r="K170" s="117"/>
      <c r="L170" s="118"/>
    </row>
    <row r="171" ht="15.75" customHeight="1">
      <c r="I171" s="117"/>
      <c r="K171" s="117"/>
      <c r="L171" s="118"/>
    </row>
    <row r="172" ht="15.75" customHeight="1">
      <c r="I172" s="117"/>
      <c r="K172" s="117"/>
      <c r="L172" s="118"/>
    </row>
    <row r="173" ht="15.75" customHeight="1">
      <c r="I173" s="117"/>
      <c r="K173" s="117"/>
      <c r="L173" s="118"/>
    </row>
    <row r="174" ht="15.75" customHeight="1">
      <c r="I174" s="117"/>
      <c r="K174" s="117"/>
      <c r="L174" s="118"/>
    </row>
    <row r="175" ht="15.75" customHeight="1">
      <c r="I175" s="117"/>
      <c r="K175" s="117"/>
      <c r="L175" s="118"/>
    </row>
    <row r="176" ht="15.75" customHeight="1">
      <c r="I176" s="117"/>
      <c r="K176" s="117"/>
      <c r="L176" s="118"/>
    </row>
    <row r="177" ht="15.75" customHeight="1">
      <c r="I177" s="117"/>
      <c r="K177" s="117"/>
      <c r="L177" s="118"/>
    </row>
    <row r="178" ht="15.75" customHeight="1">
      <c r="I178" s="117"/>
      <c r="K178" s="117"/>
      <c r="L178" s="118"/>
    </row>
    <row r="179" ht="15.75" customHeight="1">
      <c r="I179" s="117"/>
      <c r="K179" s="117"/>
      <c r="L179" s="118"/>
    </row>
    <row r="180" ht="15.75" customHeight="1">
      <c r="I180" s="117"/>
      <c r="K180" s="117"/>
      <c r="L180" s="118"/>
    </row>
    <row r="181" ht="15.75" customHeight="1">
      <c r="I181" s="117"/>
      <c r="K181" s="117"/>
      <c r="L181" s="118"/>
    </row>
    <row r="182" ht="15.75" customHeight="1">
      <c r="I182" s="117"/>
      <c r="K182" s="117"/>
      <c r="L182" s="118"/>
    </row>
    <row r="183" ht="15.75" customHeight="1">
      <c r="I183" s="117"/>
      <c r="K183" s="117"/>
      <c r="L183" s="118"/>
    </row>
    <row r="184" ht="15.75" customHeight="1">
      <c r="I184" s="117"/>
      <c r="K184" s="117"/>
      <c r="L184" s="118"/>
    </row>
    <row r="185" ht="15.75" customHeight="1">
      <c r="I185" s="117"/>
      <c r="K185" s="117"/>
      <c r="L185" s="118"/>
    </row>
    <row r="186" ht="15.75" customHeight="1">
      <c r="I186" s="117"/>
      <c r="K186" s="117"/>
      <c r="L186" s="118"/>
    </row>
    <row r="187" ht="15.75" customHeight="1">
      <c r="I187" s="117"/>
      <c r="K187" s="117"/>
      <c r="L187" s="118"/>
    </row>
    <row r="188" ht="15.75" customHeight="1">
      <c r="I188" s="117"/>
      <c r="K188" s="117"/>
      <c r="L188" s="118"/>
    </row>
    <row r="189" ht="15.75" customHeight="1">
      <c r="I189" s="117"/>
      <c r="K189" s="117"/>
      <c r="L189" s="118"/>
    </row>
    <row r="190" ht="15.75" customHeight="1">
      <c r="I190" s="117"/>
      <c r="K190" s="117"/>
      <c r="L190" s="118"/>
    </row>
    <row r="191" ht="15.75" customHeight="1">
      <c r="I191" s="117"/>
      <c r="K191" s="117"/>
      <c r="L191" s="118"/>
    </row>
    <row r="192" ht="15.75" customHeight="1">
      <c r="I192" s="117"/>
      <c r="K192" s="117"/>
      <c r="L192" s="118"/>
    </row>
    <row r="193" ht="15.75" customHeight="1">
      <c r="I193" s="117"/>
      <c r="K193" s="117"/>
      <c r="L193" s="118"/>
    </row>
    <row r="194" ht="15.75" customHeight="1">
      <c r="I194" s="117"/>
      <c r="K194" s="117"/>
      <c r="L194" s="118"/>
    </row>
    <row r="195" ht="15.75" customHeight="1">
      <c r="I195" s="117"/>
      <c r="K195" s="117"/>
      <c r="L195" s="118"/>
    </row>
    <row r="196" ht="15.75" customHeight="1">
      <c r="I196" s="117"/>
      <c r="K196" s="117"/>
      <c r="L196" s="118"/>
    </row>
    <row r="197" ht="15.75" customHeight="1">
      <c r="I197" s="117"/>
      <c r="K197" s="117"/>
      <c r="L197" s="118"/>
    </row>
    <row r="198" ht="15.75" customHeight="1">
      <c r="I198" s="117"/>
      <c r="K198" s="117"/>
      <c r="L198" s="118"/>
    </row>
    <row r="199" ht="15.75" customHeight="1">
      <c r="I199" s="117"/>
      <c r="K199" s="117"/>
      <c r="L199" s="118"/>
    </row>
    <row r="200" ht="15.75" customHeight="1">
      <c r="I200" s="117"/>
      <c r="K200" s="117"/>
      <c r="L200" s="118"/>
    </row>
    <row r="201" ht="15.75" customHeight="1">
      <c r="I201" s="117"/>
      <c r="K201" s="117"/>
      <c r="L201" s="118"/>
    </row>
    <row r="202" ht="15.75" customHeight="1">
      <c r="I202" s="117"/>
      <c r="K202" s="117"/>
      <c r="L202" s="118"/>
    </row>
    <row r="203" ht="15.75" customHeight="1">
      <c r="I203" s="117"/>
      <c r="K203" s="117"/>
      <c r="L203" s="118"/>
    </row>
    <row r="204" ht="15.75" customHeight="1">
      <c r="I204" s="117"/>
      <c r="K204" s="117"/>
      <c r="L204" s="118"/>
    </row>
    <row r="205" ht="15.75" customHeight="1">
      <c r="I205" s="117"/>
      <c r="K205" s="117"/>
      <c r="L205" s="118"/>
    </row>
    <row r="206" ht="15.75" customHeight="1">
      <c r="I206" s="117"/>
      <c r="K206" s="117"/>
      <c r="L206" s="118"/>
    </row>
    <row r="207" ht="15.75" customHeight="1">
      <c r="I207" s="117"/>
      <c r="K207" s="117"/>
      <c r="L207" s="118"/>
    </row>
    <row r="208" ht="15.75" customHeight="1">
      <c r="I208" s="117"/>
      <c r="K208" s="117"/>
      <c r="L208" s="118"/>
    </row>
    <row r="209" ht="15.75" customHeight="1">
      <c r="I209" s="117"/>
      <c r="K209" s="117"/>
      <c r="L209" s="118"/>
    </row>
    <row r="210" ht="15.75" customHeight="1">
      <c r="I210" s="117"/>
      <c r="K210" s="117"/>
      <c r="L210" s="118"/>
    </row>
    <row r="211" ht="15.75" customHeight="1">
      <c r="I211" s="117"/>
      <c r="K211" s="117"/>
      <c r="L211" s="118"/>
    </row>
    <row r="212" ht="15.75" customHeight="1">
      <c r="I212" s="117"/>
      <c r="K212" s="117"/>
      <c r="L212" s="118"/>
    </row>
    <row r="213" ht="15.75" customHeight="1">
      <c r="I213" s="117"/>
      <c r="K213" s="117"/>
      <c r="L213" s="118"/>
    </row>
    <row r="214" ht="15.75" customHeight="1">
      <c r="E214" s="124" t="s">
        <v>462</v>
      </c>
      <c r="F214" s="125">
        <f>COUNTIF(L12:L123,"Pass")</f>
        <v>6</v>
      </c>
      <c r="G214" s="126">
        <f>(F214/F220)*100</f>
        <v>6</v>
      </c>
      <c r="H214" s="127" t="s">
        <v>465</v>
      </c>
      <c r="I214" s="117"/>
      <c r="K214" s="117"/>
      <c r="L214" s="118"/>
    </row>
    <row r="215" ht="15.75" customHeight="1">
      <c r="E215" s="124" t="s">
        <v>467</v>
      </c>
      <c r="F215" s="125">
        <f>COUNTIF(L12:L123,"Fail")</f>
        <v>0</v>
      </c>
      <c r="G215" s="126">
        <f>(F215/F220)*100</f>
        <v>0</v>
      </c>
      <c r="H215" s="127" t="s">
        <v>465</v>
      </c>
      <c r="I215" s="117"/>
      <c r="K215" s="117"/>
      <c r="L215" s="118"/>
    </row>
    <row r="216" ht="15.75" customHeight="1">
      <c r="E216" s="124" t="s">
        <v>12</v>
      </c>
      <c r="F216" s="125">
        <f>COUNTIF(L12:L123,"Not Start")</f>
        <v>94</v>
      </c>
      <c r="G216" s="126">
        <f>(F216/F220)*100</f>
        <v>94</v>
      </c>
      <c r="H216" s="127" t="s">
        <v>465</v>
      </c>
      <c r="I216" s="117"/>
      <c r="K216" s="117"/>
      <c r="L216" s="118"/>
    </row>
    <row r="217" ht="15.75" customHeight="1">
      <c r="E217" s="124" t="s">
        <v>474</v>
      </c>
      <c r="F217" s="125">
        <f>COUNTIF(L121:L187,"Pending")</f>
        <v>0</v>
      </c>
      <c r="G217" s="126">
        <f>(F217/F220)*100</f>
        <v>0</v>
      </c>
      <c r="H217" s="127" t="s">
        <v>465</v>
      </c>
      <c r="I217" s="117"/>
      <c r="K217" s="117"/>
      <c r="L217" s="118"/>
    </row>
    <row r="218" ht="15.75" customHeight="1">
      <c r="E218" s="124" t="s">
        <v>44</v>
      </c>
      <c r="F218" s="125">
        <f>COUNTIF(L12:L123,"Deferred")</f>
        <v>0</v>
      </c>
      <c r="G218" s="126">
        <f>(F218/F220)*100</f>
        <v>0</v>
      </c>
      <c r="H218" s="127" t="s">
        <v>465</v>
      </c>
      <c r="I218" s="117"/>
      <c r="K218" s="117"/>
      <c r="L218" s="118"/>
    </row>
    <row r="219" ht="15.75" customHeight="1">
      <c r="E219" s="124" t="s">
        <v>479</v>
      </c>
      <c r="F219" s="125">
        <f>COUNTIF(L12:L123,"Not Applicable")</f>
        <v>0</v>
      </c>
      <c r="G219" s="126">
        <f>(F219/F220)*100</f>
        <v>0</v>
      </c>
      <c r="H219" s="127" t="s">
        <v>465</v>
      </c>
      <c r="I219" s="117"/>
      <c r="K219" s="117"/>
      <c r="L219" s="118"/>
    </row>
    <row r="220" ht="15.75" customHeight="1">
      <c r="E220" s="128" t="s">
        <v>49</v>
      </c>
      <c r="F220" s="129">
        <f t="shared" ref="F220:G220" si="14">SUM(F214:F219)</f>
        <v>100</v>
      </c>
      <c r="G220" s="130">
        <f t="shared" si="14"/>
        <v>100</v>
      </c>
      <c r="H220" s="131" t="s">
        <v>465</v>
      </c>
      <c r="I220" s="117"/>
      <c r="K220" s="117"/>
      <c r="L220" s="118"/>
    </row>
    <row r="221" ht="15.75" customHeight="1">
      <c r="E221" s="132" t="s">
        <v>484</v>
      </c>
      <c r="F221" s="133"/>
      <c r="G221" s="134">
        <f>G214+G215+G217+G219</f>
        <v>6</v>
      </c>
      <c r="H221" s="135"/>
      <c r="I221" s="117"/>
      <c r="K221" s="117"/>
      <c r="L221" s="118"/>
    </row>
    <row r="222" ht="15.75" customHeight="1">
      <c r="E222" s="132" t="s">
        <v>485</v>
      </c>
      <c r="F222" s="36"/>
      <c r="G222" s="136">
        <f>F214/(F220-F219-F217)</f>
        <v>0.06</v>
      </c>
      <c r="H222" s="137"/>
      <c r="I222" s="117"/>
      <c r="K222" s="117"/>
      <c r="L222" s="118"/>
    </row>
    <row r="223" ht="15.75" customHeight="1">
      <c r="I223" s="117"/>
      <c r="K223" s="117"/>
      <c r="L223" s="118"/>
    </row>
    <row r="224" ht="15.75" customHeight="1">
      <c r="I224" s="117"/>
      <c r="K224" s="117"/>
      <c r="L224" s="118"/>
    </row>
    <row r="225" ht="15.75" customHeight="1">
      <c r="I225" s="117"/>
      <c r="K225" s="117"/>
      <c r="L225" s="118"/>
    </row>
    <row r="226" ht="15.75" customHeight="1">
      <c r="I226" s="117"/>
      <c r="K226" s="117"/>
      <c r="L226" s="118"/>
    </row>
    <row r="227" ht="15.75" customHeight="1">
      <c r="I227" s="117"/>
      <c r="K227" s="117"/>
      <c r="L227" s="118"/>
    </row>
    <row r="228" ht="15.75" customHeight="1">
      <c r="I228" s="117"/>
      <c r="K228" s="117"/>
      <c r="L228" s="118"/>
    </row>
    <row r="229" ht="15.75" customHeight="1">
      <c r="I229" s="117"/>
      <c r="K229" s="117"/>
      <c r="L229" s="118"/>
    </row>
    <row r="230" ht="15.75" customHeight="1">
      <c r="I230" s="117"/>
      <c r="K230" s="117"/>
      <c r="L230" s="118"/>
    </row>
    <row r="231" ht="15.75" customHeight="1">
      <c r="I231" s="117"/>
      <c r="K231" s="117"/>
      <c r="L231" s="118"/>
    </row>
    <row r="232" ht="15.75" customHeight="1">
      <c r="I232" s="117"/>
      <c r="K232" s="117"/>
      <c r="L232" s="118"/>
    </row>
    <row r="233" ht="15.75" customHeight="1">
      <c r="I233" s="117"/>
      <c r="K233" s="117"/>
      <c r="L233" s="118"/>
    </row>
    <row r="234" ht="15.75" customHeight="1">
      <c r="I234" s="117"/>
      <c r="K234" s="117"/>
      <c r="L234" s="118"/>
    </row>
    <row r="235" ht="15.75" customHeight="1">
      <c r="I235" s="117"/>
      <c r="K235" s="117"/>
      <c r="L235" s="118"/>
    </row>
    <row r="236" ht="15.75" customHeight="1">
      <c r="I236" s="117"/>
      <c r="K236" s="117"/>
      <c r="L236" s="118"/>
    </row>
    <row r="237" ht="15.75" customHeight="1">
      <c r="I237" s="117"/>
      <c r="K237" s="117"/>
      <c r="L237" s="118"/>
    </row>
    <row r="238" ht="15.75" customHeight="1">
      <c r="I238" s="117"/>
      <c r="K238" s="117"/>
      <c r="L238" s="118"/>
    </row>
    <row r="239" ht="15.75" customHeight="1">
      <c r="I239" s="117"/>
      <c r="K239" s="117"/>
      <c r="L239" s="118"/>
    </row>
    <row r="240" ht="15.75" customHeight="1">
      <c r="I240" s="117"/>
      <c r="K240" s="117"/>
      <c r="L240" s="118"/>
    </row>
    <row r="241" ht="15.75" customHeight="1">
      <c r="I241" s="117"/>
      <c r="K241" s="117"/>
      <c r="L241" s="118"/>
    </row>
    <row r="242" ht="15.75" customHeight="1">
      <c r="I242" s="117"/>
      <c r="K242" s="117"/>
      <c r="L242" s="118"/>
    </row>
    <row r="243" ht="15.75" customHeight="1">
      <c r="I243" s="117"/>
      <c r="K243" s="117"/>
      <c r="L243" s="118"/>
    </row>
    <row r="244" ht="15.75" customHeight="1">
      <c r="I244" s="117"/>
      <c r="K244" s="117"/>
      <c r="L244" s="118"/>
    </row>
    <row r="245" ht="15.75" customHeight="1">
      <c r="I245" s="117"/>
      <c r="K245" s="117"/>
      <c r="L245" s="118"/>
    </row>
    <row r="246" ht="15.75" customHeight="1">
      <c r="I246" s="117"/>
      <c r="K246" s="117"/>
      <c r="L246" s="118"/>
    </row>
    <row r="247" ht="15.75" customHeight="1">
      <c r="I247" s="117"/>
      <c r="K247" s="117"/>
      <c r="L247" s="118"/>
    </row>
    <row r="248" ht="15.75" customHeight="1">
      <c r="I248" s="117"/>
      <c r="K248" s="117"/>
      <c r="L248" s="118"/>
    </row>
    <row r="249" ht="15.75" customHeight="1">
      <c r="I249" s="117"/>
      <c r="K249" s="117"/>
      <c r="L249" s="118"/>
    </row>
    <row r="250" ht="15.75" customHeight="1">
      <c r="I250" s="117"/>
      <c r="K250" s="117"/>
      <c r="L250" s="118"/>
    </row>
    <row r="251" ht="15.75" customHeight="1">
      <c r="I251" s="117"/>
      <c r="K251" s="117"/>
      <c r="L251" s="118"/>
    </row>
    <row r="252" ht="15.75" customHeight="1">
      <c r="I252" s="117"/>
      <c r="K252" s="117"/>
      <c r="L252" s="118"/>
    </row>
    <row r="253" ht="15.75" customHeight="1">
      <c r="I253" s="117"/>
      <c r="K253" s="117"/>
      <c r="L253" s="118"/>
    </row>
    <row r="254" ht="15.75" customHeight="1">
      <c r="I254" s="117"/>
      <c r="K254" s="117"/>
      <c r="L254" s="118"/>
    </row>
    <row r="255" ht="15.75" customHeight="1">
      <c r="I255" s="117"/>
      <c r="K255" s="117"/>
      <c r="L255" s="118"/>
    </row>
    <row r="256" ht="15.75" customHeight="1">
      <c r="I256" s="117"/>
      <c r="K256" s="117"/>
      <c r="L256" s="118"/>
    </row>
    <row r="257" ht="15.75" customHeight="1">
      <c r="I257" s="117"/>
      <c r="K257" s="117"/>
      <c r="L257" s="118"/>
    </row>
    <row r="258" ht="15.75" customHeight="1">
      <c r="I258" s="117"/>
      <c r="K258" s="117"/>
      <c r="L258" s="118"/>
    </row>
    <row r="259" ht="15.75" customHeight="1">
      <c r="I259" s="117"/>
      <c r="K259" s="117"/>
      <c r="L259" s="118"/>
    </row>
    <row r="260" ht="15.75" customHeight="1">
      <c r="I260" s="117"/>
      <c r="K260" s="117"/>
      <c r="L260" s="118"/>
    </row>
    <row r="261" ht="15.75" customHeight="1">
      <c r="I261" s="117"/>
      <c r="K261" s="117"/>
      <c r="L261" s="118"/>
    </row>
    <row r="262" ht="15.75" customHeight="1">
      <c r="I262" s="117"/>
      <c r="K262" s="117"/>
      <c r="L262" s="118"/>
    </row>
    <row r="263" ht="15.75" customHeight="1">
      <c r="I263" s="117"/>
      <c r="K263" s="117"/>
      <c r="L263" s="118"/>
    </row>
    <row r="264" ht="15.75" customHeight="1">
      <c r="I264" s="117"/>
      <c r="K264" s="117"/>
      <c r="L264" s="118"/>
    </row>
    <row r="265" ht="15.75" customHeight="1">
      <c r="I265" s="117"/>
      <c r="K265" s="117"/>
      <c r="L265" s="118"/>
    </row>
    <row r="266" ht="15.75" customHeight="1">
      <c r="I266" s="117"/>
      <c r="K266" s="117"/>
      <c r="L266" s="118"/>
    </row>
    <row r="267" ht="15.75" customHeight="1">
      <c r="I267" s="117"/>
      <c r="K267" s="117"/>
      <c r="L267" s="118"/>
    </row>
    <row r="268" ht="15.75" customHeight="1">
      <c r="I268" s="117"/>
      <c r="K268" s="117"/>
      <c r="L268" s="118"/>
    </row>
    <row r="269" ht="15.75" customHeight="1">
      <c r="I269" s="117"/>
      <c r="K269" s="117"/>
      <c r="L269" s="118"/>
    </row>
    <row r="270" ht="15.75" customHeight="1">
      <c r="I270" s="117"/>
      <c r="K270" s="117"/>
      <c r="L270" s="118"/>
    </row>
    <row r="271" ht="15.75" customHeight="1">
      <c r="I271" s="117"/>
      <c r="K271" s="117"/>
      <c r="L271" s="118"/>
    </row>
    <row r="272" ht="15.75" customHeight="1">
      <c r="I272" s="117"/>
      <c r="K272" s="117"/>
      <c r="L272" s="118"/>
    </row>
    <row r="273" ht="15.75" customHeight="1">
      <c r="I273" s="117"/>
      <c r="K273" s="117"/>
      <c r="L273" s="118"/>
    </row>
    <row r="274" ht="15.75" customHeight="1">
      <c r="I274" s="117"/>
      <c r="K274" s="117"/>
      <c r="L274" s="118"/>
    </row>
    <row r="275" ht="15.75" customHeight="1">
      <c r="I275" s="117"/>
      <c r="K275" s="117"/>
      <c r="L275" s="118"/>
    </row>
    <row r="276" ht="15.75" customHeight="1">
      <c r="I276" s="117"/>
      <c r="K276" s="117"/>
      <c r="L276" s="118"/>
    </row>
    <row r="277" ht="15.75" customHeight="1">
      <c r="I277" s="117"/>
      <c r="K277" s="117"/>
      <c r="L277" s="118"/>
    </row>
    <row r="278" ht="15.75" customHeight="1">
      <c r="I278" s="117"/>
      <c r="K278" s="117"/>
      <c r="L278" s="118"/>
    </row>
    <row r="279" ht="15.75" customHeight="1">
      <c r="I279" s="117"/>
      <c r="K279" s="117"/>
      <c r="L279" s="118"/>
    </row>
    <row r="280" ht="15.75" customHeight="1">
      <c r="I280" s="117"/>
      <c r="K280" s="117"/>
      <c r="L280" s="118"/>
    </row>
    <row r="281" ht="15.75" customHeight="1">
      <c r="I281" s="117"/>
      <c r="K281" s="117"/>
      <c r="L281" s="118"/>
    </row>
    <row r="282" ht="15.75" customHeight="1">
      <c r="I282" s="117"/>
      <c r="K282" s="117"/>
      <c r="L282" s="118"/>
    </row>
    <row r="283" ht="15.75" customHeight="1">
      <c r="I283" s="117"/>
      <c r="K283" s="117"/>
      <c r="L283" s="118"/>
    </row>
    <row r="284" ht="15.75" customHeight="1">
      <c r="I284" s="117"/>
      <c r="K284" s="117"/>
      <c r="L284" s="118"/>
    </row>
    <row r="285" ht="15.75" customHeight="1">
      <c r="I285" s="117"/>
      <c r="K285" s="117"/>
      <c r="L285" s="118"/>
    </row>
    <row r="286" ht="15.75" customHeight="1">
      <c r="I286" s="117"/>
      <c r="K286" s="117"/>
      <c r="L286" s="118"/>
    </row>
    <row r="287" ht="15.75" customHeight="1">
      <c r="I287" s="117"/>
      <c r="K287" s="117"/>
      <c r="L287" s="118"/>
    </row>
    <row r="288" ht="15.75" customHeight="1">
      <c r="I288" s="117"/>
      <c r="K288" s="117"/>
      <c r="L288" s="118"/>
    </row>
    <row r="289" ht="15.75" customHeight="1">
      <c r="I289" s="117"/>
      <c r="K289" s="117"/>
      <c r="L289" s="118"/>
    </row>
    <row r="290" ht="15.75" customHeight="1">
      <c r="I290" s="117"/>
      <c r="K290" s="117"/>
      <c r="L290" s="118"/>
    </row>
    <row r="291" ht="15.75" customHeight="1">
      <c r="I291" s="117"/>
      <c r="K291" s="117"/>
      <c r="L291" s="118"/>
    </row>
    <row r="292" ht="15.75" customHeight="1">
      <c r="I292" s="117"/>
      <c r="K292" s="117"/>
      <c r="L292" s="118"/>
    </row>
    <row r="293" ht="15.75" customHeight="1">
      <c r="I293" s="117"/>
      <c r="K293" s="117"/>
      <c r="L293" s="118"/>
    </row>
    <row r="294" ht="15.75" customHeight="1">
      <c r="I294" s="117"/>
      <c r="K294" s="117"/>
      <c r="L294" s="118"/>
    </row>
    <row r="295" ht="15.75" customHeight="1">
      <c r="I295" s="117"/>
      <c r="K295" s="117"/>
      <c r="L295" s="118"/>
    </row>
    <row r="296" ht="15.75" customHeight="1">
      <c r="I296" s="117"/>
      <c r="K296" s="117"/>
      <c r="L296" s="118"/>
    </row>
    <row r="297" ht="15.75" customHeight="1">
      <c r="I297" s="117"/>
      <c r="K297" s="117"/>
      <c r="L297" s="118"/>
    </row>
    <row r="298" ht="15.75" customHeight="1">
      <c r="I298" s="117"/>
      <c r="K298" s="117"/>
      <c r="L298" s="118"/>
    </row>
    <row r="299" ht="15.75" customHeight="1">
      <c r="I299" s="117"/>
      <c r="K299" s="117"/>
      <c r="L299" s="118"/>
    </row>
    <row r="300" ht="15.75" customHeight="1">
      <c r="I300" s="117"/>
      <c r="K300" s="117"/>
      <c r="L300" s="118"/>
    </row>
    <row r="301" ht="15.75" customHeight="1">
      <c r="I301" s="117"/>
      <c r="K301" s="117"/>
      <c r="L301" s="118"/>
    </row>
    <row r="302" ht="15.75" customHeight="1">
      <c r="I302" s="117"/>
      <c r="K302" s="117"/>
      <c r="L302" s="118"/>
    </row>
    <row r="303" ht="15.75" customHeight="1">
      <c r="I303" s="117"/>
      <c r="K303" s="117"/>
      <c r="L303" s="118"/>
    </row>
    <row r="304" ht="15.75" customHeight="1">
      <c r="I304" s="117"/>
      <c r="K304" s="117"/>
      <c r="L304" s="118"/>
    </row>
    <row r="305" ht="15.75" customHeight="1">
      <c r="I305" s="117"/>
      <c r="K305" s="117"/>
      <c r="L305" s="118"/>
    </row>
    <row r="306" ht="15.75" customHeight="1">
      <c r="I306" s="117"/>
      <c r="K306" s="117"/>
      <c r="L306" s="118"/>
    </row>
    <row r="307" ht="15.75" customHeight="1">
      <c r="I307" s="117"/>
      <c r="K307" s="117"/>
      <c r="L307" s="118"/>
    </row>
    <row r="308" ht="15.75" customHeight="1">
      <c r="I308" s="117"/>
      <c r="K308" s="117"/>
      <c r="L308" s="118"/>
    </row>
    <row r="309" ht="15.75" customHeight="1">
      <c r="I309" s="117"/>
      <c r="K309" s="117"/>
      <c r="L309" s="118"/>
    </row>
    <row r="310" ht="15.75" customHeight="1">
      <c r="I310" s="117"/>
      <c r="K310" s="117"/>
      <c r="L310" s="118"/>
    </row>
    <row r="311" ht="15.75" customHeight="1">
      <c r="I311" s="117"/>
      <c r="K311" s="117"/>
      <c r="L311" s="118"/>
    </row>
    <row r="312" ht="15.75" customHeight="1">
      <c r="I312" s="117"/>
      <c r="K312" s="117"/>
      <c r="L312" s="118"/>
    </row>
    <row r="313" ht="15.75" customHeight="1">
      <c r="I313" s="117"/>
      <c r="K313" s="117"/>
      <c r="L313" s="118"/>
    </row>
    <row r="314" ht="15.75" customHeight="1">
      <c r="I314" s="117"/>
      <c r="K314" s="117"/>
      <c r="L314" s="118"/>
    </row>
    <row r="315" ht="15.75" customHeight="1">
      <c r="I315" s="117"/>
      <c r="K315" s="117"/>
      <c r="L315" s="118"/>
    </row>
    <row r="316" ht="15.75" customHeight="1">
      <c r="I316" s="117"/>
      <c r="K316" s="117"/>
      <c r="L316" s="118"/>
    </row>
    <row r="317" ht="15.75" customHeight="1">
      <c r="I317" s="117"/>
      <c r="K317" s="117"/>
      <c r="L317" s="118"/>
    </row>
    <row r="318" ht="15.75" customHeight="1">
      <c r="I318" s="117"/>
      <c r="K318" s="117"/>
      <c r="L318" s="118"/>
    </row>
    <row r="319" ht="15.75" customHeight="1">
      <c r="I319" s="117"/>
      <c r="K319" s="117"/>
      <c r="L319" s="118"/>
    </row>
    <row r="320" ht="15.75" customHeight="1">
      <c r="I320" s="117"/>
      <c r="K320" s="117"/>
      <c r="L320" s="118"/>
    </row>
    <row r="321" ht="15.75" customHeight="1">
      <c r="I321" s="117"/>
      <c r="K321" s="117"/>
      <c r="L321" s="118"/>
    </row>
    <row r="322" ht="15.75" customHeight="1">
      <c r="I322" s="117"/>
      <c r="K322" s="117"/>
      <c r="L322" s="118"/>
    </row>
    <row r="323" ht="15.75" customHeight="1">
      <c r="I323" s="117"/>
      <c r="K323" s="117"/>
      <c r="L323" s="118"/>
    </row>
    <row r="324" ht="15.75" customHeight="1">
      <c r="I324" s="117"/>
      <c r="K324" s="117"/>
      <c r="L324" s="118"/>
    </row>
    <row r="325" ht="15.75" customHeight="1">
      <c r="I325" s="117"/>
      <c r="K325" s="117"/>
      <c r="L325" s="118"/>
    </row>
    <row r="326" ht="15.75" customHeight="1">
      <c r="I326" s="117"/>
      <c r="K326" s="117"/>
      <c r="L326" s="118"/>
    </row>
    <row r="327" ht="15.75" customHeight="1">
      <c r="I327" s="117"/>
      <c r="K327" s="117"/>
      <c r="L327" s="118"/>
    </row>
    <row r="328" ht="15.75" customHeight="1">
      <c r="I328" s="117"/>
      <c r="K328" s="117"/>
      <c r="L328" s="118"/>
    </row>
    <row r="329" ht="15.75" customHeight="1">
      <c r="I329" s="117"/>
      <c r="K329" s="117"/>
      <c r="L329" s="118"/>
    </row>
    <row r="330" ht="15.75" customHeight="1">
      <c r="I330" s="117"/>
      <c r="K330" s="117"/>
      <c r="L330" s="118"/>
    </row>
    <row r="331" ht="15.75" customHeight="1">
      <c r="I331" s="117"/>
      <c r="K331" s="117"/>
      <c r="L331" s="118"/>
    </row>
    <row r="332" ht="15.75" customHeight="1">
      <c r="I332" s="117"/>
      <c r="K332" s="117"/>
      <c r="L332" s="118"/>
    </row>
    <row r="333" ht="15.75" customHeight="1">
      <c r="I333" s="117"/>
      <c r="K333" s="117"/>
      <c r="L333" s="118"/>
    </row>
    <row r="334" ht="15.75" customHeight="1">
      <c r="I334" s="117"/>
      <c r="K334" s="117"/>
      <c r="L334" s="118"/>
    </row>
    <row r="335" ht="15.75" customHeight="1">
      <c r="I335" s="117"/>
      <c r="K335" s="117"/>
      <c r="L335" s="118"/>
    </row>
    <row r="336" ht="15.75" customHeight="1">
      <c r="I336" s="117"/>
      <c r="K336" s="117"/>
      <c r="L336" s="118"/>
    </row>
    <row r="337" ht="15.75" customHeight="1">
      <c r="I337" s="117"/>
      <c r="K337" s="117"/>
      <c r="L337" s="118"/>
    </row>
    <row r="338" ht="15.75" customHeight="1">
      <c r="I338" s="117"/>
      <c r="K338" s="117"/>
      <c r="L338" s="118"/>
    </row>
    <row r="339" ht="15.75" customHeight="1">
      <c r="I339" s="117"/>
      <c r="K339" s="117"/>
      <c r="L339" s="118"/>
    </row>
    <row r="340" ht="15.75" customHeight="1">
      <c r="I340" s="117"/>
      <c r="K340" s="117"/>
      <c r="L340" s="118"/>
    </row>
    <row r="341" ht="15.75" customHeight="1">
      <c r="I341" s="117"/>
      <c r="K341" s="117"/>
      <c r="L341" s="118"/>
    </row>
    <row r="342" ht="15.75" customHeight="1">
      <c r="I342" s="117"/>
      <c r="K342" s="117"/>
      <c r="L342" s="118"/>
    </row>
    <row r="343" ht="15.75" customHeight="1">
      <c r="I343" s="117"/>
      <c r="K343" s="117"/>
      <c r="L343" s="118"/>
    </row>
    <row r="344" ht="15.75" customHeight="1">
      <c r="I344" s="117"/>
      <c r="K344" s="117"/>
      <c r="L344" s="118"/>
    </row>
    <row r="345" ht="15.75" customHeight="1">
      <c r="I345" s="117"/>
      <c r="K345" s="117"/>
      <c r="L345" s="118"/>
    </row>
    <row r="346" ht="15.75" customHeight="1">
      <c r="I346" s="117"/>
      <c r="K346" s="117"/>
      <c r="L346" s="118"/>
    </row>
    <row r="347" ht="15.75" customHeight="1">
      <c r="I347" s="117"/>
      <c r="K347" s="117"/>
      <c r="L347" s="118"/>
    </row>
    <row r="348" ht="15.75" customHeight="1">
      <c r="I348" s="117"/>
      <c r="K348" s="117"/>
      <c r="L348" s="118"/>
    </row>
    <row r="349" ht="15.75" customHeight="1">
      <c r="I349" s="117"/>
      <c r="K349" s="117"/>
      <c r="L349" s="118"/>
    </row>
    <row r="350" ht="15.75" customHeight="1">
      <c r="I350" s="117"/>
      <c r="K350" s="117"/>
      <c r="L350" s="118"/>
    </row>
    <row r="351" ht="15.75" customHeight="1">
      <c r="I351" s="117"/>
      <c r="K351" s="117"/>
      <c r="L351" s="118"/>
    </row>
    <row r="352" ht="15.75" customHeight="1">
      <c r="I352" s="117"/>
      <c r="K352" s="117"/>
      <c r="L352" s="118"/>
    </row>
    <row r="353" ht="15.75" customHeight="1">
      <c r="I353" s="117"/>
      <c r="K353" s="117"/>
      <c r="L353" s="118"/>
    </row>
    <row r="354" ht="15.75" customHeight="1">
      <c r="I354" s="117"/>
      <c r="K354" s="117"/>
      <c r="L354" s="118"/>
    </row>
    <row r="355" ht="15.75" customHeight="1">
      <c r="I355" s="117"/>
      <c r="K355" s="117"/>
      <c r="L355" s="118"/>
    </row>
    <row r="356" ht="15.75" customHeight="1">
      <c r="I356" s="117"/>
      <c r="K356" s="117"/>
      <c r="L356" s="118"/>
    </row>
    <row r="357" ht="15.75" customHeight="1">
      <c r="I357" s="117"/>
      <c r="K357" s="117"/>
      <c r="L357" s="118"/>
    </row>
    <row r="358" ht="15.75" customHeight="1">
      <c r="I358" s="117"/>
      <c r="K358" s="117"/>
      <c r="L358" s="118"/>
    </row>
    <row r="359" ht="15.75" customHeight="1">
      <c r="I359" s="117"/>
      <c r="K359" s="117"/>
      <c r="L359" s="118"/>
    </row>
    <row r="360" ht="15.75" customHeight="1">
      <c r="I360" s="117"/>
      <c r="K360" s="117"/>
      <c r="L360" s="118"/>
    </row>
    <row r="361" ht="15.75" customHeight="1">
      <c r="I361" s="117"/>
      <c r="K361" s="117"/>
      <c r="L361" s="118"/>
    </row>
    <row r="362" ht="15.75" customHeight="1">
      <c r="I362" s="117"/>
      <c r="K362" s="117"/>
      <c r="L362" s="118"/>
    </row>
    <row r="363" ht="15.75" customHeight="1">
      <c r="I363" s="117"/>
      <c r="K363" s="117"/>
      <c r="L363" s="118"/>
    </row>
    <row r="364" ht="15.75" customHeight="1">
      <c r="I364" s="117"/>
      <c r="K364" s="117"/>
      <c r="L364" s="118"/>
    </row>
    <row r="365" ht="15.75" customHeight="1">
      <c r="I365" s="117"/>
      <c r="K365" s="117"/>
      <c r="L365" s="118"/>
    </row>
    <row r="366" ht="15.75" customHeight="1">
      <c r="I366" s="117"/>
      <c r="K366" s="117"/>
      <c r="L366" s="118"/>
    </row>
    <row r="367" ht="15.75" customHeight="1">
      <c r="I367" s="117"/>
      <c r="K367" s="117"/>
      <c r="L367" s="118"/>
    </row>
    <row r="368" ht="15.75" customHeight="1">
      <c r="I368" s="117"/>
      <c r="K368" s="117"/>
      <c r="L368" s="118"/>
    </row>
    <row r="369" ht="15.75" customHeight="1">
      <c r="I369" s="117"/>
      <c r="K369" s="117"/>
      <c r="L369" s="118"/>
    </row>
    <row r="370" ht="15.75" customHeight="1">
      <c r="I370" s="117"/>
      <c r="K370" s="117"/>
      <c r="L370" s="118"/>
    </row>
    <row r="371" ht="15.75" customHeight="1">
      <c r="I371" s="117"/>
      <c r="K371" s="117"/>
      <c r="L371" s="118"/>
    </row>
    <row r="372" ht="15.75" customHeight="1">
      <c r="I372" s="117"/>
      <c r="K372" s="117"/>
      <c r="L372" s="118"/>
    </row>
    <row r="373" ht="15.75" customHeight="1">
      <c r="I373" s="117"/>
      <c r="K373" s="117"/>
      <c r="L373" s="118"/>
    </row>
    <row r="374" ht="15.75" customHeight="1">
      <c r="I374" s="117"/>
      <c r="K374" s="117"/>
      <c r="L374" s="118"/>
    </row>
    <row r="375" ht="15.75" customHeight="1">
      <c r="I375" s="117"/>
      <c r="K375" s="117"/>
      <c r="L375" s="118"/>
    </row>
    <row r="376" ht="15.75" customHeight="1">
      <c r="I376" s="117"/>
      <c r="K376" s="117"/>
      <c r="L376" s="118"/>
    </row>
    <row r="377" ht="15.75" customHeight="1">
      <c r="I377" s="117"/>
      <c r="K377" s="117"/>
      <c r="L377" s="118"/>
    </row>
    <row r="378" ht="15.75" customHeight="1">
      <c r="I378" s="117"/>
      <c r="K378" s="117"/>
      <c r="L378" s="118"/>
    </row>
    <row r="379" ht="15.75" customHeight="1">
      <c r="I379" s="117"/>
      <c r="K379" s="117"/>
      <c r="L379" s="118"/>
    </row>
    <row r="380" ht="15.75" customHeight="1">
      <c r="I380" s="117"/>
      <c r="K380" s="117"/>
      <c r="L380" s="118"/>
    </row>
    <row r="381" ht="15.75" customHeight="1">
      <c r="I381" s="117"/>
      <c r="K381" s="117"/>
      <c r="L381" s="118"/>
    </row>
    <row r="382" ht="15.75" customHeight="1">
      <c r="I382" s="117"/>
      <c r="K382" s="117"/>
      <c r="L382" s="118"/>
    </row>
    <row r="383" ht="15.75" customHeight="1">
      <c r="I383" s="117"/>
      <c r="K383" s="117"/>
      <c r="L383" s="118"/>
    </row>
    <row r="384" ht="15.75" customHeight="1">
      <c r="I384" s="117"/>
      <c r="K384" s="117"/>
      <c r="L384" s="118"/>
    </row>
    <row r="385" ht="15.75" customHeight="1">
      <c r="I385" s="117"/>
      <c r="K385" s="117"/>
      <c r="L385" s="118"/>
    </row>
    <row r="386" ht="15.75" customHeight="1">
      <c r="I386" s="117"/>
      <c r="K386" s="117"/>
      <c r="L386" s="118"/>
    </row>
    <row r="387" ht="15.75" customHeight="1">
      <c r="I387" s="117"/>
      <c r="K387" s="117"/>
      <c r="L387" s="118"/>
    </row>
    <row r="388" ht="15.75" customHeight="1">
      <c r="I388" s="117"/>
      <c r="K388" s="117"/>
      <c r="L388" s="118"/>
    </row>
    <row r="389" ht="15.75" customHeight="1">
      <c r="I389" s="117"/>
      <c r="K389" s="117"/>
      <c r="L389" s="118"/>
    </row>
    <row r="390" ht="15.75" customHeight="1">
      <c r="I390" s="117"/>
      <c r="K390" s="117"/>
      <c r="L390" s="118"/>
    </row>
    <row r="391" ht="15.75" customHeight="1">
      <c r="I391" s="117"/>
      <c r="K391" s="117"/>
      <c r="L391" s="118"/>
    </row>
    <row r="392" ht="15.75" customHeight="1">
      <c r="I392" s="117"/>
      <c r="K392" s="117"/>
      <c r="L392" s="118"/>
    </row>
    <row r="393" ht="15.75" customHeight="1">
      <c r="I393" s="117"/>
      <c r="K393" s="117"/>
      <c r="L393" s="118"/>
    </row>
    <row r="394" ht="15.75" customHeight="1">
      <c r="I394" s="117"/>
      <c r="K394" s="117"/>
      <c r="L394" s="118"/>
    </row>
    <row r="395" ht="15.75" customHeight="1">
      <c r="I395" s="117"/>
      <c r="K395" s="117"/>
      <c r="L395" s="118"/>
    </row>
    <row r="396" ht="15.75" customHeight="1">
      <c r="I396" s="117"/>
      <c r="K396" s="117"/>
      <c r="L396" s="118"/>
    </row>
    <row r="397" ht="15.75" customHeight="1">
      <c r="I397" s="117"/>
      <c r="K397" s="117"/>
      <c r="L397" s="118"/>
    </row>
    <row r="398" ht="15.75" customHeight="1">
      <c r="I398" s="117"/>
      <c r="K398" s="117"/>
      <c r="L398" s="118"/>
    </row>
    <row r="399" ht="15.75" customHeight="1">
      <c r="I399" s="117"/>
      <c r="K399" s="117"/>
      <c r="L399" s="118"/>
    </row>
    <row r="400" ht="15.75" customHeight="1">
      <c r="I400" s="117"/>
      <c r="K400" s="117"/>
      <c r="L400" s="118"/>
    </row>
    <row r="401" ht="15.75" customHeight="1">
      <c r="I401" s="117"/>
      <c r="K401" s="117"/>
      <c r="L401" s="118"/>
    </row>
    <row r="402" ht="15.75" customHeight="1">
      <c r="I402" s="117"/>
      <c r="K402" s="117"/>
      <c r="L402" s="118"/>
    </row>
    <row r="403" ht="15.75" customHeight="1">
      <c r="I403" s="117"/>
      <c r="K403" s="117"/>
      <c r="L403" s="118"/>
    </row>
    <row r="404" ht="15.75" customHeight="1">
      <c r="I404" s="117"/>
      <c r="K404" s="117"/>
      <c r="L404" s="118"/>
    </row>
    <row r="405" ht="15.75" customHeight="1">
      <c r="I405" s="117"/>
      <c r="K405" s="117"/>
      <c r="L405" s="118"/>
    </row>
    <row r="406" ht="15.75" customHeight="1">
      <c r="I406" s="117"/>
      <c r="K406" s="117"/>
      <c r="L406" s="118"/>
    </row>
    <row r="407" ht="15.75" customHeight="1">
      <c r="I407" s="117"/>
      <c r="K407" s="117"/>
      <c r="L407" s="118"/>
    </row>
    <row r="408" ht="15.75" customHeight="1">
      <c r="I408" s="117"/>
      <c r="K408" s="117"/>
      <c r="L408" s="118"/>
    </row>
    <row r="409" ht="15.75" customHeight="1">
      <c r="I409" s="117"/>
      <c r="K409" s="117"/>
      <c r="L409" s="118"/>
    </row>
    <row r="410" ht="15.75" customHeight="1">
      <c r="I410" s="117"/>
      <c r="K410" s="117"/>
      <c r="L410" s="118"/>
    </row>
    <row r="411" ht="15.75" customHeight="1">
      <c r="I411" s="117"/>
      <c r="K411" s="117"/>
      <c r="L411" s="118"/>
    </row>
    <row r="412" ht="15.75" customHeight="1">
      <c r="I412" s="117"/>
      <c r="K412" s="117"/>
      <c r="L412" s="118"/>
    </row>
    <row r="413" ht="15.75" customHeight="1">
      <c r="I413" s="117"/>
      <c r="K413" s="117"/>
      <c r="L413" s="118"/>
    </row>
    <row r="414" ht="15.75" customHeight="1">
      <c r="I414" s="117"/>
      <c r="K414" s="117"/>
      <c r="L414" s="118"/>
    </row>
    <row r="415" ht="15.75" customHeight="1">
      <c r="I415" s="117"/>
      <c r="K415" s="117"/>
      <c r="L415" s="118"/>
    </row>
    <row r="416" ht="15.75" customHeight="1">
      <c r="I416" s="117"/>
      <c r="K416" s="117"/>
      <c r="L416" s="118"/>
    </row>
    <row r="417" ht="15.75" customHeight="1">
      <c r="I417" s="117"/>
      <c r="K417" s="117"/>
      <c r="L417" s="118"/>
    </row>
    <row r="418" ht="15.75" customHeight="1">
      <c r="I418" s="117"/>
      <c r="K418" s="117"/>
      <c r="L418" s="118"/>
    </row>
    <row r="419" ht="15.75" customHeight="1">
      <c r="I419" s="117"/>
      <c r="K419" s="117"/>
      <c r="L419" s="118"/>
    </row>
    <row r="420" ht="15.75" customHeight="1">
      <c r="I420" s="117"/>
      <c r="K420" s="117"/>
      <c r="L420" s="118"/>
    </row>
    <row r="421" ht="15.75" customHeight="1">
      <c r="I421" s="117"/>
      <c r="K421" s="117"/>
      <c r="L421" s="118"/>
    </row>
    <row r="422" ht="15.75" customHeight="1">
      <c r="I422" s="117"/>
      <c r="K422" s="117"/>
      <c r="L422" s="118"/>
    </row>
    <row r="423" ht="15.75" customHeight="1">
      <c r="I423" s="117"/>
      <c r="K423" s="117"/>
      <c r="L423" s="118"/>
    </row>
    <row r="424" ht="15.75" customHeight="1">
      <c r="I424" s="117"/>
      <c r="K424" s="117"/>
      <c r="L424" s="118"/>
    </row>
    <row r="425" ht="15.75" customHeight="1">
      <c r="I425" s="117"/>
      <c r="K425" s="117"/>
      <c r="L425" s="118"/>
    </row>
    <row r="426" ht="15.75" customHeight="1">
      <c r="I426" s="117"/>
      <c r="K426" s="117"/>
      <c r="L426" s="118"/>
    </row>
    <row r="427" ht="15.75" customHeight="1">
      <c r="I427" s="117"/>
      <c r="K427" s="117"/>
      <c r="L427" s="118"/>
    </row>
    <row r="428" ht="15.75" customHeight="1">
      <c r="I428" s="117"/>
      <c r="K428" s="117"/>
      <c r="L428" s="118"/>
    </row>
    <row r="429" ht="15.75" customHeight="1">
      <c r="I429" s="117"/>
      <c r="K429" s="117"/>
      <c r="L429" s="118"/>
    </row>
    <row r="430" ht="15.75" customHeight="1">
      <c r="I430" s="117"/>
      <c r="K430" s="117"/>
      <c r="L430" s="118"/>
    </row>
    <row r="431" ht="15.75" customHeight="1">
      <c r="I431" s="117"/>
      <c r="K431" s="117"/>
      <c r="L431" s="118"/>
    </row>
    <row r="432" ht="15.75" customHeight="1">
      <c r="I432" s="117"/>
      <c r="K432" s="117"/>
      <c r="L432" s="118"/>
    </row>
    <row r="433" ht="15.75" customHeight="1">
      <c r="I433" s="117"/>
      <c r="K433" s="117"/>
      <c r="L433" s="118"/>
    </row>
    <row r="434" ht="15.75" customHeight="1">
      <c r="I434" s="117"/>
      <c r="K434" s="117"/>
      <c r="L434" s="118"/>
    </row>
    <row r="435" ht="15.75" customHeight="1">
      <c r="I435" s="117"/>
      <c r="K435" s="117"/>
      <c r="L435" s="118"/>
    </row>
    <row r="436" ht="15.75" customHeight="1">
      <c r="I436" s="117"/>
      <c r="K436" s="117"/>
      <c r="L436" s="118"/>
    </row>
    <row r="437" ht="15.75" customHeight="1">
      <c r="I437" s="117"/>
      <c r="K437" s="117"/>
      <c r="L437" s="118"/>
    </row>
    <row r="438" ht="15.75" customHeight="1">
      <c r="I438" s="117"/>
      <c r="K438" s="117"/>
      <c r="L438" s="118"/>
    </row>
    <row r="439" ht="15.75" customHeight="1">
      <c r="I439" s="117"/>
      <c r="K439" s="117"/>
      <c r="L439" s="118"/>
    </row>
    <row r="440" ht="15.75" customHeight="1">
      <c r="I440" s="117"/>
      <c r="K440" s="117"/>
      <c r="L440" s="118"/>
    </row>
    <row r="441" ht="15.75" customHeight="1">
      <c r="I441" s="117"/>
      <c r="K441" s="117"/>
      <c r="L441" s="118"/>
    </row>
    <row r="442" ht="15.75" customHeight="1">
      <c r="I442" s="117"/>
      <c r="K442" s="117"/>
      <c r="L442" s="118"/>
    </row>
    <row r="443" ht="15.75" customHeight="1">
      <c r="I443" s="117"/>
      <c r="K443" s="117"/>
      <c r="L443" s="118"/>
    </row>
    <row r="444" ht="15.75" customHeight="1">
      <c r="I444" s="117"/>
      <c r="K444" s="117"/>
      <c r="L444" s="118"/>
    </row>
    <row r="445" ht="15.75" customHeight="1">
      <c r="I445" s="117"/>
      <c r="K445" s="117"/>
      <c r="L445" s="118"/>
    </row>
    <row r="446" ht="15.75" customHeight="1">
      <c r="I446" s="117"/>
      <c r="K446" s="117"/>
      <c r="L446" s="118"/>
    </row>
    <row r="447" ht="15.75" customHeight="1">
      <c r="I447" s="117"/>
      <c r="K447" s="117"/>
      <c r="L447" s="118"/>
    </row>
    <row r="448" ht="15.75" customHeight="1">
      <c r="I448" s="117"/>
      <c r="K448" s="117"/>
      <c r="L448" s="118"/>
    </row>
    <row r="449" ht="15.75" customHeight="1">
      <c r="I449" s="117"/>
      <c r="K449" s="117"/>
      <c r="L449" s="118"/>
    </row>
    <row r="450" ht="15.75" customHeight="1">
      <c r="I450" s="117"/>
      <c r="K450" s="117"/>
      <c r="L450" s="118"/>
    </row>
    <row r="451" ht="15.75" customHeight="1">
      <c r="I451" s="117"/>
      <c r="K451" s="117"/>
      <c r="L451" s="118"/>
    </row>
    <row r="452" ht="15.75" customHeight="1">
      <c r="I452" s="117"/>
      <c r="K452" s="117"/>
      <c r="L452" s="118"/>
    </row>
    <row r="453" ht="15.75" customHeight="1">
      <c r="I453" s="117"/>
      <c r="K453" s="117"/>
      <c r="L453" s="118"/>
    </row>
    <row r="454" ht="15.75" customHeight="1">
      <c r="I454" s="117"/>
      <c r="K454" s="117"/>
      <c r="L454" s="118"/>
    </row>
    <row r="455" ht="15.75" customHeight="1">
      <c r="I455" s="117"/>
      <c r="K455" s="117"/>
      <c r="L455" s="118"/>
    </row>
    <row r="456" ht="15.75" customHeight="1">
      <c r="I456" s="117"/>
      <c r="K456" s="117"/>
      <c r="L456" s="118"/>
    </row>
    <row r="457" ht="15.75" customHeight="1">
      <c r="I457" s="117"/>
      <c r="K457" s="117"/>
      <c r="L457" s="118"/>
    </row>
    <row r="458" ht="15.75" customHeight="1">
      <c r="I458" s="117"/>
      <c r="K458" s="117"/>
      <c r="L458" s="118"/>
    </row>
    <row r="459" ht="15.75" customHeight="1">
      <c r="I459" s="117"/>
      <c r="K459" s="117"/>
      <c r="L459" s="118"/>
    </row>
    <row r="460" ht="15.75" customHeight="1">
      <c r="I460" s="117"/>
      <c r="K460" s="117"/>
      <c r="L460" s="118"/>
    </row>
    <row r="461" ht="15.75" customHeight="1">
      <c r="I461" s="117"/>
      <c r="K461" s="117"/>
      <c r="L461" s="118"/>
    </row>
    <row r="462" ht="15.75" customHeight="1">
      <c r="I462" s="117"/>
      <c r="K462" s="117"/>
      <c r="L462" s="118"/>
    </row>
    <row r="463" ht="15.75" customHeight="1">
      <c r="I463" s="117"/>
      <c r="K463" s="117"/>
      <c r="L463" s="118"/>
    </row>
    <row r="464" ht="15.75" customHeight="1">
      <c r="I464" s="117"/>
      <c r="K464" s="117"/>
      <c r="L464" s="118"/>
    </row>
    <row r="465" ht="15.75" customHeight="1">
      <c r="I465" s="117"/>
      <c r="K465" s="117"/>
      <c r="L465" s="118"/>
    </row>
    <row r="466" ht="15.75" customHeight="1">
      <c r="I466" s="117"/>
      <c r="K466" s="117"/>
      <c r="L466" s="118"/>
    </row>
    <row r="467" ht="15.75" customHeight="1">
      <c r="I467" s="117"/>
      <c r="K467" s="117"/>
      <c r="L467" s="118"/>
    </row>
    <row r="468" ht="15.75" customHeight="1">
      <c r="I468" s="117"/>
      <c r="K468" s="117"/>
      <c r="L468" s="118"/>
    </row>
    <row r="469" ht="15.75" customHeight="1">
      <c r="I469" s="117"/>
      <c r="K469" s="117"/>
      <c r="L469" s="118"/>
    </row>
    <row r="470" ht="15.75" customHeight="1">
      <c r="I470" s="117"/>
      <c r="K470" s="117"/>
      <c r="L470" s="118"/>
    </row>
    <row r="471" ht="15.75" customHeight="1">
      <c r="I471" s="117"/>
      <c r="K471" s="117"/>
      <c r="L471" s="118"/>
    </row>
    <row r="472" ht="15.75" customHeight="1">
      <c r="I472" s="117"/>
      <c r="K472" s="117"/>
      <c r="L472" s="118"/>
    </row>
    <row r="473" ht="15.75" customHeight="1">
      <c r="I473" s="117"/>
      <c r="K473" s="117"/>
      <c r="L473" s="118"/>
    </row>
    <row r="474" ht="15.75" customHeight="1">
      <c r="I474" s="117"/>
      <c r="K474" s="117"/>
      <c r="L474" s="118"/>
    </row>
    <row r="475" ht="15.75" customHeight="1">
      <c r="I475" s="117"/>
      <c r="K475" s="117"/>
      <c r="L475" s="118"/>
    </row>
    <row r="476" ht="15.75" customHeight="1">
      <c r="I476" s="117"/>
      <c r="K476" s="117"/>
      <c r="L476" s="118"/>
    </row>
    <row r="477" ht="15.75" customHeight="1">
      <c r="I477" s="117"/>
      <c r="K477" s="117"/>
      <c r="L477" s="118"/>
    </row>
    <row r="478" ht="15.75" customHeight="1">
      <c r="I478" s="117"/>
      <c r="K478" s="117"/>
      <c r="L478" s="118"/>
    </row>
    <row r="479" ht="15.75" customHeight="1">
      <c r="I479" s="117"/>
      <c r="K479" s="117"/>
      <c r="L479" s="118"/>
    </row>
    <row r="480" ht="15.75" customHeight="1">
      <c r="I480" s="117"/>
      <c r="K480" s="117"/>
      <c r="L480" s="118"/>
    </row>
    <row r="481" ht="15.75" customHeight="1">
      <c r="I481" s="117"/>
      <c r="K481" s="117"/>
      <c r="L481" s="118"/>
    </row>
    <row r="482" ht="15.75" customHeight="1">
      <c r="I482" s="117"/>
      <c r="K482" s="117"/>
      <c r="L482" s="118"/>
    </row>
    <row r="483" ht="15.75" customHeight="1">
      <c r="I483" s="117"/>
      <c r="K483" s="117"/>
      <c r="L483" s="118"/>
    </row>
    <row r="484" ht="15.75" customHeight="1">
      <c r="I484" s="117"/>
      <c r="K484" s="117"/>
      <c r="L484" s="118"/>
    </row>
    <row r="485" ht="15.75" customHeight="1">
      <c r="I485" s="117"/>
      <c r="K485" s="117"/>
      <c r="L485" s="118"/>
    </row>
    <row r="486" ht="15.75" customHeight="1">
      <c r="I486" s="117"/>
      <c r="K486" s="117"/>
      <c r="L486" s="118"/>
    </row>
    <row r="487" ht="15.75" customHeight="1">
      <c r="I487" s="117"/>
      <c r="K487" s="117"/>
      <c r="L487" s="118"/>
    </row>
    <row r="488" ht="15.75" customHeight="1">
      <c r="I488" s="117"/>
      <c r="K488" s="117"/>
      <c r="L488" s="118"/>
    </row>
    <row r="489" ht="15.75" customHeight="1">
      <c r="I489" s="117"/>
      <c r="K489" s="117"/>
      <c r="L489" s="118"/>
    </row>
    <row r="490" ht="15.75" customHeight="1">
      <c r="I490" s="117"/>
      <c r="K490" s="117"/>
      <c r="L490" s="118"/>
    </row>
    <row r="491" ht="15.75" customHeight="1">
      <c r="I491" s="117"/>
      <c r="K491" s="117"/>
      <c r="L491" s="118"/>
    </row>
    <row r="492" ht="15.75" customHeight="1">
      <c r="I492" s="117"/>
      <c r="K492" s="117"/>
      <c r="L492" s="118"/>
    </row>
    <row r="493" ht="15.75" customHeight="1">
      <c r="I493" s="117"/>
      <c r="K493" s="117"/>
      <c r="L493" s="118"/>
    </row>
    <row r="494" ht="15.75" customHeight="1">
      <c r="I494" s="117"/>
      <c r="K494" s="117"/>
      <c r="L494" s="118"/>
    </row>
    <row r="495" ht="15.75" customHeight="1">
      <c r="I495" s="117"/>
      <c r="K495" s="117"/>
      <c r="L495" s="118"/>
    </row>
    <row r="496" ht="15.75" customHeight="1">
      <c r="I496" s="117"/>
      <c r="K496" s="117"/>
      <c r="L496" s="118"/>
    </row>
    <row r="497" ht="15.75" customHeight="1">
      <c r="I497" s="117"/>
      <c r="K497" s="117"/>
      <c r="L497" s="118"/>
    </row>
    <row r="498" ht="15.75" customHeight="1">
      <c r="I498" s="117"/>
      <c r="K498" s="117"/>
      <c r="L498" s="118"/>
    </row>
    <row r="499" ht="15.75" customHeight="1">
      <c r="I499" s="117"/>
      <c r="K499" s="117"/>
      <c r="L499" s="118"/>
    </row>
    <row r="500" ht="15.75" customHeight="1">
      <c r="I500" s="117"/>
      <c r="K500" s="117"/>
      <c r="L500" s="118"/>
    </row>
    <row r="501" ht="15.75" customHeight="1">
      <c r="I501" s="117"/>
      <c r="K501" s="117"/>
      <c r="L501" s="118"/>
    </row>
    <row r="502" ht="15.75" customHeight="1">
      <c r="I502" s="117"/>
      <c r="K502" s="117"/>
      <c r="L502" s="118"/>
    </row>
    <row r="503" ht="15.75" customHeight="1">
      <c r="I503" s="117"/>
      <c r="K503" s="117"/>
      <c r="L503" s="118"/>
    </row>
    <row r="504" ht="15.75" customHeight="1">
      <c r="I504" s="117"/>
      <c r="K504" s="117"/>
      <c r="L504" s="118"/>
    </row>
    <row r="505" ht="15.75" customHeight="1">
      <c r="I505" s="117"/>
      <c r="K505" s="117"/>
      <c r="L505" s="118"/>
    </row>
    <row r="506" ht="15.75" customHeight="1">
      <c r="I506" s="117"/>
      <c r="K506" s="117"/>
      <c r="L506" s="118"/>
    </row>
    <row r="507" ht="15.75" customHeight="1">
      <c r="I507" s="117"/>
      <c r="K507" s="117"/>
      <c r="L507" s="118"/>
    </row>
    <row r="508" ht="15.75" customHeight="1">
      <c r="I508" s="117"/>
      <c r="K508" s="117"/>
      <c r="L508" s="118"/>
    </row>
    <row r="509" ht="15.75" customHeight="1">
      <c r="I509" s="117"/>
      <c r="K509" s="117"/>
      <c r="L509" s="118"/>
    </row>
    <row r="510" ht="15.75" customHeight="1">
      <c r="I510" s="117"/>
      <c r="K510" s="117"/>
      <c r="L510" s="118"/>
    </row>
    <row r="511" ht="15.75" customHeight="1">
      <c r="I511" s="117"/>
      <c r="K511" s="117"/>
      <c r="L511" s="118"/>
    </row>
    <row r="512" ht="15.75" customHeight="1">
      <c r="I512" s="117"/>
      <c r="K512" s="117"/>
      <c r="L512" s="118"/>
    </row>
    <row r="513" ht="15.75" customHeight="1">
      <c r="I513" s="117"/>
      <c r="K513" s="117"/>
      <c r="L513" s="118"/>
    </row>
    <row r="514" ht="15.75" customHeight="1">
      <c r="I514" s="117"/>
      <c r="K514" s="117"/>
      <c r="L514" s="118"/>
    </row>
    <row r="515" ht="15.75" customHeight="1">
      <c r="I515" s="117"/>
      <c r="K515" s="117"/>
      <c r="L515" s="118"/>
    </row>
    <row r="516" ht="15.75" customHeight="1">
      <c r="I516" s="117"/>
      <c r="K516" s="117"/>
      <c r="L516" s="118"/>
    </row>
    <row r="517" ht="15.75" customHeight="1">
      <c r="I517" s="117"/>
      <c r="K517" s="117"/>
      <c r="L517" s="118"/>
    </row>
    <row r="518" ht="15.75" customHeight="1">
      <c r="I518" s="117"/>
      <c r="K518" s="117"/>
      <c r="L518" s="118"/>
    </row>
    <row r="519" ht="15.75" customHeight="1">
      <c r="I519" s="117"/>
      <c r="K519" s="117"/>
      <c r="L519" s="118"/>
    </row>
    <row r="520" ht="15.75" customHeight="1">
      <c r="I520" s="117"/>
      <c r="K520" s="117"/>
      <c r="L520" s="118"/>
    </row>
    <row r="521" ht="15.75" customHeight="1">
      <c r="I521" s="117"/>
      <c r="K521" s="117"/>
      <c r="L521" s="118"/>
    </row>
    <row r="522" ht="15.75" customHeight="1">
      <c r="I522" s="117"/>
      <c r="K522" s="117"/>
      <c r="L522" s="118"/>
    </row>
    <row r="523" ht="15.75" customHeight="1">
      <c r="I523" s="117"/>
      <c r="K523" s="117"/>
      <c r="L523" s="118"/>
    </row>
    <row r="524" ht="15.75" customHeight="1">
      <c r="I524" s="117"/>
      <c r="K524" s="117"/>
      <c r="L524" s="118"/>
    </row>
    <row r="525" ht="15.75" customHeight="1">
      <c r="I525" s="117"/>
      <c r="K525" s="117"/>
      <c r="L525" s="118"/>
    </row>
    <row r="526" ht="15.75" customHeight="1">
      <c r="I526" s="117"/>
      <c r="K526" s="117"/>
      <c r="L526" s="118"/>
    </row>
    <row r="527" ht="15.75" customHeight="1">
      <c r="I527" s="117"/>
      <c r="K527" s="117"/>
      <c r="L527" s="118"/>
    </row>
    <row r="528" ht="15.75" customHeight="1">
      <c r="I528" s="117"/>
      <c r="K528" s="117"/>
      <c r="L528" s="118"/>
    </row>
    <row r="529" ht="15.75" customHeight="1">
      <c r="I529" s="117"/>
      <c r="K529" s="117"/>
      <c r="L529" s="118"/>
    </row>
    <row r="530" ht="15.75" customHeight="1">
      <c r="I530" s="117"/>
      <c r="K530" s="117"/>
      <c r="L530" s="118"/>
    </row>
    <row r="531" ht="15.75" customHeight="1">
      <c r="I531" s="117"/>
      <c r="K531" s="117"/>
      <c r="L531" s="118"/>
    </row>
    <row r="532" ht="15.75" customHeight="1">
      <c r="I532" s="117"/>
      <c r="K532" s="117"/>
      <c r="L532" s="118"/>
    </row>
    <row r="533" ht="15.75" customHeight="1">
      <c r="I533" s="117"/>
      <c r="K533" s="117"/>
      <c r="L533" s="118"/>
    </row>
    <row r="534" ht="15.75" customHeight="1">
      <c r="I534" s="117"/>
      <c r="K534" s="117"/>
      <c r="L534" s="118"/>
    </row>
    <row r="535" ht="15.75" customHeight="1">
      <c r="I535" s="117"/>
      <c r="K535" s="117"/>
      <c r="L535" s="118"/>
    </row>
    <row r="536" ht="15.75" customHeight="1">
      <c r="I536" s="117"/>
      <c r="K536" s="117"/>
      <c r="L536" s="118"/>
    </row>
    <row r="537" ht="15.75" customHeight="1">
      <c r="I537" s="117"/>
      <c r="K537" s="117"/>
      <c r="L537" s="118"/>
    </row>
    <row r="538" ht="15.75" customHeight="1">
      <c r="I538" s="117"/>
      <c r="K538" s="117"/>
      <c r="L538" s="118"/>
    </row>
    <row r="539" ht="15.75" customHeight="1">
      <c r="I539" s="117"/>
      <c r="K539" s="117"/>
      <c r="L539" s="118"/>
    </row>
    <row r="540" ht="15.75" customHeight="1">
      <c r="I540" s="117"/>
      <c r="K540" s="117"/>
      <c r="L540" s="118"/>
    </row>
    <row r="541" ht="15.75" customHeight="1">
      <c r="I541" s="117"/>
      <c r="K541" s="117"/>
      <c r="L541" s="118"/>
    </row>
    <row r="542" ht="15.75" customHeight="1">
      <c r="I542" s="117"/>
      <c r="K542" s="117"/>
      <c r="L542" s="118"/>
    </row>
    <row r="543" ht="15.75" customHeight="1">
      <c r="I543" s="117"/>
      <c r="K543" s="117"/>
      <c r="L543" s="118"/>
    </row>
    <row r="544" ht="15.75" customHeight="1">
      <c r="I544" s="117"/>
      <c r="K544" s="117"/>
      <c r="L544" s="118"/>
    </row>
    <row r="545" ht="15.75" customHeight="1">
      <c r="I545" s="117"/>
      <c r="K545" s="117"/>
      <c r="L545" s="118"/>
    </row>
    <row r="546" ht="15.75" customHeight="1">
      <c r="I546" s="117"/>
      <c r="K546" s="117"/>
      <c r="L546" s="118"/>
    </row>
    <row r="547" ht="15.75" customHeight="1">
      <c r="I547" s="117"/>
      <c r="K547" s="117"/>
      <c r="L547" s="118"/>
    </row>
    <row r="548" ht="15.75" customHeight="1">
      <c r="I548" s="117"/>
      <c r="K548" s="117"/>
      <c r="L548" s="118"/>
    </row>
    <row r="549" ht="15.75" customHeight="1">
      <c r="I549" s="117"/>
      <c r="K549" s="117"/>
      <c r="L549" s="118"/>
    </row>
    <row r="550" ht="15.75" customHeight="1">
      <c r="I550" s="117"/>
      <c r="K550" s="117"/>
      <c r="L550" s="118"/>
    </row>
    <row r="551" ht="15.75" customHeight="1">
      <c r="I551" s="117"/>
      <c r="K551" s="117"/>
      <c r="L551" s="118"/>
    </row>
    <row r="552" ht="15.75" customHeight="1">
      <c r="I552" s="117"/>
      <c r="K552" s="117"/>
      <c r="L552" s="118"/>
    </row>
    <row r="553" ht="15.75" customHeight="1">
      <c r="I553" s="117"/>
      <c r="K553" s="117"/>
      <c r="L553" s="118"/>
    </row>
    <row r="554" ht="15.75" customHeight="1">
      <c r="I554" s="117"/>
      <c r="K554" s="117"/>
      <c r="L554" s="118"/>
    </row>
    <row r="555" ht="15.75" customHeight="1">
      <c r="I555" s="117"/>
      <c r="K555" s="117"/>
      <c r="L555" s="118"/>
    </row>
    <row r="556" ht="15.75" customHeight="1">
      <c r="I556" s="117"/>
      <c r="K556" s="117"/>
      <c r="L556" s="118"/>
    </row>
    <row r="557" ht="15.75" customHeight="1">
      <c r="I557" s="117"/>
      <c r="K557" s="117"/>
      <c r="L557" s="118"/>
    </row>
    <row r="558" ht="15.75" customHeight="1">
      <c r="I558" s="117"/>
      <c r="K558" s="117"/>
      <c r="L558" s="118"/>
    </row>
    <row r="559" ht="15.75" customHeight="1">
      <c r="I559" s="117"/>
      <c r="K559" s="117"/>
      <c r="L559" s="118"/>
    </row>
    <row r="560" ht="15.75" customHeight="1">
      <c r="I560" s="117"/>
      <c r="K560" s="117"/>
      <c r="L560" s="118"/>
    </row>
    <row r="561" ht="15.75" customHeight="1">
      <c r="I561" s="117"/>
      <c r="K561" s="117"/>
      <c r="L561" s="118"/>
    </row>
    <row r="562" ht="15.75" customHeight="1">
      <c r="I562" s="117"/>
      <c r="K562" s="117"/>
      <c r="L562" s="118"/>
    </row>
    <row r="563" ht="15.75" customHeight="1">
      <c r="I563" s="117"/>
      <c r="K563" s="117"/>
      <c r="L563" s="118"/>
    </row>
    <row r="564" ht="15.75" customHeight="1">
      <c r="I564" s="117"/>
      <c r="K564" s="117"/>
      <c r="L564" s="118"/>
    </row>
    <row r="565" ht="15.75" customHeight="1">
      <c r="I565" s="117"/>
      <c r="K565" s="117"/>
      <c r="L565" s="118"/>
    </row>
    <row r="566" ht="15.75" customHeight="1">
      <c r="I566" s="117"/>
      <c r="K566" s="117"/>
      <c r="L566" s="118"/>
    </row>
    <row r="567" ht="15.75" customHeight="1">
      <c r="I567" s="117"/>
      <c r="K567" s="117"/>
      <c r="L567" s="118"/>
    </row>
    <row r="568" ht="15.75" customHeight="1">
      <c r="I568" s="117"/>
      <c r="K568" s="117"/>
      <c r="L568" s="118"/>
    </row>
    <row r="569" ht="15.75" customHeight="1">
      <c r="I569" s="117"/>
      <c r="K569" s="117"/>
      <c r="L569" s="118"/>
    </row>
    <row r="570" ht="15.75" customHeight="1">
      <c r="I570" s="117"/>
      <c r="K570" s="117"/>
      <c r="L570" s="118"/>
    </row>
    <row r="571" ht="15.75" customHeight="1">
      <c r="I571" s="117"/>
      <c r="K571" s="117"/>
      <c r="L571" s="118"/>
    </row>
    <row r="572" ht="15.75" customHeight="1">
      <c r="I572" s="117"/>
      <c r="K572" s="117"/>
      <c r="L572" s="118"/>
    </row>
    <row r="573" ht="15.75" customHeight="1">
      <c r="I573" s="117"/>
      <c r="K573" s="117"/>
      <c r="L573" s="118"/>
    </row>
    <row r="574" ht="15.75" customHeight="1">
      <c r="I574" s="117"/>
      <c r="K574" s="117"/>
      <c r="L574" s="118"/>
    </row>
    <row r="575" ht="15.75" customHeight="1">
      <c r="I575" s="117"/>
      <c r="K575" s="117"/>
      <c r="L575" s="118"/>
    </row>
    <row r="576" ht="15.75" customHeight="1">
      <c r="I576" s="117"/>
      <c r="K576" s="117"/>
      <c r="L576" s="118"/>
    </row>
    <row r="577" ht="15.75" customHeight="1">
      <c r="I577" s="117"/>
      <c r="K577" s="117"/>
      <c r="L577" s="118"/>
    </row>
    <row r="578" ht="15.75" customHeight="1">
      <c r="I578" s="117"/>
      <c r="K578" s="117"/>
      <c r="L578" s="118"/>
    </row>
    <row r="579" ht="15.75" customHeight="1">
      <c r="I579" s="117"/>
      <c r="K579" s="117"/>
      <c r="L579" s="118"/>
    </row>
    <row r="580" ht="15.75" customHeight="1">
      <c r="I580" s="117"/>
      <c r="K580" s="117"/>
      <c r="L580" s="118"/>
    </row>
    <row r="581" ht="15.75" customHeight="1">
      <c r="I581" s="117"/>
      <c r="K581" s="117"/>
      <c r="L581" s="118"/>
    </row>
    <row r="582" ht="15.75" customHeight="1">
      <c r="I582" s="117"/>
      <c r="K582" s="117"/>
      <c r="L582" s="118"/>
    </row>
    <row r="583" ht="15.75" customHeight="1">
      <c r="I583" s="117"/>
      <c r="K583" s="117"/>
      <c r="L583" s="118"/>
    </row>
    <row r="584" ht="15.75" customHeight="1">
      <c r="I584" s="117"/>
      <c r="K584" s="117"/>
      <c r="L584" s="118"/>
    </row>
    <row r="585" ht="15.75" customHeight="1">
      <c r="I585" s="117"/>
      <c r="K585" s="117"/>
      <c r="L585" s="118"/>
    </row>
    <row r="586" ht="15.75" customHeight="1">
      <c r="I586" s="117"/>
      <c r="K586" s="117"/>
      <c r="L586" s="118"/>
    </row>
    <row r="587" ht="15.75" customHeight="1">
      <c r="I587" s="117"/>
      <c r="K587" s="117"/>
      <c r="L587" s="118"/>
    </row>
    <row r="588" ht="15.75" customHeight="1">
      <c r="I588" s="117"/>
      <c r="K588" s="117"/>
      <c r="L588" s="118"/>
    </row>
    <row r="589" ht="15.75" customHeight="1">
      <c r="I589" s="117"/>
      <c r="K589" s="117"/>
      <c r="L589" s="118"/>
    </row>
    <row r="590" ht="15.75" customHeight="1">
      <c r="I590" s="117"/>
      <c r="K590" s="117"/>
      <c r="L590" s="118"/>
    </row>
    <row r="591" ht="15.75" customHeight="1">
      <c r="I591" s="117"/>
      <c r="K591" s="117"/>
      <c r="L591" s="118"/>
    </row>
    <row r="592" ht="15.75" customHeight="1">
      <c r="I592" s="117"/>
      <c r="K592" s="117"/>
      <c r="L592" s="118"/>
    </row>
    <row r="593" ht="15.75" customHeight="1">
      <c r="I593" s="117"/>
      <c r="K593" s="117"/>
      <c r="L593" s="118"/>
    </row>
    <row r="594" ht="15.75" customHeight="1">
      <c r="I594" s="117"/>
      <c r="K594" s="117"/>
      <c r="L594" s="118"/>
    </row>
    <row r="595" ht="15.75" customHeight="1">
      <c r="I595" s="117"/>
      <c r="K595" s="117"/>
      <c r="L595" s="118"/>
    </row>
    <row r="596" ht="15.75" customHeight="1">
      <c r="I596" s="117"/>
      <c r="K596" s="117"/>
      <c r="L596" s="118"/>
    </row>
    <row r="597" ht="15.75" customHeight="1">
      <c r="I597" s="117"/>
      <c r="K597" s="117"/>
      <c r="L597" s="118"/>
    </row>
    <row r="598" ht="15.75" customHeight="1">
      <c r="I598" s="117"/>
      <c r="K598" s="117"/>
      <c r="L598" s="118"/>
    </row>
    <row r="599" ht="15.75" customHeight="1">
      <c r="I599" s="117"/>
      <c r="K599" s="117"/>
      <c r="L599" s="118"/>
    </row>
    <row r="600" ht="15.75" customHeight="1">
      <c r="I600" s="117"/>
      <c r="K600" s="117"/>
      <c r="L600" s="118"/>
    </row>
    <row r="601" ht="15.75" customHeight="1">
      <c r="I601" s="117"/>
      <c r="K601" s="117"/>
      <c r="L601" s="118"/>
    </row>
    <row r="602" ht="15.75" customHeight="1">
      <c r="I602" s="117"/>
      <c r="K602" s="117"/>
      <c r="L602" s="118"/>
    </row>
    <row r="603" ht="15.75" customHeight="1">
      <c r="I603" s="117"/>
      <c r="K603" s="117"/>
      <c r="L603" s="118"/>
    </row>
    <row r="604" ht="15.75" customHeight="1">
      <c r="I604" s="117"/>
      <c r="K604" s="117"/>
      <c r="L604" s="118"/>
    </row>
    <row r="605" ht="15.75" customHeight="1">
      <c r="I605" s="117"/>
      <c r="K605" s="117"/>
      <c r="L605" s="118"/>
    </row>
    <row r="606" ht="15.75" customHeight="1">
      <c r="I606" s="117"/>
      <c r="K606" s="117"/>
      <c r="L606" s="118"/>
    </row>
    <row r="607" ht="15.75" customHeight="1">
      <c r="I607" s="117"/>
      <c r="K607" s="117"/>
      <c r="L607" s="118"/>
    </row>
    <row r="608" ht="15.75" customHeight="1">
      <c r="I608" s="117"/>
      <c r="K608" s="117"/>
      <c r="L608" s="118"/>
    </row>
    <row r="609" ht="15.75" customHeight="1">
      <c r="I609" s="117"/>
      <c r="K609" s="117"/>
      <c r="L609" s="118"/>
    </row>
    <row r="610" ht="15.75" customHeight="1">
      <c r="I610" s="117"/>
      <c r="K610" s="117"/>
      <c r="L610" s="118"/>
    </row>
    <row r="611" ht="15.75" customHeight="1">
      <c r="I611" s="117"/>
      <c r="K611" s="117"/>
      <c r="L611" s="118"/>
    </row>
    <row r="612" ht="15.75" customHeight="1">
      <c r="I612" s="117"/>
      <c r="K612" s="117"/>
      <c r="L612" s="118"/>
    </row>
    <row r="613" ht="15.75" customHeight="1">
      <c r="I613" s="117"/>
      <c r="K613" s="117"/>
      <c r="L613" s="118"/>
    </row>
    <row r="614" ht="15.75" customHeight="1">
      <c r="I614" s="117"/>
      <c r="K614" s="117"/>
      <c r="L614" s="118"/>
    </row>
    <row r="615" ht="15.75" customHeight="1">
      <c r="I615" s="117"/>
      <c r="K615" s="117"/>
      <c r="L615" s="118"/>
    </row>
    <row r="616" ht="15.75" customHeight="1">
      <c r="I616" s="117"/>
      <c r="K616" s="117"/>
      <c r="L616" s="118"/>
    </row>
    <row r="617" ht="15.75" customHeight="1">
      <c r="I617" s="117"/>
      <c r="K617" s="117"/>
      <c r="L617" s="118"/>
    </row>
    <row r="618" ht="15.75" customHeight="1">
      <c r="I618" s="117"/>
      <c r="K618" s="117"/>
      <c r="L618" s="118"/>
    </row>
    <row r="619" ht="15.75" customHeight="1">
      <c r="I619" s="117"/>
      <c r="K619" s="117"/>
      <c r="L619" s="118"/>
    </row>
    <row r="620" ht="15.75" customHeight="1">
      <c r="I620" s="117"/>
      <c r="K620" s="117"/>
      <c r="L620" s="118"/>
    </row>
    <row r="621" ht="15.75" customHeight="1">
      <c r="I621" s="117"/>
      <c r="K621" s="117"/>
      <c r="L621" s="118"/>
    </row>
    <row r="622" ht="15.75" customHeight="1">
      <c r="I622" s="117"/>
      <c r="K622" s="117"/>
      <c r="L622" s="118"/>
    </row>
    <row r="623" ht="15.75" customHeight="1">
      <c r="I623" s="117"/>
      <c r="K623" s="117"/>
      <c r="L623" s="118"/>
    </row>
    <row r="624" ht="15.75" customHeight="1">
      <c r="I624" s="117"/>
      <c r="K624" s="117"/>
      <c r="L624" s="118"/>
    </row>
    <row r="625" ht="15.75" customHeight="1">
      <c r="I625" s="117"/>
      <c r="K625" s="117"/>
      <c r="L625" s="118"/>
    </row>
    <row r="626" ht="15.75" customHeight="1">
      <c r="I626" s="117"/>
      <c r="K626" s="117"/>
      <c r="L626" s="118"/>
    </row>
    <row r="627" ht="15.75" customHeight="1">
      <c r="I627" s="117"/>
      <c r="K627" s="117"/>
      <c r="L627" s="118"/>
    </row>
    <row r="628" ht="15.75" customHeight="1">
      <c r="I628" s="117"/>
      <c r="K628" s="117"/>
      <c r="L628" s="118"/>
    </row>
    <row r="629" ht="15.75" customHeight="1">
      <c r="I629" s="117"/>
      <c r="K629" s="117"/>
      <c r="L629" s="118"/>
    </row>
    <row r="630" ht="15.75" customHeight="1">
      <c r="I630" s="117"/>
      <c r="K630" s="117"/>
      <c r="L630" s="118"/>
    </row>
    <row r="631" ht="15.75" customHeight="1">
      <c r="I631" s="117"/>
      <c r="K631" s="117"/>
      <c r="L631" s="118"/>
    </row>
    <row r="632" ht="15.75" customHeight="1">
      <c r="I632" s="117"/>
      <c r="K632" s="117"/>
      <c r="L632" s="118"/>
    </row>
    <row r="633" ht="15.75" customHeight="1">
      <c r="I633" s="117"/>
      <c r="K633" s="117"/>
      <c r="L633" s="118"/>
    </row>
    <row r="634" ht="15.75" customHeight="1">
      <c r="I634" s="117"/>
      <c r="K634" s="117"/>
      <c r="L634" s="118"/>
    </row>
    <row r="635" ht="15.75" customHeight="1">
      <c r="I635" s="117"/>
      <c r="K635" s="117"/>
      <c r="L635" s="118"/>
    </row>
    <row r="636" ht="15.75" customHeight="1">
      <c r="I636" s="117"/>
      <c r="K636" s="117"/>
      <c r="L636" s="118"/>
    </row>
    <row r="637" ht="15.75" customHeight="1">
      <c r="I637" s="117"/>
      <c r="K637" s="117"/>
      <c r="L637" s="118"/>
    </row>
    <row r="638" ht="15.75" customHeight="1">
      <c r="I638" s="117"/>
      <c r="K638" s="117"/>
      <c r="L638" s="118"/>
    </row>
    <row r="639" ht="15.75" customHeight="1">
      <c r="I639" s="117"/>
      <c r="K639" s="117"/>
      <c r="L639" s="118"/>
    </row>
    <row r="640" ht="15.75" customHeight="1">
      <c r="I640" s="117"/>
      <c r="K640" s="117"/>
      <c r="L640" s="118"/>
    </row>
    <row r="641" ht="15.75" customHeight="1">
      <c r="I641" s="117"/>
      <c r="K641" s="117"/>
      <c r="L641" s="118"/>
    </row>
    <row r="642" ht="15.75" customHeight="1">
      <c r="I642" s="117"/>
      <c r="K642" s="117"/>
      <c r="L642" s="118"/>
    </row>
    <row r="643" ht="15.75" customHeight="1">
      <c r="I643" s="117"/>
      <c r="K643" s="117"/>
      <c r="L643" s="118"/>
    </row>
    <row r="644" ht="15.75" customHeight="1">
      <c r="I644" s="117"/>
      <c r="K644" s="117"/>
      <c r="L644" s="118"/>
    </row>
    <row r="645" ht="15.75" customHeight="1">
      <c r="I645" s="117"/>
      <c r="K645" s="117"/>
      <c r="L645" s="118"/>
    </row>
    <row r="646" ht="15.75" customHeight="1">
      <c r="I646" s="117"/>
      <c r="K646" s="117"/>
      <c r="L646" s="118"/>
    </row>
    <row r="647" ht="15.75" customHeight="1">
      <c r="I647" s="117"/>
      <c r="K647" s="117"/>
      <c r="L647" s="118"/>
    </row>
    <row r="648" ht="15.75" customHeight="1">
      <c r="I648" s="117"/>
      <c r="K648" s="117"/>
      <c r="L648" s="118"/>
    </row>
    <row r="649" ht="15.75" customHeight="1">
      <c r="I649" s="117"/>
      <c r="K649" s="117"/>
      <c r="L649" s="118"/>
    </row>
    <row r="650" ht="15.75" customHeight="1">
      <c r="I650" s="117"/>
      <c r="K650" s="117"/>
      <c r="L650" s="118"/>
    </row>
    <row r="651" ht="15.75" customHeight="1">
      <c r="I651" s="117"/>
      <c r="K651" s="117"/>
      <c r="L651" s="118"/>
    </row>
    <row r="652" ht="15.75" customHeight="1">
      <c r="I652" s="117"/>
      <c r="K652" s="117"/>
      <c r="L652" s="118"/>
    </row>
    <row r="653" ht="15.75" customHeight="1">
      <c r="I653" s="117"/>
      <c r="K653" s="117"/>
      <c r="L653" s="118"/>
    </row>
    <row r="654" ht="15.75" customHeight="1">
      <c r="I654" s="117"/>
      <c r="K654" s="117"/>
      <c r="L654" s="118"/>
    </row>
    <row r="655" ht="15.75" customHeight="1">
      <c r="I655" s="117"/>
      <c r="K655" s="117"/>
      <c r="L655" s="118"/>
    </row>
    <row r="656" ht="15.75" customHeight="1">
      <c r="I656" s="117"/>
      <c r="K656" s="117"/>
      <c r="L656" s="118"/>
    </row>
    <row r="657" ht="15.75" customHeight="1">
      <c r="I657" s="117"/>
      <c r="K657" s="117"/>
      <c r="L657" s="118"/>
    </row>
    <row r="658" ht="15.75" customHeight="1">
      <c r="I658" s="117"/>
      <c r="K658" s="117"/>
      <c r="L658" s="118"/>
    </row>
    <row r="659" ht="15.75" customHeight="1">
      <c r="I659" s="117"/>
      <c r="K659" s="117"/>
      <c r="L659" s="118"/>
    </row>
    <row r="660" ht="15.75" customHeight="1">
      <c r="I660" s="117"/>
      <c r="K660" s="117"/>
      <c r="L660" s="118"/>
    </row>
    <row r="661" ht="15.75" customHeight="1">
      <c r="I661" s="117"/>
      <c r="K661" s="117"/>
      <c r="L661" s="118"/>
    </row>
    <row r="662" ht="15.75" customHeight="1">
      <c r="I662" s="117"/>
      <c r="K662" s="117"/>
      <c r="L662" s="118"/>
    </row>
    <row r="663" ht="15.75" customHeight="1">
      <c r="I663" s="117"/>
      <c r="K663" s="117"/>
      <c r="L663" s="118"/>
    </row>
    <row r="664" ht="15.75" customHeight="1">
      <c r="I664" s="117"/>
      <c r="K664" s="117"/>
      <c r="L664" s="118"/>
    </row>
    <row r="665" ht="15.75" customHeight="1">
      <c r="I665" s="117"/>
      <c r="K665" s="117"/>
      <c r="L665" s="118"/>
    </row>
    <row r="666" ht="15.75" customHeight="1">
      <c r="I666" s="117"/>
      <c r="K666" s="117"/>
      <c r="L666" s="118"/>
    </row>
    <row r="667" ht="15.75" customHeight="1">
      <c r="I667" s="117"/>
      <c r="K667" s="117"/>
      <c r="L667" s="118"/>
    </row>
    <row r="668" ht="15.75" customHeight="1">
      <c r="I668" s="117"/>
      <c r="K668" s="117"/>
      <c r="L668" s="118"/>
    </row>
    <row r="669" ht="15.75" customHeight="1">
      <c r="I669" s="117"/>
      <c r="K669" s="117"/>
      <c r="L669" s="118"/>
    </row>
    <row r="670" ht="15.75" customHeight="1">
      <c r="I670" s="117"/>
      <c r="K670" s="117"/>
      <c r="L670" s="118"/>
    </row>
    <row r="671" ht="15.75" customHeight="1">
      <c r="I671" s="117"/>
      <c r="K671" s="117"/>
      <c r="L671" s="118"/>
    </row>
    <row r="672" ht="15.75" customHeight="1">
      <c r="I672" s="117"/>
      <c r="K672" s="117"/>
      <c r="L672" s="118"/>
    </row>
    <row r="673" ht="15.75" customHeight="1">
      <c r="I673" s="117"/>
      <c r="K673" s="117"/>
      <c r="L673" s="118"/>
    </row>
    <row r="674" ht="15.75" customHeight="1">
      <c r="I674" s="117"/>
      <c r="K674" s="117"/>
      <c r="L674" s="118"/>
    </row>
    <row r="675" ht="15.75" customHeight="1">
      <c r="I675" s="117"/>
      <c r="K675" s="117"/>
      <c r="L675" s="118"/>
    </row>
    <row r="676" ht="15.75" customHeight="1">
      <c r="I676" s="117"/>
      <c r="K676" s="117"/>
      <c r="L676" s="118"/>
    </row>
    <row r="677" ht="15.75" customHeight="1">
      <c r="I677" s="117"/>
      <c r="K677" s="117"/>
      <c r="L677" s="118"/>
    </row>
    <row r="678" ht="15.75" customHeight="1">
      <c r="I678" s="117"/>
      <c r="K678" s="117"/>
      <c r="L678" s="118"/>
    </row>
    <row r="679" ht="15.75" customHeight="1">
      <c r="I679" s="117"/>
      <c r="K679" s="117"/>
      <c r="L679" s="118"/>
    </row>
    <row r="680" ht="15.75" customHeight="1">
      <c r="I680" s="117"/>
      <c r="K680" s="117"/>
      <c r="L680" s="118"/>
    </row>
    <row r="681" ht="15.75" customHeight="1">
      <c r="I681" s="117"/>
      <c r="K681" s="117"/>
      <c r="L681" s="118"/>
    </row>
    <row r="682" ht="15.75" customHeight="1">
      <c r="I682" s="117"/>
      <c r="K682" s="117"/>
      <c r="L682" s="118"/>
    </row>
    <row r="683" ht="15.75" customHeight="1">
      <c r="I683" s="117"/>
      <c r="K683" s="117"/>
      <c r="L683" s="118"/>
    </row>
    <row r="684" ht="15.75" customHeight="1">
      <c r="I684" s="117"/>
      <c r="K684" s="117"/>
      <c r="L684" s="118"/>
    </row>
    <row r="685" ht="15.75" customHeight="1">
      <c r="I685" s="117"/>
      <c r="K685" s="117"/>
      <c r="L685" s="118"/>
    </row>
    <row r="686" ht="15.75" customHeight="1">
      <c r="I686" s="117"/>
      <c r="K686" s="117"/>
      <c r="L686" s="118"/>
    </row>
    <row r="687" ht="15.75" customHeight="1">
      <c r="I687" s="117"/>
      <c r="K687" s="117"/>
      <c r="L687" s="118"/>
    </row>
    <row r="688" ht="15.75" customHeight="1">
      <c r="I688" s="117"/>
      <c r="K688" s="117"/>
      <c r="L688" s="118"/>
    </row>
    <row r="689" ht="15.75" customHeight="1">
      <c r="I689" s="117"/>
      <c r="K689" s="117"/>
      <c r="L689" s="118"/>
    </row>
    <row r="690" ht="15.75" customHeight="1">
      <c r="I690" s="117"/>
      <c r="K690" s="117"/>
      <c r="L690" s="118"/>
    </row>
    <row r="691" ht="15.75" customHeight="1">
      <c r="I691" s="117"/>
      <c r="K691" s="117"/>
      <c r="L691" s="118"/>
    </row>
    <row r="692" ht="15.75" customHeight="1">
      <c r="I692" s="117"/>
      <c r="K692" s="117"/>
      <c r="L692" s="118"/>
    </row>
    <row r="693" ht="15.75" customHeight="1">
      <c r="I693" s="117"/>
      <c r="K693" s="117"/>
      <c r="L693" s="118"/>
    </row>
    <row r="694" ht="15.75" customHeight="1">
      <c r="I694" s="117"/>
      <c r="K694" s="117"/>
      <c r="L694" s="118"/>
    </row>
    <row r="695" ht="15.75" customHeight="1">
      <c r="I695" s="117"/>
      <c r="K695" s="117"/>
      <c r="L695" s="118"/>
    </row>
    <row r="696" ht="15.75" customHeight="1">
      <c r="I696" s="117"/>
      <c r="K696" s="117"/>
      <c r="L696" s="118"/>
    </row>
    <row r="697" ht="15.75" customHeight="1">
      <c r="I697" s="117"/>
      <c r="K697" s="117"/>
      <c r="L697" s="118"/>
    </row>
    <row r="698" ht="15.75" customHeight="1">
      <c r="I698" s="117"/>
      <c r="K698" s="117"/>
      <c r="L698" s="118"/>
    </row>
    <row r="699" ht="15.75" customHeight="1">
      <c r="I699" s="117"/>
      <c r="K699" s="117"/>
      <c r="L699" s="118"/>
    </row>
    <row r="700" ht="15.75" customHeight="1">
      <c r="I700" s="117"/>
      <c r="K700" s="117"/>
      <c r="L700" s="118"/>
    </row>
    <row r="701" ht="15.75" customHeight="1">
      <c r="I701" s="117"/>
      <c r="K701" s="117"/>
      <c r="L701" s="118"/>
    </row>
    <row r="702" ht="15.75" customHeight="1">
      <c r="I702" s="117"/>
      <c r="K702" s="117"/>
      <c r="L702" s="118"/>
    </row>
    <row r="703" ht="15.75" customHeight="1">
      <c r="I703" s="117"/>
      <c r="K703" s="117"/>
      <c r="L703" s="118"/>
    </row>
    <row r="704" ht="15.75" customHeight="1">
      <c r="I704" s="117"/>
      <c r="K704" s="117"/>
      <c r="L704" s="118"/>
    </row>
    <row r="705" ht="15.75" customHeight="1">
      <c r="I705" s="117"/>
      <c r="K705" s="117"/>
      <c r="L705" s="118"/>
    </row>
    <row r="706" ht="15.75" customHeight="1">
      <c r="I706" s="117"/>
      <c r="K706" s="117"/>
      <c r="L706" s="118"/>
    </row>
    <row r="707" ht="15.75" customHeight="1">
      <c r="I707" s="117"/>
      <c r="K707" s="117"/>
      <c r="L707" s="118"/>
    </row>
    <row r="708" ht="15.75" customHeight="1">
      <c r="I708" s="117"/>
      <c r="K708" s="117"/>
      <c r="L708" s="118"/>
    </row>
    <row r="709" ht="15.75" customHeight="1">
      <c r="I709" s="117"/>
      <c r="K709" s="117"/>
      <c r="L709" s="118"/>
    </row>
    <row r="710" ht="15.75" customHeight="1">
      <c r="I710" s="117"/>
      <c r="K710" s="117"/>
      <c r="L710" s="118"/>
    </row>
    <row r="711" ht="15.75" customHeight="1">
      <c r="I711" s="117"/>
      <c r="K711" s="117"/>
      <c r="L711" s="118"/>
    </row>
    <row r="712" ht="15.75" customHeight="1">
      <c r="I712" s="117"/>
      <c r="K712" s="117"/>
      <c r="L712" s="118"/>
    </row>
    <row r="713" ht="15.75" customHeight="1">
      <c r="I713" s="117"/>
      <c r="K713" s="117"/>
      <c r="L713" s="118"/>
    </row>
    <row r="714" ht="15.75" customHeight="1">
      <c r="I714" s="117"/>
      <c r="K714" s="117"/>
      <c r="L714" s="118"/>
    </row>
    <row r="715" ht="15.75" customHeight="1">
      <c r="I715" s="117"/>
      <c r="K715" s="117"/>
      <c r="L715" s="118"/>
    </row>
    <row r="716" ht="15.75" customHeight="1">
      <c r="I716" s="117"/>
      <c r="K716" s="117"/>
      <c r="L716" s="118"/>
    </row>
    <row r="717" ht="15.75" customHeight="1">
      <c r="I717" s="117"/>
      <c r="K717" s="117"/>
      <c r="L717" s="118"/>
    </row>
    <row r="718" ht="15.75" customHeight="1">
      <c r="I718" s="117"/>
      <c r="K718" s="117"/>
      <c r="L718" s="118"/>
    </row>
    <row r="719" ht="15.75" customHeight="1">
      <c r="I719" s="117"/>
      <c r="K719" s="117"/>
      <c r="L719" s="118"/>
    </row>
    <row r="720" ht="15.75" customHeight="1">
      <c r="I720" s="117"/>
      <c r="K720" s="117"/>
      <c r="L720" s="118"/>
    </row>
    <row r="721" ht="15.75" customHeight="1">
      <c r="I721" s="117"/>
      <c r="K721" s="117"/>
      <c r="L721" s="118"/>
    </row>
    <row r="722" ht="15.75" customHeight="1">
      <c r="I722" s="117"/>
      <c r="K722" s="117"/>
      <c r="L722" s="118"/>
    </row>
    <row r="723" ht="15.75" customHeight="1">
      <c r="I723" s="117"/>
      <c r="K723" s="117"/>
      <c r="L723" s="118"/>
    </row>
    <row r="724" ht="15.75" customHeight="1">
      <c r="I724" s="117"/>
      <c r="K724" s="117"/>
      <c r="L724" s="118"/>
    </row>
    <row r="725" ht="15.75" customHeight="1">
      <c r="I725" s="117"/>
      <c r="K725" s="117"/>
      <c r="L725" s="118"/>
    </row>
    <row r="726" ht="15.75" customHeight="1">
      <c r="I726" s="117"/>
      <c r="K726" s="117"/>
      <c r="L726" s="118"/>
    </row>
    <row r="727" ht="15.75" customHeight="1">
      <c r="I727" s="117"/>
      <c r="K727" s="117"/>
      <c r="L727" s="118"/>
    </row>
    <row r="728" ht="15.75" customHeight="1">
      <c r="I728" s="117"/>
      <c r="K728" s="117"/>
      <c r="L728" s="118"/>
    </row>
    <row r="729" ht="15.75" customHeight="1">
      <c r="I729" s="117"/>
      <c r="K729" s="117"/>
      <c r="L729" s="118"/>
    </row>
    <row r="730" ht="15.75" customHeight="1">
      <c r="I730" s="117"/>
      <c r="K730" s="117"/>
      <c r="L730" s="118"/>
    </row>
    <row r="731" ht="15.75" customHeight="1">
      <c r="I731" s="117"/>
      <c r="K731" s="117"/>
      <c r="L731" s="118"/>
    </row>
    <row r="732" ht="15.75" customHeight="1">
      <c r="I732" s="117"/>
      <c r="K732" s="117"/>
      <c r="L732" s="118"/>
    </row>
    <row r="733" ht="15.75" customHeight="1">
      <c r="I733" s="117"/>
      <c r="K733" s="117"/>
      <c r="L733" s="118"/>
    </row>
    <row r="734" ht="15.75" customHeight="1">
      <c r="I734" s="117"/>
      <c r="K734" s="117"/>
      <c r="L734" s="118"/>
    </row>
    <row r="735" ht="15.75" customHeight="1">
      <c r="I735" s="117"/>
      <c r="K735" s="117"/>
      <c r="L735" s="118"/>
    </row>
    <row r="736" ht="15.75" customHeight="1">
      <c r="I736" s="117"/>
      <c r="K736" s="117"/>
      <c r="L736" s="118"/>
    </row>
    <row r="737" ht="15.75" customHeight="1">
      <c r="I737" s="117"/>
      <c r="K737" s="117"/>
      <c r="L737" s="118"/>
    </row>
    <row r="738" ht="15.75" customHeight="1">
      <c r="I738" s="117"/>
      <c r="K738" s="117"/>
      <c r="L738" s="118"/>
    </row>
    <row r="739" ht="15.75" customHeight="1">
      <c r="I739" s="117"/>
      <c r="K739" s="117"/>
      <c r="L739" s="118"/>
    </row>
    <row r="740" ht="15.75" customHeight="1">
      <c r="I740" s="117"/>
      <c r="K740" s="117"/>
      <c r="L740" s="118"/>
    </row>
    <row r="741" ht="15.75" customHeight="1">
      <c r="I741" s="117"/>
      <c r="K741" s="117"/>
      <c r="L741" s="118"/>
    </row>
    <row r="742" ht="15.75" customHeight="1">
      <c r="I742" s="117"/>
      <c r="K742" s="117"/>
      <c r="L742" s="118"/>
    </row>
    <row r="743" ht="15.75" customHeight="1">
      <c r="I743" s="117"/>
      <c r="K743" s="117"/>
      <c r="L743" s="118"/>
    </row>
    <row r="744" ht="15.75" customHeight="1">
      <c r="I744" s="117"/>
      <c r="K744" s="117"/>
      <c r="L744" s="118"/>
    </row>
    <row r="745" ht="15.75" customHeight="1">
      <c r="I745" s="117"/>
      <c r="K745" s="117"/>
      <c r="L745" s="118"/>
    </row>
    <row r="746" ht="15.75" customHeight="1">
      <c r="I746" s="117"/>
      <c r="K746" s="117"/>
      <c r="L746" s="118"/>
    </row>
    <row r="747" ht="15.75" customHeight="1">
      <c r="I747" s="117"/>
      <c r="K747" s="117"/>
      <c r="L747" s="118"/>
    </row>
    <row r="748" ht="15.75" customHeight="1">
      <c r="I748" s="117"/>
      <c r="K748" s="117"/>
      <c r="L748" s="118"/>
    </row>
    <row r="749" ht="15.75" customHeight="1">
      <c r="I749" s="117"/>
      <c r="K749" s="117"/>
      <c r="L749" s="118"/>
    </row>
    <row r="750" ht="15.75" customHeight="1">
      <c r="I750" s="117"/>
      <c r="K750" s="117"/>
      <c r="L750" s="118"/>
    </row>
    <row r="751" ht="15.75" customHeight="1">
      <c r="I751" s="117"/>
      <c r="K751" s="117"/>
      <c r="L751" s="118"/>
    </row>
    <row r="752" ht="15.75" customHeight="1">
      <c r="I752" s="117"/>
      <c r="K752" s="117"/>
      <c r="L752" s="118"/>
    </row>
    <row r="753" ht="15.75" customHeight="1">
      <c r="I753" s="117"/>
      <c r="K753" s="117"/>
      <c r="L753" s="118"/>
    </row>
    <row r="754" ht="15.75" customHeight="1">
      <c r="I754" s="117"/>
      <c r="K754" s="117"/>
      <c r="L754" s="118"/>
    </row>
    <row r="755" ht="15.75" customHeight="1">
      <c r="I755" s="117"/>
      <c r="K755" s="117"/>
      <c r="L755" s="118"/>
    </row>
    <row r="756" ht="15.75" customHeight="1">
      <c r="I756" s="117"/>
      <c r="K756" s="117"/>
      <c r="L756" s="118"/>
    </row>
    <row r="757" ht="15.75" customHeight="1">
      <c r="I757" s="117"/>
      <c r="K757" s="117"/>
      <c r="L757" s="118"/>
    </row>
    <row r="758" ht="15.75" customHeight="1">
      <c r="I758" s="117"/>
      <c r="K758" s="117"/>
      <c r="L758" s="118"/>
    </row>
    <row r="759" ht="15.75" customHeight="1">
      <c r="I759" s="117"/>
      <c r="K759" s="117"/>
      <c r="L759" s="118"/>
    </row>
    <row r="760" ht="15.75" customHeight="1">
      <c r="I760" s="117"/>
      <c r="K760" s="117"/>
      <c r="L760" s="118"/>
    </row>
    <row r="761" ht="15.75" customHeight="1">
      <c r="I761" s="117"/>
      <c r="K761" s="117"/>
      <c r="L761" s="118"/>
    </row>
    <row r="762" ht="15.75" customHeight="1">
      <c r="I762" s="117"/>
      <c r="K762" s="117"/>
      <c r="L762" s="118"/>
    </row>
    <row r="763" ht="15.75" customHeight="1">
      <c r="I763" s="117"/>
      <c r="K763" s="117"/>
      <c r="L763" s="118"/>
    </row>
    <row r="764" ht="15.75" customHeight="1">
      <c r="I764" s="117"/>
      <c r="K764" s="117"/>
      <c r="L764" s="118"/>
    </row>
    <row r="765" ht="15.75" customHeight="1">
      <c r="I765" s="117"/>
      <c r="K765" s="117"/>
      <c r="L765" s="118"/>
    </row>
    <row r="766" ht="15.75" customHeight="1">
      <c r="I766" s="117"/>
      <c r="K766" s="117"/>
      <c r="L766" s="118"/>
    </row>
    <row r="767" ht="15.75" customHeight="1">
      <c r="I767" s="117"/>
      <c r="K767" s="117"/>
      <c r="L767" s="118"/>
    </row>
    <row r="768" ht="15.75" customHeight="1">
      <c r="I768" s="117"/>
      <c r="K768" s="117"/>
      <c r="L768" s="118"/>
    </row>
    <row r="769" ht="15.75" customHeight="1">
      <c r="I769" s="117"/>
      <c r="K769" s="117"/>
      <c r="L769" s="118"/>
    </row>
    <row r="770" ht="15.75" customHeight="1">
      <c r="I770" s="117"/>
      <c r="K770" s="117"/>
      <c r="L770" s="118"/>
    </row>
    <row r="771" ht="15.75" customHeight="1">
      <c r="I771" s="117"/>
      <c r="K771" s="117"/>
      <c r="L771" s="118"/>
    </row>
    <row r="772" ht="15.75" customHeight="1">
      <c r="I772" s="117"/>
      <c r="K772" s="117"/>
      <c r="L772" s="118"/>
    </row>
    <row r="773" ht="15.75" customHeight="1">
      <c r="I773" s="117"/>
      <c r="K773" s="117"/>
      <c r="L773" s="118"/>
    </row>
    <row r="774" ht="15.75" customHeight="1">
      <c r="I774" s="117"/>
      <c r="K774" s="117"/>
      <c r="L774" s="118"/>
    </row>
    <row r="775" ht="15.75" customHeight="1">
      <c r="I775" s="117"/>
      <c r="K775" s="117"/>
      <c r="L775" s="118"/>
    </row>
    <row r="776" ht="15.75" customHeight="1">
      <c r="I776" s="117"/>
      <c r="K776" s="117"/>
      <c r="L776" s="118"/>
    </row>
    <row r="777" ht="15.75" customHeight="1">
      <c r="I777" s="117"/>
      <c r="K777" s="117"/>
      <c r="L777" s="118"/>
    </row>
    <row r="778" ht="15.75" customHeight="1">
      <c r="I778" s="117"/>
      <c r="K778" s="117"/>
      <c r="L778" s="118"/>
    </row>
    <row r="779" ht="15.75" customHeight="1">
      <c r="I779" s="117"/>
      <c r="K779" s="117"/>
      <c r="L779" s="118"/>
    </row>
    <row r="780" ht="15.75" customHeight="1">
      <c r="I780" s="117"/>
      <c r="K780" s="117"/>
      <c r="L780" s="118"/>
    </row>
    <row r="781" ht="15.75" customHeight="1">
      <c r="I781" s="117"/>
      <c r="K781" s="117"/>
      <c r="L781" s="118"/>
    </row>
    <row r="782" ht="15.75" customHeight="1">
      <c r="I782" s="117"/>
      <c r="K782" s="117"/>
      <c r="L782" s="118"/>
    </row>
    <row r="783" ht="15.75" customHeight="1">
      <c r="I783" s="117"/>
      <c r="K783" s="117"/>
      <c r="L783" s="118"/>
    </row>
    <row r="784" ht="15.75" customHeight="1">
      <c r="I784" s="117"/>
      <c r="K784" s="117"/>
      <c r="L784" s="118"/>
    </row>
    <row r="785" ht="15.75" customHeight="1">
      <c r="I785" s="117"/>
      <c r="K785" s="117"/>
      <c r="L785" s="118"/>
    </row>
    <row r="786" ht="15.75" customHeight="1">
      <c r="I786" s="117"/>
      <c r="K786" s="117"/>
      <c r="L786" s="118"/>
    </row>
    <row r="787" ht="15.75" customHeight="1">
      <c r="I787" s="117"/>
      <c r="K787" s="117"/>
      <c r="L787" s="118"/>
    </row>
    <row r="788" ht="15.75" customHeight="1">
      <c r="I788" s="117"/>
      <c r="K788" s="117"/>
      <c r="L788" s="118"/>
    </row>
    <row r="789" ht="15.75" customHeight="1">
      <c r="I789" s="117"/>
      <c r="K789" s="117"/>
      <c r="L789" s="118"/>
    </row>
    <row r="790" ht="15.75" customHeight="1">
      <c r="I790" s="117"/>
      <c r="K790" s="117"/>
      <c r="L790" s="118"/>
    </row>
    <row r="791" ht="15.75" customHeight="1">
      <c r="I791" s="117"/>
      <c r="K791" s="117"/>
      <c r="L791" s="118"/>
    </row>
    <row r="792" ht="15.75" customHeight="1">
      <c r="I792" s="117"/>
      <c r="K792" s="117"/>
      <c r="L792" s="118"/>
    </row>
    <row r="793" ht="15.75" customHeight="1">
      <c r="I793" s="117"/>
      <c r="K793" s="117"/>
      <c r="L793" s="118"/>
    </row>
    <row r="794" ht="15.75" customHeight="1">
      <c r="I794" s="117"/>
      <c r="K794" s="117"/>
      <c r="L794" s="118"/>
    </row>
    <row r="795" ht="15.75" customHeight="1">
      <c r="I795" s="117"/>
      <c r="K795" s="117"/>
      <c r="L795" s="118"/>
    </row>
    <row r="796" ht="15.75" customHeight="1">
      <c r="I796" s="117"/>
      <c r="K796" s="117"/>
      <c r="L796" s="118"/>
    </row>
    <row r="797" ht="15.75" customHeight="1">
      <c r="I797" s="117"/>
      <c r="K797" s="117"/>
      <c r="L797" s="118"/>
    </row>
    <row r="798" ht="15.75" customHeight="1">
      <c r="I798" s="117"/>
      <c r="K798" s="117"/>
      <c r="L798" s="118"/>
    </row>
    <row r="799" ht="15.75" customHeight="1">
      <c r="I799" s="117"/>
      <c r="K799" s="117"/>
      <c r="L799" s="118"/>
    </row>
    <row r="800" ht="15.75" customHeight="1">
      <c r="I800" s="117"/>
      <c r="K800" s="117"/>
      <c r="L800" s="118"/>
    </row>
    <row r="801" ht="15.75" customHeight="1">
      <c r="I801" s="117"/>
      <c r="K801" s="117"/>
      <c r="L801" s="118"/>
    </row>
    <row r="802" ht="15.75" customHeight="1">
      <c r="I802" s="117"/>
      <c r="K802" s="117"/>
      <c r="L802" s="118"/>
    </row>
    <row r="803" ht="15.75" customHeight="1">
      <c r="I803" s="117"/>
      <c r="K803" s="117"/>
      <c r="L803" s="118"/>
    </row>
    <row r="804" ht="15.75" customHeight="1">
      <c r="I804" s="117"/>
      <c r="K804" s="117"/>
      <c r="L804" s="118"/>
    </row>
    <row r="805" ht="15.75" customHeight="1">
      <c r="I805" s="117"/>
      <c r="K805" s="117"/>
      <c r="L805" s="118"/>
    </row>
    <row r="806" ht="15.75" customHeight="1">
      <c r="I806" s="117"/>
      <c r="K806" s="117"/>
      <c r="L806" s="118"/>
    </row>
    <row r="807" ht="15.75" customHeight="1">
      <c r="I807" s="117"/>
      <c r="K807" s="117"/>
      <c r="L807" s="118"/>
    </row>
    <row r="808" ht="15.75" customHeight="1">
      <c r="I808" s="117"/>
      <c r="K808" s="117"/>
      <c r="L808" s="118"/>
    </row>
    <row r="809" ht="15.75" customHeight="1">
      <c r="I809" s="117"/>
      <c r="K809" s="117"/>
      <c r="L809" s="118"/>
    </row>
    <row r="810" ht="15.75" customHeight="1">
      <c r="I810" s="117"/>
      <c r="K810" s="117"/>
      <c r="L810" s="118"/>
    </row>
    <row r="811" ht="15.75" customHeight="1">
      <c r="I811" s="117"/>
      <c r="K811" s="117"/>
      <c r="L811" s="118"/>
    </row>
    <row r="812" ht="15.75" customHeight="1">
      <c r="I812" s="117"/>
      <c r="K812" s="117"/>
      <c r="L812" s="118"/>
    </row>
    <row r="813" ht="15.75" customHeight="1">
      <c r="I813" s="117"/>
      <c r="K813" s="117"/>
      <c r="L813" s="118"/>
    </row>
    <row r="814" ht="15.75" customHeight="1">
      <c r="I814" s="117"/>
      <c r="K814" s="117"/>
      <c r="L814" s="118"/>
    </row>
    <row r="815" ht="15.75" customHeight="1">
      <c r="I815" s="117"/>
      <c r="K815" s="117"/>
      <c r="L815" s="118"/>
    </row>
    <row r="816" ht="15.75" customHeight="1">
      <c r="I816" s="117"/>
      <c r="K816" s="117"/>
      <c r="L816" s="118"/>
    </row>
    <row r="817" ht="15.75" customHeight="1">
      <c r="I817" s="117"/>
      <c r="K817" s="117"/>
      <c r="L817" s="118"/>
    </row>
    <row r="818" ht="15.75" customHeight="1">
      <c r="I818" s="117"/>
      <c r="K818" s="117"/>
      <c r="L818" s="118"/>
    </row>
    <row r="819" ht="15.75" customHeight="1">
      <c r="I819" s="117"/>
      <c r="K819" s="117"/>
      <c r="L819" s="118"/>
    </row>
    <row r="820" ht="15.75" customHeight="1">
      <c r="I820" s="117"/>
      <c r="K820" s="117"/>
      <c r="L820" s="118"/>
    </row>
    <row r="821" ht="15.75" customHeight="1">
      <c r="I821" s="117"/>
      <c r="K821" s="117"/>
      <c r="L821" s="118"/>
    </row>
    <row r="822" ht="15.75" customHeight="1">
      <c r="I822" s="117"/>
      <c r="K822" s="117"/>
      <c r="L822" s="118"/>
    </row>
    <row r="823" ht="15.75" customHeight="1">
      <c r="I823" s="117"/>
      <c r="K823" s="117"/>
      <c r="L823" s="118"/>
    </row>
    <row r="824" ht="15.75" customHeight="1">
      <c r="I824" s="117"/>
      <c r="K824" s="117"/>
      <c r="L824" s="118"/>
    </row>
    <row r="825" ht="15.75" customHeight="1">
      <c r="I825" s="117"/>
      <c r="K825" s="117"/>
      <c r="L825" s="118"/>
    </row>
    <row r="826" ht="15.75" customHeight="1">
      <c r="I826" s="117"/>
      <c r="K826" s="117"/>
      <c r="L826" s="118"/>
    </row>
    <row r="827" ht="15.75" customHeight="1">
      <c r="I827" s="117"/>
      <c r="K827" s="117"/>
      <c r="L827" s="118"/>
    </row>
    <row r="828" ht="15.75" customHeight="1">
      <c r="I828" s="117"/>
      <c r="K828" s="117"/>
      <c r="L828" s="118"/>
    </row>
    <row r="829" ht="15.75" customHeight="1">
      <c r="I829" s="117"/>
      <c r="K829" s="117"/>
      <c r="L829" s="118"/>
    </row>
    <row r="830" ht="15.75" customHeight="1">
      <c r="I830" s="117"/>
      <c r="K830" s="117"/>
      <c r="L830" s="118"/>
    </row>
    <row r="831" ht="15.75" customHeight="1">
      <c r="I831" s="117"/>
      <c r="K831" s="117"/>
      <c r="L831" s="118"/>
    </row>
    <row r="832" ht="15.75" customHeight="1">
      <c r="I832" s="117"/>
      <c r="K832" s="117"/>
      <c r="L832" s="118"/>
    </row>
    <row r="833" ht="15.75" customHeight="1">
      <c r="I833" s="117"/>
      <c r="K833" s="117"/>
      <c r="L833" s="118"/>
    </row>
    <row r="834" ht="15.75" customHeight="1">
      <c r="I834" s="117"/>
      <c r="K834" s="117"/>
      <c r="L834" s="118"/>
    </row>
    <row r="835" ht="15.75" customHeight="1">
      <c r="I835" s="117"/>
      <c r="K835" s="117"/>
      <c r="L835" s="118"/>
    </row>
    <row r="836" ht="15.75" customHeight="1">
      <c r="I836" s="117"/>
      <c r="K836" s="117"/>
      <c r="L836" s="118"/>
    </row>
    <row r="837" ht="15.75" customHeight="1">
      <c r="I837" s="117"/>
      <c r="K837" s="117"/>
      <c r="L837" s="118"/>
    </row>
    <row r="838" ht="15.75" customHeight="1">
      <c r="I838" s="117"/>
      <c r="K838" s="117"/>
      <c r="L838" s="118"/>
    </row>
    <row r="839" ht="15.75" customHeight="1">
      <c r="I839" s="117"/>
      <c r="K839" s="117"/>
      <c r="L839" s="118"/>
    </row>
    <row r="840" ht="15.75" customHeight="1">
      <c r="I840" s="117"/>
      <c r="K840" s="117"/>
      <c r="L840" s="118"/>
    </row>
    <row r="841" ht="15.75" customHeight="1">
      <c r="I841" s="117"/>
      <c r="K841" s="117"/>
      <c r="L841" s="118"/>
    </row>
    <row r="842" ht="15.75" customHeight="1">
      <c r="I842" s="117"/>
      <c r="K842" s="117"/>
      <c r="L842" s="118"/>
    </row>
    <row r="843" ht="15.75" customHeight="1">
      <c r="I843" s="117"/>
      <c r="K843" s="117"/>
      <c r="L843" s="118"/>
    </row>
    <row r="844" ht="15.75" customHeight="1">
      <c r="I844" s="117"/>
      <c r="K844" s="117"/>
      <c r="L844" s="118"/>
    </row>
    <row r="845" ht="15.75" customHeight="1">
      <c r="I845" s="117"/>
      <c r="K845" s="117"/>
      <c r="L845" s="118"/>
    </row>
    <row r="846" ht="15.75" customHeight="1">
      <c r="I846" s="117"/>
      <c r="K846" s="117"/>
      <c r="L846" s="118"/>
    </row>
    <row r="847" ht="15.75" customHeight="1">
      <c r="I847" s="117"/>
      <c r="K847" s="117"/>
      <c r="L847" s="118"/>
    </row>
    <row r="848" ht="15.75" customHeight="1">
      <c r="I848" s="117"/>
      <c r="K848" s="117"/>
      <c r="L848" s="118"/>
    </row>
    <row r="849" ht="15.75" customHeight="1">
      <c r="I849" s="117"/>
      <c r="K849" s="117"/>
      <c r="L849" s="118"/>
    </row>
    <row r="850" ht="15.75" customHeight="1">
      <c r="I850" s="117"/>
      <c r="K850" s="117"/>
      <c r="L850" s="118"/>
    </row>
    <row r="851" ht="15.75" customHeight="1">
      <c r="I851" s="117"/>
      <c r="K851" s="117"/>
      <c r="L851" s="118"/>
    </row>
    <row r="852" ht="15.75" customHeight="1">
      <c r="I852" s="117"/>
      <c r="K852" s="117"/>
      <c r="L852" s="118"/>
    </row>
    <row r="853" ht="15.75" customHeight="1">
      <c r="I853" s="117"/>
      <c r="K853" s="117"/>
      <c r="L853" s="118"/>
    </row>
    <row r="854" ht="15.75" customHeight="1">
      <c r="I854" s="117"/>
      <c r="K854" s="117"/>
      <c r="L854" s="118"/>
    </row>
    <row r="855" ht="15.75" customHeight="1">
      <c r="I855" s="117"/>
      <c r="K855" s="117"/>
      <c r="L855" s="118"/>
    </row>
    <row r="856" ht="15.75" customHeight="1">
      <c r="I856" s="117"/>
      <c r="K856" s="117"/>
      <c r="L856" s="118"/>
    </row>
    <row r="857" ht="15.75" customHeight="1">
      <c r="I857" s="117"/>
      <c r="K857" s="117"/>
      <c r="L857" s="118"/>
    </row>
    <row r="858" ht="15.75" customHeight="1">
      <c r="I858" s="117"/>
      <c r="K858" s="117"/>
      <c r="L858" s="118"/>
    </row>
    <row r="859" ht="15.75" customHeight="1">
      <c r="I859" s="117"/>
      <c r="K859" s="117"/>
      <c r="L859" s="118"/>
    </row>
    <row r="860" ht="15.75" customHeight="1">
      <c r="I860" s="117"/>
      <c r="K860" s="117"/>
      <c r="L860" s="118"/>
    </row>
    <row r="861" ht="15.75" customHeight="1">
      <c r="I861" s="117"/>
      <c r="K861" s="117"/>
      <c r="L861" s="118"/>
    </row>
    <row r="862" ht="15.75" customHeight="1">
      <c r="I862" s="117"/>
      <c r="K862" s="117"/>
      <c r="L862" s="118"/>
    </row>
    <row r="863" ht="15.75" customHeight="1">
      <c r="I863" s="117"/>
      <c r="K863" s="117"/>
      <c r="L863" s="118"/>
    </row>
    <row r="864" ht="15.75" customHeight="1">
      <c r="I864" s="117"/>
      <c r="K864" s="117"/>
      <c r="L864" s="118"/>
    </row>
    <row r="865" ht="15.75" customHeight="1">
      <c r="I865" s="117"/>
      <c r="K865" s="117"/>
      <c r="L865" s="118"/>
    </row>
    <row r="866" ht="15.75" customHeight="1">
      <c r="I866" s="117"/>
      <c r="K866" s="117"/>
      <c r="L866" s="118"/>
    </row>
    <row r="867" ht="15.75" customHeight="1">
      <c r="I867" s="117"/>
      <c r="K867" s="117"/>
      <c r="L867" s="118"/>
    </row>
    <row r="868" ht="15.75" customHeight="1">
      <c r="I868" s="117"/>
      <c r="K868" s="117"/>
      <c r="L868" s="118"/>
    </row>
    <row r="869" ht="15.75" customHeight="1">
      <c r="I869" s="117"/>
      <c r="K869" s="117"/>
      <c r="L869" s="118"/>
    </row>
    <row r="870" ht="15.75" customHeight="1">
      <c r="I870" s="117"/>
      <c r="K870" s="117"/>
      <c r="L870" s="118"/>
    </row>
    <row r="871" ht="15.75" customHeight="1">
      <c r="I871" s="117"/>
      <c r="K871" s="117"/>
      <c r="L871" s="118"/>
    </row>
    <row r="872" ht="15.75" customHeight="1">
      <c r="I872" s="117"/>
      <c r="K872" s="117"/>
      <c r="L872" s="118"/>
    </row>
    <row r="873" ht="15.75" customHeight="1">
      <c r="I873" s="117"/>
      <c r="K873" s="117"/>
      <c r="L873" s="118"/>
    </row>
    <row r="874" ht="15.75" customHeight="1">
      <c r="I874" s="117"/>
      <c r="K874" s="117"/>
      <c r="L874" s="118"/>
    </row>
    <row r="875" ht="15.75" customHeight="1">
      <c r="I875" s="117"/>
      <c r="K875" s="117"/>
      <c r="L875" s="118"/>
    </row>
    <row r="876" ht="15.75" customHeight="1">
      <c r="I876" s="117"/>
      <c r="K876" s="117"/>
      <c r="L876" s="118"/>
    </row>
    <row r="877" ht="15.75" customHeight="1">
      <c r="I877" s="117"/>
      <c r="K877" s="117"/>
      <c r="L877" s="118"/>
    </row>
    <row r="878" ht="15.75" customHeight="1">
      <c r="I878" s="117"/>
      <c r="K878" s="117"/>
      <c r="L878" s="118"/>
    </row>
    <row r="879" ht="15.75" customHeight="1">
      <c r="I879" s="117"/>
      <c r="K879" s="117"/>
      <c r="L879" s="118"/>
    </row>
    <row r="880" ht="15.75" customHeight="1">
      <c r="I880" s="117"/>
      <c r="K880" s="117"/>
      <c r="L880" s="118"/>
    </row>
    <row r="881" ht="15.75" customHeight="1">
      <c r="I881" s="117"/>
      <c r="K881" s="117"/>
      <c r="L881" s="118"/>
    </row>
    <row r="882" ht="15.75" customHeight="1">
      <c r="I882" s="117"/>
      <c r="K882" s="117"/>
      <c r="L882" s="118"/>
    </row>
    <row r="883" ht="15.75" customHeight="1">
      <c r="I883" s="117"/>
      <c r="K883" s="117"/>
      <c r="L883" s="118"/>
    </row>
    <row r="884" ht="15.75" customHeight="1">
      <c r="I884" s="117"/>
      <c r="K884" s="117"/>
      <c r="L884" s="118"/>
    </row>
    <row r="885" ht="15.75" customHeight="1">
      <c r="I885" s="117"/>
      <c r="K885" s="117"/>
      <c r="L885" s="118"/>
    </row>
    <row r="886" ht="15.75" customHeight="1">
      <c r="I886" s="117"/>
      <c r="K886" s="117"/>
      <c r="L886" s="118"/>
    </row>
    <row r="887" ht="15.75" customHeight="1">
      <c r="I887" s="117"/>
      <c r="K887" s="117"/>
      <c r="L887" s="118"/>
    </row>
    <row r="888" ht="15.75" customHeight="1">
      <c r="I888" s="117"/>
      <c r="K888" s="117"/>
      <c r="L888" s="118"/>
    </row>
    <row r="889" ht="15.75" customHeight="1">
      <c r="I889" s="117"/>
      <c r="K889" s="117"/>
      <c r="L889" s="118"/>
    </row>
    <row r="890" ht="15.75" customHeight="1">
      <c r="I890" s="117"/>
      <c r="K890" s="117"/>
      <c r="L890" s="118"/>
    </row>
    <row r="891" ht="15.75" customHeight="1">
      <c r="I891" s="117"/>
      <c r="K891" s="117"/>
      <c r="L891" s="118"/>
    </row>
    <row r="892" ht="15.75" customHeight="1">
      <c r="I892" s="117"/>
      <c r="K892" s="117"/>
      <c r="L892" s="118"/>
    </row>
    <row r="893" ht="15.75" customHeight="1">
      <c r="I893" s="117"/>
      <c r="K893" s="117"/>
      <c r="L893" s="118"/>
    </row>
    <row r="894" ht="15.75" customHeight="1">
      <c r="I894" s="117"/>
      <c r="K894" s="117"/>
      <c r="L894" s="118"/>
    </row>
    <row r="895" ht="15.75" customHeight="1">
      <c r="I895" s="117"/>
      <c r="K895" s="117"/>
      <c r="L895" s="118"/>
    </row>
    <row r="896" ht="15.75" customHeight="1">
      <c r="I896" s="117"/>
      <c r="K896" s="117"/>
      <c r="L896" s="118"/>
    </row>
    <row r="897" ht="15.75" customHeight="1">
      <c r="I897" s="117"/>
      <c r="K897" s="117"/>
      <c r="L897" s="118"/>
    </row>
    <row r="898" ht="15.75" customHeight="1">
      <c r="I898" s="117"/>
      <c r="K898" s="117"/>
      <c r="L898" s="118"/>
    </row>
    <row r="899" ht="15.75" customHeight="1">
      <c r="I899" s="117"/>
      <c r="K899" s="117"/>
      <c r="L899" s="118"/>
    </row>
    <row r="900" ht="15.75" customHeight="1">
      <c r="I900" s="117"/>
      <c r="K900" s="117"/>
      <c r="L900" s="118"/>
    </row>
    <row r="901" ht="15.75" customHeight="1">
      <c r="I901" s="117"/>
      <c r="K901" s="117"/>
      <c r="L901" s="118"/>
    </row>
    <row r="902" ht="15.75" customHeight="1">
      <c r="I902" s="117"/>
      <c r="K902" s="117"/>
      <c r="L902" s="118"/>
    </row>
    <row r="903" ht="15.75" customHeight="1">
      <c r="I903" s="117"/>
      <c r="K903" s="117"/>
      <c r="L903" s="118"/>
    </row>
    <row r="904" ht="15.75" customHeight="1">
      <c r="I904" s="117"/>
      <c r="K904" s="117"/>
      <c r="L904" s="118"/>
    </row>
    <row r="905" ht="15.75" customHeight="1">
      <c r="I905" s="117"/>
      <c r="K905" s="117"/>
      <c r="L905" s="118"/>
    </row>
    <row r="906" ht="15.75" customHeight="1">
      <c r="I906" s="117"/>
      <c r="K906" s="117"/>
      <c r="L906" s="118"/>
    </row>
    <row r="907" ht="15.75" customHeight="1">
      <c r="I907" s="117"/>
      <c r="K907" s="117"/>
      <c r="L907" s="118"/>
    </row>
    <row r="908" ht="15.75" customHeight="1">
      <c r="I908" s="117"/>
      <c r="K908" s="117"/>
      <c r="L908" s="118"/>
    </row>
    <row r="909" ht="15.75" customHeight="1">
      <c r="I909" s="117"/>
      <c r="K909" s="117"/>
      <c r="L909" s="118"/>
    </row>
    <row r="910" ht="15.75" customHeight="1">
      <c r="I910" s="117"/>
      <c r="K910" s="117"/>
      <c r="L910" s="118"/>
    </row>
    <row r="911" ht="15.75" customHeight="1">
      <c r="I911" s="117"/>
      <c r="K911" s="117"/>
      <c r="L911" s="118"/>
    </row>
    <row r="912" ht="15.75" customHeight="1">
      <c r="I912" s="117"/>
      <c r="K912" s="117"/>
      <c r="L912" s="118"/>
    </row>
    <row r="913" ht="15.75" customHeight="1">
      <c r="I913" s="117"/>
      <c r="K913" s="117"/>
      <c r="L913" s="118"/>
    </row>
    <row r="914" ht="15.75" customHeight="1">
      <c r="I914" s="117"/>
      <c r="K914" s="117"/>
      <c r="L914" s="118"/>
    </row>
    <row r="915" ht="15.75" customHeight="1">
      <c r="I915" s="117"/>
      <c r="K915" s="117"/>
      <c r="L915" s="118"/>
    </row>
    <row r="916" ht="15.75" customHeight="1">
      <c r="I916" s="117"/>
      <c r="K916" s="117"/>
      <c r="L916" s="118"/>
    </row>
    <row r="917" ht="15.75" customHeight="1">
      <c r="I917" s="117"/>
      <c r="K917" s="117"/>
      <c r="L917" s="118"/>
    </row>
    <row r="918" ht="15.75" customHeight="1">
      <c r="I918" s="117"/>
      <c r="K918" s="117"/>
      <c r="L918" s="118"/>
    </row>
    <row r="919" ht="15.75" customHeight="1">
      <c r="I919" s="117"/>
      <c r="K919" s="117"/>
      <c r="L919" s="118"/>
    </row>
    <row r="920" ht="15.75" customHeight="1">
      <c r="I920" s="117"/>
      <c r="K920" s="117"/>
      <c r="L920" s="118"/>
    </row>
    <row r="921" ht="15.75" customHeight="1">
      <c r="I921" s="117"/>
      <c r="K921" s="117"/>
      <c r="L921" s="118"/>
    </row>
    <row r="922" ht="15.75" customHeight="1">
      <c r="I922" s="117"/>
      <c r="K922" s="117"/>
      <c r="L922" s="118"/>
    </row>
    <row r="923" ht="15.75" customHeight="1">
      <c r="I923" s="117"/>
      <c r="K923" s="117"/>
      <c r="L923" s="118"/>
    </row>
    <row r="924" ht="15.75" customHeight="1">
      <c r="I924" s="117"/>
      <c r="K924" s="117"/>
      <c r="L924" s="118"/>
    </row>
    <row r="925" ht="15.75" customHeight="1">
      <c r="I925" s="117"/>
      <c r="K925" s="117"/>
      <c r="L925" s="118"/>
    </row>
    <row r="926" ht="15.75" customHeight="1">
      <c r="I926" s="117"/>
      <c r="K926" s="117"/>
      <c r="L926" s="118"/>
    </row>
    <row r="927" ht="15.75" customHeight="1">
      <c r="I927" s="117"/>
      <c r="K927" s="117"/>
      <c r="L927" s="118"/>
    </row>
    <row r="928" ht="15.75" customHeight="1">
      <c r="I928" s="117"/>
      <c r="K928" s="117"/>
      <c r="L928" s="118"/>
    </row>
    <row r="929" ht="15.75" customHeight="1">
      <c r="I929" s="117"/>
      <c r="K929" s="117"/>
      <c r="L929" s="118"/>
    </row>
    <row r="930" ht="15.75" customHeight="1">
      <c r="I930" s="117"/>
      <c r="K930" s="117"/>
      <c r="L930" s="118"/>
    </row>
    <row r="931" ht="15.75" customHeight="1">
      <c r="I931" s="117"/>
      <c r="K931" s="117"/>
      <c r="L931" s="118"/>
    </row>
    <row r="932" ht="15.75" customHeight="1">
      <c r="I932" s="117"/>
      <c r="K932" s="117"/>
      <c r="L932" s="118"/>
    </row>
    <row r="933" ht="15.75" customHeight="1">
      <c r="I933" s="117"/>
      <c r="K933" s="117"/>
      <c r="L933" s="118"/>
    </row>
    <row r="934" ht="15.75" customHeight="1">
      <c r="I934" s="117"/>
      <c r="K934" s="117"/>
      <c r="L934" s="118"/>
    </row>
    <row r="935" ht="15.75" customHeight="1">
      <c r="I935" s="117"/>
      <c r="K935" s="117"/>
      <c r="L935" s="118"/>
    </row>
    <row r="936" ht="15.75" customHeight="1">
      <c r="I936" s="117"/>
      <c r="K936" s="117"/>
      <c r="L936" s="118"/>
    </row>
    <row r="937" ht="15.75" customHeight="1">
      <c r="I937" s="117"/>
      <c r="K937" s="117"/>
      <c r="L937" s="118"/>
    </row>
    <row r="938" ht="15.75" customHeight="1">
      <c r="I938" s="117"/>
      <c r="K938" s="117"/>
      <c r="L938" s="118"/>
    </row>
    <row r="939" ht="15.75" customHeight="1">
      <c r="I939" s="117"/>
      <c r="K939" s="117"/>
      <c r="L939" s="118"/>
    </row>
    <row r="940" ht="15.75" customHeight="1">
      <c r="I940" s="117"/>
      <c r="K940" s="117"/>
      <c r="L940" s="118"/>
    </row>
    <row r="941" ht="15.75" customHeight="1">
      <c r="I941" s="117"/>
      <c r="K941" s="117"/>
      <c r="L941" s="118"/>
    </row>
    <row r="942" ht="15.75" customHeight="1">
      <c r="I942" s="117"/>
      <c r="K942" s="117"/>
      <c r="L942" s="118"/>
    </row>
    <row r="943" ht="15.75" customHeight="1">
      <c r="I943" s="117"/>
      <c r="K943" s="117"/>
      <c r="L943" s="118"/>
    </row>
    <row r="944" ht="15.75" customHeight="1">
      <c r="I944" s="117"/>
      <c r="K944" s="117"/>
      <c r="L944" s="118"/>
    </row>
    <row r="945" ht="15.75" customHeight="1">
      <c r="I945" s="117"/>
      <c r="K945" s="117"/>
      <c r="L945" s="118"/>
    </row>
    <row r="946" ht="15.75" customHeight="1">
      <c r="I946" s="117"/>
      <c r="K946" s="117"/>
      <c r="L946" s="118"/>
    </row>
    <row r="947" ht="15.75" customHeight="1">
      <c r="I947" s="117"/>
      <c r="K947" s="117"/>
      <c r="L947" s="118"/>
    </row>
    <row r="948" ht="15.75" customHeight="1">
      <c r="I948" s="117"/>
      <c r="K948" s="117"/>
      <c r="L948" s="118"/>
    </row>
    <row r="949" ht="15.75" customHeight="1">
      <c r="I949" s="117"/>
      <c r="K949" s="117"/>
      <c r="L949" s="118"/>
    </row>
    <row r="950" ht="15.75" customHeight="1">
      <c r="I950" s="117"/>
      <c r="K950" s="117"/>
      <c r="L950" s="118"/>
    </row>
    <row r="951" ht="15.75" customHeight="1">
      <c r="I951" s="117"/>
      <c r="K951" s="117"/>
      <c r="L951" s="118"/>
    </row>
    <row r="952" ht="15.75" customHeight="1">
      <c r="I952" s="117"/>
      <c r="K952" s="117"/>
      <c r="L952" s="118"/>
    </row>
    <row r="953" ht="15.75" customHeight="1">
      <c r="I953" s="117"/>
      <c r="K953" s="117"/>
      <c r="L953" s="118"/>
    </row>
    <row r="954" ht="15.75" customHeight="1">
      <c r="I954" s="117"/>
      <c r="K954" s="117"/>
      <c r="L954" s="118"/>
    </row>
    <row r="955" ht="15.75" customHeight="1">
      <c r="I955" s="117"/>
      <c r="K955" s="117"/>
      <c r="L955" s="118"/>
    </row>
    <row r="956" ht="15.75" customHeight="1">
      <c r="I956" s="117"/>
      <c r="K956" s="117"/>
      <c r="L956" s="118"/>
    </row>
    <row r="957" ht="15.75" customHeight="1">
      <c r="I957" s="117"/>
      <c r="K957" s="117"/>
      <c r="L957" s="118"/>
    </row>
    <row r="958" ht="15.75" customHeight="1">
      <c r="I958" s="117"/>
      <c r="K958" s="117"/>
      <c r="L958" s="118"/>
    </row>
    <row r="959" ht="15.75" customHeight="1">
      <c r="I959" s="117"/>
      <c r="K959" s="117"/>
      <c r="L959" s="118"/>
    </row>
    <row r="960" ht="15.75" customHeight="1">
      <c r="I960" s="117"/>
      <c r="K960" s="117"/>
      <c r="L960" s="118"/>
    </row>
    <row r="961" ht="15.75" customHeight="1">
      <c r="I961" s="117"/>
      <c r="K961" s="117"/>
      <c r="L961" s="118"/>
    </row>
    <row r="962" ht="15.75" customHeight="1">
      <c r="I962" s="117"/>
      <c r="K962" s="117"/>
      <c r="L962" s="118"/>
    </row>
    <row r="963" ht="15.75" customHeight="1">
      <c r="I963" s="117"/>
      <c r="K963" s="117"/>
      <c r="L963" s="118"/>
    </row>
    <row r="964" ht="15.75" customHeight="1">
      <c r="I964" s="117"/>
      <c r="K964" s="117"/>
      <c r="L964" s="118"/>
    </row>
    <row r="965" ht="15.75" customHeight="1">
      <c r="I965" s="117"/>
      <c r="K965" s="117"/>
      <c r="L965" s="118"/>
    </row>
    <row r="966" ht="15.75" customHeight="1">
      <c r="I966" s="117"/>
      <c r="K966" s="117"/>
      <c r="L966" s="118"/>
    </row>
    <row r="967" ht="15.75" customHeight="1">
      <c r="I967" s="117"/>
      <c r="K967" s="117"/>
      <c r="L967" s="118"/>
    </row>
    <row r="968" ht="15.75" customHeight="1">
      <c r="I968" s="117"/>
      <c r="K968" s="117"/>
      <c r="L968" s="118"/>
    </row>
    <row r="969" ht="15.75" customHeight="1">
      <c r="I969" s="117"/>
      <c r="K969" s="117"/>
      <c r="L969" s="118"/>
    </row>
    <row r="970" ht="15.75" customHeight="1">
      <c r="I970" s="117"/>
      <c r="K970" s="117"/>
      <c r="L970" s="118"/>
    </row>
    <row r="971" ht="15.75" customHeight="1">
      <c r="I971" s="117"/>
      <c r="K971" s="117"/>
      <c r="L971" s="118"/>
    </row>
    <row r="972" ht="15.75" customHeight="1">
      <c r="I972" s="117"/>
      <c r="K972" s="117"/>
      <c r="L972" s="118"/>
    </row>
    <row r="973" ht="15.75" customHeight="1">
      <c r="I973" s="117"/>
      <c r="K973" s="117"/>
      <c r="L973" s="118"/>
    </row>
    <row r="974" ht="15.75" customHeight="1">
      <c r="I974" s="117"/>
      <c r="K974" s="117"/>
      <c r="L974" s="118"/>
    </row>
    <row r="975" ht="15.75" customHeight="1">
      <c r="I975" s="117"/>
      <c r="K975" s="117"/>
      <c r="L975" s="118"/>
    </row>
    <row r="976" ht="15.75" customHeight="1">
      <c r="I976" s="117"/>
      <c r="K976" s="117"/>
      <c r="L976" s="118"/>
    </row>
    <row r="977" ht="15.75" customHeight="1">
      <c r="I977" s="117"/>
      <c r="K977" s="117"/>
      <c r="L977" s="118"/>
    </row>
    <row r="978" ht="15.75" customHeight="1">
      <c r="I978" s="117"/>
      <c r="K978" s="117"/>
      <c r="L978" s="118"/>
    </row>
    <row r="979" ht="15.75" customHeight="1">
      <c r="I979" s="117"/>
      <c r="K979" s="117"/>
      <c r="L979" s="118"/>
    </row>
    <row r="980" ht="15.75" customHeight="1">
      <c r="I980" s="117"/>
      <c r="K980" s="117"/>
      <c r="L980" s="118"/>
    </row>
    <row r="981" ht="15.75" customHeight="1">
      <c r="I981" s="117"/>
      <c r="K981" s="117"/>
      <c r="L981" s="118"/>
    </row>
    <row r="982" ht="15.75" customHeight="1">
      <c r="I982" s="117"/>
      <c r="K982" s="117"/>
      <c r="L982" s="118"/>
    </row>
    <row r="983" ht="15.75" customHeight="1">
      <c r="I983" s="117"/>
      <c r="K983" s="117"/>
      <c r="L983" s="118"/>
    </row>
    <row r="984" ht="15.75" customHeight="1">
      <c r="I984" s="117"/>
      <c r="K984" s="117"/>
      <c r="L984" s="118"/>
    </row>
    <row r="985" ht="15.75" customHeight="1">
      <c r="I985" s="117"/>
      <c r="K985" s="117"/>
      <c r="L985" s="118"/>
    </row>
    <row r="986" ht="15.75" customHeight="1">
      <c r="I986" s="117"/>
      <c r="K986" s="117"/>
      <c r="L986" s="118"/>
    </row>
    <row r="987" ht="15.75" customHeight="1">
      <c r="I987" s="117"/>
      <c r="K987" s="117"/>
      <c r="L987" s="118"/>
    </row>
    <row r="988" ht="15.75" customHeight="1">
      <c r="I988" s="117"/>
      <c r="K988" s="117"/>
      <c r="L988" s="118"/>
    </row>
    <row r="989" ht="15.75" customHeight="1">
      <c r="I989" s="117"/>
      <c r="K989" s="117"/>
      <c r="L989" s="118"/>
    </row>
    <row r="990" ht="15.75" customHeight="1">
      <c r="I990" s="117"/>
      <c r="K990" s="117"/>
      <c r="L990" s="118"/>
    </row>
    <row r="991" ht="15.75" customHeight="1">
      <c r="I991" s="117"/>
      <c r="K991" s="117"/>
      <c r="L991" s="118"/>
    </row>
    <row r="992" ht="15.75" customHeight="1">
      <c r="I992" s="117"/>
      <c r="K992" s="117"/>
      <c r="L992" s="118"/>
    </row>
    <row r="993" ht="15.75" customHeight="1">
      <c r="I993" s="117"/>
      <c r="K993" s="117"/>
      <c r="L993" s="118"/>
    </row>
    <row r="994" ht="15.75" customHeight="1">
      <c r="I994" s="117"/>
      <c r="K994" s="117"/>
      <c r="L994" s="118"/>
    </row>
    <row r="995" ht="15.75" customHeight="1">
      <c r="I995" s="117"/>
      <c r="K995" s="117"/>
      <c r="L995" s="118"/>
    </row>
    <row r="996" ht="15.75" customHeight="1">
      <c r="I996" s="117"/>
      <c r="K996" s="117"/>
      <c r="L996" s="118"/>
    </row>
    <row r="997" ht="15.75" customHeight="1">
      <c r="I997" s="117"/>
      <c r="K997" s="117"/>
      <c r="L997" s="118"/>
    </row>
    <row r="998" ht="15.75" customHeight="1">
      <c r="I998" s="117"/>
      <c r="K998" s="117"/>
      <c r="L998" s="118"/>
    </row>
    <row r="999" ht="15.75" customHeight="1">
      <c r="I999" s="117"/>
      <c r="K999" s="117"/>
      <c r="L999" s="118"/>
    </row>
    <row r="1000" ht="15.75" customHeight="1">
      <c r="I1000" s="117"/>
      <c r="K1000" s="117"/>
      <c r="L1000" s="118"/>
    </row>
    <row r="1001" ht="15.75" customHeight="1">
      <c r="I1001" s="117"/>
      <c r="K1001" s="117"/>
      <c r="L1001" s="118"/>
    </row>
    <row r="1002" ht="15.75" customHeight="1">
      <c r="I1002" s="117"/>
      <c r="K1002" s="117"/>
      <c r="L1002" s="118"/>
    </row>
    <row r="1003" ht="15.75" customHeight="1">
      <c r="I1003" s="117"/>
      <c r="K1003" s="117"/>
      <c r="L1003" s="118"/>
    </row>
    <row r="1004" ht="15.75" customHeight="1">
      <c r="I1004" s="117"/>
      <c r="K1004" s="117"/>
      <c r="L1004" s="118"/>
    </row>
    <row r="1005" ht="15.75" customHeight="1">
      <c r="I1005" s="117"/>
      <c r="K1005" s="117"/>
      <c r="L1005" s="118"/>
    </row>
    <row r="1006" ht="15.75" customHeight="1">
      <c r="I1006" s="117"/>
      <c r="K1006" s="117"/>
      <c r="L1006" s="118"/>
    </row>
    <row r="1007" ht="15.75" customHeight="1">
      <c r="I1007" s="117"/>
      <c r="K1007" s="117"/>
      <c r="L1007" s="118"/>
    </row>
    <row r="1008" ht="15.75" customHeight="1">
      <c r="I1008" s="117"/>
      <c r="K1008" s="117"/>
      <c r="L1008" s="118"/>
    </row>
    <row r="1009" ht="15.75" customHeight="1">
      <c r="I1009" s="117"/>
      <c r="K1009" s="117"/>
      <c r="L1009" s="118"/>
    </row>
    <row r="1010" ht="15.75" customHeight="1">
      <c r="I1010" s="117"/>
      <c r="K1010" s="117"/>
      <c r="L1010" s="118"/>
    </row>
    <row r="1011" ht="15.75" customHeight="1">
      <c r="I1011" s="117"/>
      <c r="K1011" s="117"/>
      <c r="L1011" s="118"/>
    </row>
    <row r="1012" ht="15.75" customHeight="1">
      <c r="I1012" s="117"/>
      <c r="K1012" s="117"/>
      <c r="L1012" s="118"/>
    </row>
    <row r="1013" ht="15.75" customHeight="1">
      <c r="I1013" s="117"/>
      <c r="K1013" s="117"/>
      <c r="L1013" s="118"/>
    </row>
    <row r="1014" ht="15.75" customHeight="1">
      <c r="I1014" s="117"/>
      <c r="K1014" s="117"/>
      <c r="L1014" s="118"/>
    </row>
    <row r="1015" ht="15.75" customHeight="1">
      <c r="I1015" s="117"/>
      <c r="K1015" s="117"/>
      <c r="L1015" s="118"/>
    </row>
    <row r="1016" ht="15.75" customHeight="1">
      <c r="I1016" s="117"/>
      <c r="K1016" s="117"/>
      <c r="L1016" s="118"/>
    </row>
    <row r="1017" ht="15.75" customHeight="1">
      <c r="I1017" s="117"/>
      <c r="K1017" s="117"/>
      <c r="L1017" s="118"/>
    </row>
    <row r="1018" ht="15.75" customHeight="1">
      <c r="I1018" s="117"/>
      <c r="K1018" s="117"/>
      <c r="L1018" s="118"/>
    </row>
    <row r="1019" ht="15.75" customHeight="1">
      <c r="I1019" s="117"/>
      <c r="K1019" s="117"/>
      <c r="L1019" s="118"/>
    </row>
    <row r="1020" ht="15.75" customHeight="1">
      <c r="I1020" s="117"/>
      <c r="K1020" s="117"/>
      <c r="L1020" s="118"/>
    </row>
    <row r="1021" ht="15.75" customHeight="1">
      <c r="I1021" s="117"/>
      <c r="K1021" s="117"/>
      <c r="L1021" s="118"/>
    </row>
    <row r="1022" ht="15.75" customHeight="1">
      <c r="I1022" s="117"/>
      <c r="K1022" s="117"/>
      <c r="L1022" s="118"/>
    </row>
    <row r="1023" ht="15.75" customHeight="1">
      <c r="I1023" s="117"/>
      <c r="K1023" s="117"/>
      <c r="L1023" s="118"/>
    </row>
    <row r="1024" ht="15.75" customHeight="1">
      <c r="I1024" s="117"/>
      <c r="K1024" s="117"/>
      <c r="L1024" s="118"/>
    </row>
    <row r="1025" ht="15.75" customHeight="1">
      <c r="I1025" s="117"/>
      <c r="K1025" s="117"/>
      <c r="L1025" s="118"/>
    </row>
    <row r="1026" ht="15.75" customHeight="1">
      <c r="I1026" s="117"/>
      <c r="K1026" s="117"/>
      <c r="L1026" s="118"/>
    </row>
    <row r="1027" ht="15.75" customHeight="1">
      <c r="I1027" s="117"/>
      <c r="K1027" s="117"/>
      <c r="L1027" s="118"/>
    </row>
    <row r="1028" ht="15.75" customHeight="1">
      <c r="I1028" s="117"/>
      <c r="K1028" s="117"/>
      <c r="L1028" s="118"/>
    </row>
    <row r="1029" ht="15.75" customHeight="1">
      <c r="I1029" s="117"/>
      <c r="K1029" s="117"/>
      <c r="L1029" s="118"/>
    </row>
    <row r="1030" ht="15.75" customHeight="1">
      <c r="I1030" s="117"/>
      <c r="K1030" s="117"/>
      <c r="L1030" s="118"/>
    </row>
    <row r="1031" ht="15.75" customHeight="1">
      <c r="I1031" s="117"/>
      <c r="K1031" s="117"/>
      <c r="L1031" s="118"/>
    </row>
    <row r="1032" ht="15.75" customHeight="1">
      <c r="I1032" s="117"/>
      <c r="K1032" s="117"/>
      <c r="L1032" s="118"/>
    </row>
    <row r="1033" ht="15.75" customHeight="1">
      <c r="I1033" s="117"/>
      <c r="K1033" s="117"/>
      <c r="L1033" s="118"/>
    </row>
    <row r="1034" ht="15.75" customHeight="1">
      <c r="I1034" s="117"/>
      <c r="K1034" s="117"/>
      <c r="L1034" s="118"/>
    </row>
    <row r="1035" ht="15.75" customHeight="1">
      <c r="I1035" s="117"/>
      <c r="K1035" s="117"/>
      <c r="L1035" s="118"/>
    </row>
    <row r="1036" ht="15.75" customHeight="1">
      <c r="I1036" s="117"/>
      <c r="K1036" s="117"/>
      <c r="L1036" s="118"/>
    </row>
    <row r="1037" ht="15.75" customHeight="1">
      <c r="I1037" s="117"/>
      <c r="K1037" s="117"/>
      <c r="L1037" s="118"/>
    </row>
    <row r="1038" ht="15.75" customHeight="1">
      <c r="I1038" s="117"/>
      <c r="K1038" s="117"/>
      <c r="L1038" s="118"/>
    </row>
    <row r="1039" ht="15.75" customHeight="1">
      <c r="I1039" s="117"/>
      <c r="K1039" s="117"/>
      <c r="L1039" s="118"/>
    </row>
    <row r="1040" ht="15.75" customHeight="1">
      <c r="I1040" s="117"/>
      <c r="K1040" s="117"/>
      <c r="L1040" s="118"/>
    </row>
    <row r="1041" ht="15.75" customHeight="1">
      <c r="I1041" s="117"/>
      <c r="K1041" s="117"/>
      <c r="L1041" s="118"/>
    </row>
    <row r="1042" ht="15.75" customHeight="1">
      <c r="I1042" s="117"/>
      <c r="K1042" s="117"/>
      <c r="L1042" s="118"/>
    </row>
    <row r="1043" ht="15.75" customHeight="1">
      <c r="I1043" s="117"/>
      <c r="K1043" s="117"/>
      <c r="L1043" s="118"/>
    </row>
    <row r="1044" ht="15.75" customHeight="1">
      <c r="I1044" s="117"/>
      <c r="K1044" s="117"/>
      <c r="L1044" s="118"/>
    </row>
    <row r="1045" ht="15.75" customHeight="1">
      <c r="I1045" s="117"/>
      <c r="K1045" s="117"/>
      <c r="L1045" s="118"/>
    </row>
    <row r="1046" ht="15.75" customHeight="1">
      <c r="I1046" s="117"/>
      <c r="K1046" s="117"/>
      <c r="L1046" s="118"/>
    </row>
    <row r="1047" ht="15.75" customHeight="1">
      <c r="I1047" s="117"/>
      <c r="K1047" s="117"/>
      <c r="L1047" s="118"/>
    </row>
    <row r="1048" ht="15.75" customHeight="1">
      <c r="I1048" s="117"/>
      <c r="K1048" s="117"/>
      <c r="L1048" s="118"/>
    </row>
    <row r="1049" ht="15.75" customHeight="1">
      <c r="I1049" s="117"/>
      <c r="K1049" s="117"/>
      <c r="L1049" s="118"/>
    </row>
    <row r="1050" ht="15.75" customHeight="1">
      <c r="I1050" s="117"/>
      <c r="K1050" s="117"/>
      <c r="L1050" s="118"/>
    </row>
    <row r="1051" ht="15.75" customHeight="1">
      <c r="I1051" s="117"/>
      <c r="K1051" s="117"/>
      <c r="L1051" s="118"/>
    </row>
    <row r="1052" ht="15.75" customHeight="1">
      <c r="I1052" s="117"/>
      <c r="K1052" s="117"/>
      <c r="L1052" s="118"/>
    </row>
    <row r="1053" ht="15.75" customHeight="1">
      <c r="I1053" s="117"/>
      <c r="K1053" s="117"/>
      <c r="L1053" s="118"/>
    </row>
    <row r="1054" ht="15.75" customHeight="1">
      <c r="I1054" s="117"/>
      <c r="K1054" s="117"/>
      <c r="L1054" s="118"/>
    </row>
    <row r="1055" ht="15.75" customHeight="1">
      <c r="I1055" s="117"/>
      <c r="K1055" s="117"/>
      <c r="L1055" s="118"/>
    </row>
    <row r="1056" ht="15.75" customHeight="1">
      <c r="I1056" s="117"/>
      <c r="K1056" s="117"/>
      <c r="L1056" s="118"/>
    </row>
    <row r="1057" ht="15.75" customHeight="1">
      <c r="I1057" s="117"/>
      <c r="K1057" s="117"/>
      <c r="L1057" s="118"/>
    </row>
    <row r="1058" ht="15.75" customHeight="1">
      <c r="I1058" s="117"/>
      <c r="K1058" s="117"/>
      <c r="L1058" s="118"/>
    </row>
  </sheetData>
  <mergeCells count="27">
    <mergeCell ref="H4:H9"/>
    <mergeCell ref="I4:I9"/>
    <mergeCell ref="J4:J9"/>
    <mergeCell ref="K4:K9"/>
    <mergeCell ref="L4:L9"/>
    <mergeCell ref="M4:M9"/>
    <mergeCell ref="A4:A9"/>
    <mergeCell ref="B4:B9"/>
    <mergeCell ref="C4:C9"/>
    <mergeCell ref="D4:D9"/>
    <mergeCell ref="E4:E9"/>
    <mergeCell ref="F4:F9"/>
    <mergeCell ref="G4:G9"/>
    <mergeCell ref="A74:B74"/>
    <mergeCell ref="A82:B82"/>
    <mergeCell ref="A90:B90"/>
    <mergeCell ref="A98:B98"/>
    <mergeCell ref="A110:B110"/>
    <mergeCell ref="A118:B118"/>
    <mergeCell ref="A124:B124"/>
    <mergeCell ref="A10:B10"/>
    <mergeCell ref="A11:B11"/>
    <mergeCell ref="A20:B20"/>
    <mergeCell ref="A21:B21"/>
    <mergeCell ref="A42:B42"/>
    <mergeCell ref="A49:B49"/>
    <mergeCell ref="A63:B63"/>
  </mergeCells>
  <conditionalFormatting sqref="F12:F138">
    <cfRule type="cellIs" dxfId="8" priority="1" operator="equal">
      <formula>"Positive"</formula>
    </cfRule>
  </conditionalFormatting>
  <conditionalFormatting sqref="F12:F138">
    <cfRule type="containsText" dxfId="9" priority="2" operator="containsText" text="Negative">
      <formula>NOT(ISERROR(SEARCH(("Negative"),(F12))))</formula>
    </cfRule>
  </conditionalFormatting>
  <conditionalFormatting sqref="G10:M11 G19:M21 G42:M63 G69:M71 G74:M74 G82:M82 G89:M90 G98:M98 G110:M110 G118:M118 G124:M124">
    <cfRule type="cellIs" dxfId="4" priority="3" operator="equal">
      <formula>"Positive"</formula>
    </cfRule>
  </conditionalFormatting>
  <conditionalFormatting sqref="G10:M11 G19:M21 G42:M63 G69:M71 G74:M74 G82:M82 G89:M90 G98:M98 G110:M110 G118:M118 G124:M124">
    <cfRule type="containsText" dxfId="5" priority="4" operator="containsText" text="Negative">
      <formula>NOT(ISERROR(SEARCH(("Negative"),(G10))))</formula>
    </cfRule>
  </conditionalFormatting>
  <conditionalFormatting sqref="G12:G138">
    <cfRule type="containsText" dxfId="10" priority="5" operator="containsText" text="High">
      <formula>NOT(ISERROR(SEARCH(("High"),(G12))))</formula>
    </cfRule>
  </conditionalFormatting>
  <conditionalFormatting sqref="G12:G138">
    <cfRule type="cellIs" dxfId="11" priority="6" operator="equal">
      <formula>"Medium"</formula>
    </cfRule>
  </conditionalFormatting>
  <conditionalFormatting sqref="G12:G138">
    <cfRule type="containsText" dxfId="12" priority="7" operator="containsText" text="Low">
      <formula>NOT(ISERROR(SEARCH(("Low"),(G12))))</formula>
    </cfRule>
  </conditionalFormatting>
  <conditionalFormatting sqref="L1:L138">
    <cfRule type="containsText" dxfId="13" priority="8" operator="containsText" text="Deferred">
      <formula>NOT(ISERROR(SEARCH(("Deferred"),(L1))))</formula>
    </cfRule>
  </conditionalFormatting>
  <conditionalFormatting sqref="L1:L138">
    <cfRule type="containsText" dxfId="14" priority="9" operator="containsText" text="Not Start">
      <formula>NOT(ISERROR(SEARCH(("Not Start"),(L1))))</formula>
    </cfRule>
  </conditionalFormatting>
  <conditionalFormatting sqref="L1:L138">
    <cfRule type="containsText" dxfId="15" priority="10" operator="containsText" text="Blocked">
      <formula>NOT(ISERROR(SEARCH(("Blocked"),(L1))))</formula>
    </cfRule>
  </conditionalFormatting>
  <conditionalFormatting sqref="L1:L138">
    <cfRule type="containsText" dxfId="6" priority="11" operator="containsText" text="FAIL">
      <formula>NOT(ISERROR(SEARCH(("FAIL"),(L1))))</formula>
    </cfRule>
  </conditionalFormatting>
  <conditionalFormatting sqref="L1:L138">
    <cfRule type="cellIs" dxfId="7" priority="12" operator="equal">
      <formula>"PASS"</formula>
    </cfRule>
  </conditionalFormatting>
  <conditionalFormatting sqref="L12:L138">
    <cfRule type="cellIs" dxfId="16" priority="13" operator="equal">
      <formula>"N/A"</formula>
    </cfRule>
  </conditionalFormatting>
  <conditionalFormatting sqref="L12:L138">
    <cfRule type="containsText" dxfId="17" priority="14" operator="containsText" text="N/A">
      <formula>NOT(ISERROR(SEARCH(("N/A"),(L12))))</formula>
    </cfRule>
  </conditionalFormatting>
  <conditionalFormatting sqref="L12:L138">
    <cfRule type="containsText" dxfId="18" priority="15" operator="containsText" text="In Progress">
      <formula>NOT(ISERROR(SEARCH(("In Progress"),(L12))))</formula>
    </cfRule>
  </conditionalFormatting>
  <conditionalFormatting sqref="M10:M11 M19:M21 M42:M63 M69:M71 M74 M82 M89:M90 M98 M110 M118 M124">
    <cfRule type="expression" dxfId="6" priority="16" stopIfTrue="1">
      <formula>NOT(ISERROR(SEARCH("Negative",M10)))</formula>
    </cfRule>
  </conditionalFormatting>
  <conditionalFormatting sqref="M10:M11 M19:M21 M42:M63 M69:M71 M74 M82 M89:M90 M98 M110 M118 M124">
    <cfRule type="expression" dxfId="7" priority="17" stopIfTrue="1">
      <formula>NOT(ISERROR(SEARCH("Positive",M10)))</formula>
    </cfRule>
  </conditionalFormatting>
  <conditionalFormatting sqref="L1:L1058">
    <cfRule type="cellIs" dxfId="19" priority="18" operator="equal">
      <formula>"In Progress"</formula>
    </cfRule>
  </conditionalFormatting>
  <conditionalFormatting sqref="G10:M11 G19:M21 G42:M63 G69:M71 G74:M74 G82:M82 G89:M90 G98:M98 G110:M110 G118:M118 G124:M124">
    <cfRule type="expression" dxfId="6" priority="19" stopIfTrue="1">
      <formula>NOT(ISERROR(SEARCH("Negative",G10)))</formula>
    </cfRule>
  </conditionalFormatting>
  <conditionalFormatting sqref="G10:M11 G19:M21 G42:M63 G69:M71 G74:M74 G82:M82 G89:M90 G98:M98 G110:M110 G118:M118 G124:M124">
    <cfRule type="expression" dxfId="7" priority="20" stopIfTrue="1">
      <formula>NOT(ISERROR(SEARCH("Positive",G10)))</formula>
    </cfRule>
  </conditionalFormatting>
  <dataValidations>
    <dataValidation type="list" allowBlank="1" sqref="L12:L19 L22:L41 L43:L48 L50:L62 L64:L73 L75:L81 L83:L89 L91:L97 L99:L109 L111:L117 L119:L123 L125:L138">
      <formula1>"PASS,FAIL,In Progress,Blocked,Not Start,N/A,Deferred"</formula1>
    </dataValidation>
    <dataValidation type="list" allowBlank="1" showErrorMessage="1" sqref="F12:F19 F22:F41 F43:F48 F50:F62 F64:F73 F75:F81 F83:F89 F91:F97 F99:F109 F111:F117 F119:F123 F125:F138">
      <formula1>"Positive,Negative"</formula1>
    </dataValidation>
    <dataValidation type="list" allowBlank="1" showErrorMessage="1" sqref="I12:I17">
      <formula1>"James,Garfield"</formula1>
    </dataValidation>
    <dataValidation type="list" allowBlank="1" showErrorMessage="1" sqref="G12:G19 G22:G41 G43:G48 G50:G62 G64:G73 G75:G81 G83:G89 G91:G97 G99:G109 G111:G117 G119:G123 G125:G138">
      <formula1>"High,Medium,Low"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7.0"/>
    <col customWidth="1" min="2" max="2" width="74.63"/>
    <col customWidth="1" hidden="1" min="3" max="3" width="47.38"/>
    <col customWidth="1" hidden="1" min="4" max="4" width="55.0"/>
    <col customWidth="1" min="5" max="5" width="66.0"/>
    <col customWidth="1" min="6" max="6" width="9.88"/>
    <col customWidth="1" min="7" max="7" width="10.88"/>
    <col customWidth="1" min="8" max="11" width="30.13"/>
    <col customWidth="1" min="12" max="12" width="31.25"/>
    <col customWidth="1" min="13" max="13" width="30.13"/>
    <col customWidth="1" min="14" max="20" width="8.63"/>
  </cols>
  <sheetData>
    <row r="1" ht="12.75" customHeight="1">
      <c r="B1" s="7" t="str">
        <f>HYPERLINK("#Document!A1", "Refer to sheet Document")</f>
        <v>Refer to sheet Document</v>
      </c>
      <c r="C1" s="9"/>
      <c r="D1" s="9"/>
      <c r="E1" s="9"/>
      <c r="F1" s="12"/>
      <c r="G1" s="13"/>
      <c r="H1" s="13"/>
      <c r="I1" s="13"/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</row>
    <row r="2">
      <c r="A2" s="17"/>
      <c r="B2" s="9"/>
      <c r="C2" s="19"/>
      <c r="D2" s="9"/>
      <c r="E2" s="9"/>
      <c r="F2" s="12"/>
      <c r="G2" s="13"/>
      <c r="H2" s="13"/>
      <c r="I2" s="13"/>
      <c r="J2" s="13"/>
      <c r="K2" s="13"/>
      <c r="L2" s="13"/>
      <c r="M2" s="16"/>
      <c r="N2" s="13"/>
      <c r="O2" s="13"/>
      <c r="P2" s="13"/>
      <c r="Q2" s="13"/>
      <c r="R2" s="13"/>
      <c r="S2" s="13"/>
      <c r="T2" s="13"/>
    </row>
    <row r="3">
      <c r="A3" s="23" t="s">
        <v>17</v>
      </c>
      <c r="B3" s="23">
        <f>COUNTIF(A13:A217,"TC_*")</f>
        <v>189</v>
      </c>
      <c r="C3" s="27"/>
      <c r="D3" s="27"/>
      <c r="E3" s="27"/>
      <c r="F3" s="28"/>
      <c r="G3" s="30"/>
      <c r="H3" s="30"/>
      <c r="I3" s="30"/>
      <c r="J3" s="30"/>
      <c r="K3" s="30"/>
      <c r="L3" s="30"/>
      <c r="M3" s="32"/>
      <c r="N3" s="13"/>
      <c r="O3" s="13"/>
      <c r="P3" s="13"/>
      <c r="Q3" s="13"/>
      <c r="R3" s="13"/>
      <c r="S3" s="13"/>
      <c r="T3" s="13"/>
    </row>
    <row r="4" ht="26.25" customHeight="1">
      <c r="A4" s="35" t="s">
        <v>26</v>
      </c>
      <c r="B4" s="35" t="s">
        <v>27</v>
      </c>
      <c r="C4" s="40" t="s">
        <v>28</v>
      </c>
      <c r="D4" s="35" t="s">
        <v>30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35" t="s">
        <v>38</v>
      </c>
      <c r="K4" s="35" t="s">
        <v>39</v>
      </c>
      <c r="L4" s="35" t="s">
        <v>40</v>
      </c>
      <c r="M4" s="35" t="s">
        <v>25</v>
      </c>
      <c r="N4" s="13"/>
      <c r="O4" s="13"/>
      <c r="P4" s="13"/>
      <c r="Q4" s="13"/>
      <c r="R4" s="13"/>
      <c r="S4" s="13"/>
      <c r="T4" s="13"/>
    </row>
    <row r="5" ht="39.0" customHeight="1">
      <c r="A5" s="46"/>
      <c r="B5" s="46"/>
      <c r="C5" s="48"/>
      <c r="D5" s="46"/>
      <c r="E5" s="46"/>
      <c r="F5" s="46"/>
      <c r="G5" s="46"/>
      <c r="H5" s="46"/>
      <c r="I5" s="46"/>
      <c r="J5" s="46"/>
      <c r="K5" s="46"/>
      <c r="L5" s="46"/>
      <c r="M5" s="46"/>
      <c r="N5" s="49"/>
      <c r="O5" s="49"/>
      <c r="P5" s="49"/>
      <c r="Q5" s="49"/>
      <c r="R5" s="49"/>
      <c r="S5" s="49"/>
      <c r="T5" s="49"/>
    </row>
    <row r="6" ht="42.0" customHeight="1">
      <c r="A6" s="46"/>
      <c r="B6" s="46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51"/>
      <c r="O6" s="51"/>
      <c r="P6" s="51"/>
      <c r="Q6" s="51"/>
      <c r="R6" s="51"/>
      <c r="S6" s="51"/>
      <c r="T6" s="51"/>
    </row>
    <row r="7" ht="58.5" customHeight="1">
      <c r="A7" s="46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51"/>
      <c r="O7" s="51"/>
      <c r="P7" s="51"/>
      <c r="Q7" s="51"/>
      <c r="R7" s="51"/>
      <c r="S7" s="51"/>
      <c r="T7" s="51"/>
    </row>
    <row r="8" ht="45.0" customHeight="1">
      <c r="A8" s="46"/>
      <c r="B8" s="46"/>
      <c r="C8" s="48"/>
      <c r="D8" s="46"/>
      <c r="E8" s="46"/>
      <c r="F8" s="46"/>
      <c r="G8" s="46"/>
      <c r="H8" s="46"/>
      <c r="I8" s="46"/>
      <c r="J8" s="46"/>
      <c r="K8" s="46"/>
      <c r="L8" s="46"/>
      <c r="M8" s="46"/>
      <c r="N8" s="51"/>
      <c r="O8" s="51"/>
      <c r="P8" s="51"/>
      <c r="Q8" s="51"/>
      <c r="R8" s="51"/>
      <c r="S8" s="51"/>
      <c r="T8" s="51"/>
    </row>
    <row r="9" ht="84.0" customHeight="1">
      <c r="A9" s="38"/>
      <c r="B9" s="38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1"/>
      <c r="O9" s="51"/>
      <c r="P9" s="51"/>
      <c r="Q9" s="51"/>
      <c r="R9" s="51"/>
      <c r="S9" s="51"/>
      <c r="T9" s="51"/>
    </row>
    <row r="10" ht="42.0" customHeight="1">
      <c r="A10" s="55" t="s">
        <v>45</v>
      </c>
      <c r="B10" s="10"/>
      <c r="C10" s="57"/>
      <c r="D10" s="58"/>
      <c r="E10" s="58"/>
      <c r="F10" s="58"/>
      <c r="G10" s="60"/>
      <c r="H10" s="60"/>
      <c r="I10" s="60"/>
      <c r="J10" s="60"/>
      <c r="K10" s="60"/>
      <c r="L10" s="60"/>
      <c r="M10" s="60"/>
      <c r="N10" s="49"/>
      <c r="O10" s="49"/>
      <c r="P10" s="49"/>
      <c r="Q10" s="49"/>
      <c r="R10" s="49"/>
      <c r="S10" s="49"/>
      <c r="T10" s="49"/>
    </row>
    <row r="11" ht="42.0" hidden="1" customHeight="1">
      <c r="A11" s="55" t="s">
        <v>48</v>
      </c>
      <c r="B11" s="10"/>
      <c r="C11" s="57"/>
      <c r="D11" s="58"/>
      <c r="E11" s="58"/>
      <c r="F11" s="58"/>
      <c r="G11" s="60"/>
      <c r="H11" s="60"/>
      <c r="I11" s="60"/>
      <c r="J11" s="60"/>
      <c r="K11" s="60"/>
      <c r="L11" s="60"/>
      <c r="M11" s="60"/>
      <c r="N11" s="49"/>
      <c r="O11" s="49"/>
      <c r="P11" s="49"/>
      <c r="Q11" s="49"/>
      <c r="R11" s="49"/>
      <c r="S11" s="49"/>
      <c r="T11" s="49"/>
    </row>
    <row r="12" ht="123.75" hidden="1" customHeight="1" outlineLevel="1">
      <c r="A12" s="70" t="str">
        <f t="shared" ref="A12:A21" si="1">"TC_Creator_Dee_"&amp;(ROW()-ROW($A$12)+1)</f>
        <v>TC_Creator_Dee_1</v>
      </c>
      <c r="B12" s="72" t="s">
        <v>54</v>
      </c>
      <c r="C12" s="73"/>
      <c r="D12" s="72"/>
      <c r="E12" s="74" t="s">
        <v>55</v>
      </c>
      <c r="F12" s="75" t="s">
        <v>56</v>
      </c>
      <c r="G12" s="76" t="s">
        <v>57</v>
      </c>
      <c r="H12" s="77"/>
      <c r="I12" s="77"/>
      <c r="J12" s="78"/>
      <c r="K12" s="80"/>
      <c r="L12" s="82" t="s">
        <v>12</v>
      </c>
      <c r="M12" s="84"/>
      <c r="N12" s="86"/>
      <c r="O12" s="86"/>
      <c r="P12" s="86"/>
      <c r="Q12" s="86"/>
      <c r="R12" s="86"/>
      <c r="S12" s="86"/>
      <c r="T12" s="86"/>
    </row>
    <row r="13" ht="123.75" hidden="1" customHeight="1" outlineLevel="1">
      <c r="A13" s="70" t="str">
        <f t="shared" si="1"/>
        <v>TC_Creator_Dee_2</v>
      </c>
      <c r="B13" s="72" t="s">
        <v>61</v>
      </c>
      <c r="C13" s="73"/>
      <c r="D13" s="72"/>
      <c r="E13" s="74" t="s">
        <v>64</v>
      </c>
      <c r="F13" s="75" t="s">
        <v>56</v>
      </c>
      <c r="G13" s="76" t="s">
        <v>57</v>
      </c>
      <c r="H13" s="77"/>
      <c r="I13" s="77"/>
      <c r="J13" s="78"/>
      <c r="K13" s="80"/>
      <c r="L13" s="82" t="s">
        <v>12</v>
      </c>
      <c r="M13" s="84"/>
      <c r="N13" s="86"/>
      <c r="O13" s="86"/>
      <c r="P13" s="86"/>
      <c r="Q13" s="86"/>
      <c r="R13" s="86"/>
      <c r="S13" s="86"/>
      <c r="T13" s="86"/>
    </row>
    <row r="14" ht="123.75" hidden="1" customHeight="1" outlineLevel="1">
      <c r="A14" s="70" t="str">
        <f t="shared" si="1"/>
        <v>TC_Creator_Dee_3</v>
      </c>
      <c r="B14" s="72" t="s">
        <v>67</v>
      </c>
      <c r="C14" s="73" t="s">
        <v>68</v>
      </c>
      <c r="D14" s="72"/>
      <c r="E14" s="74" t="s">
        <v>70</v>
      </c>
      <c r="F14" s="75" t="s">
        <v>56</v>
      </c>
      <c r="G14" s="76" t="s">
        <v>57</v>
      </c>
      <c r="H14" s="78"/>
      <c r="I14" s="77"/>
      <c r="J14" s="78"/>
      <c r="K14" s="80"/>
      <c r="L14" s="82" t="s">
        <v>12</v>
      </c>
      <c r="M14" s="84"/>
      <c r="N14" s="86"/>
      <c r="O14" s="86"/>
      <c r="P14" s="86"/>
      <c r="Q14" s="86"/>
      <c r="R14" s="86"/>
      <c r="S14" s="86"/>
      <c r="T14" s="86"/>
    </row>
    <row r="15" ht="123.75" hidden="1" customHeight="1" outlineLevel="1">
      <c r="A15" s="70" t="str">
        <f t="shared" si="1"/>
        <v>TC_Creator_Dee_4</v>
      </c>
      <c r="B15" s="72" t="s">
        <v>72</v>
      </c>
      <c r="C15" s="73" t="s">
        <v>68</v>
      </c>
      <c r="D15" s="72"/>
      <c r="E15" s="74" t="s">
        <v>73</v>
      </c>
      <c r="F15" s="75" t="s">
        <v>56</v>
      </c>
      <c r="G15" s="76" t="s">
        <v>57</v>
      </c>
      <c r="H15" s="78"/>
      <c r="I15" s="77"/>
      <c r="J15" s="84"/>
      <c r="K15" s="80"/>
      <c r="L15" s="82" t="s">
        <v>12</v>
      </c>
      <c r="M15" s="84"/>
      <c r="N15" s="86"/>
      <c r="O15" s="86"/>
      <c r="P15" s="86"/>
      <c r="Q15" s="86"/>
      <c r="R15" s="86"/>
      <c r="S15" s="86"/>
      <c r="T15" s="86"/>
    </row>
    <row r="16" ht="123.75" hidden="1" customHeight="1" outlineLevel="1">
      <c r="A16" s="70" t="str">
        <f t="shared" si="1"/>
        <v>TC_Creator_Dee_5</v>
      </c>
      <c r="B16" s="72" t="s">
        <v>75</v>
      </c>
      <c r="C16" s="73"/>
      <c r="D16" s="72"/>
      <c r="E16" s="74" t="s">
        <v>76</v>
      </c>
      <c r="F16" s="75" t="s">
        <v>56</v>
      </c>
      <c r="G16" s="76" t="s">
        <v>57</v>
      </c>
      <c r="H16" s="77"/>
      <c r="I16" s="77"/>
      <c r="J16" s="78"/>
      <c r="K16" s="80"/>
      <c r="L16" s="82" t="s">
        <v>12</v>
      </c>
      <c r="M16" s="84"/>
      <c r="N16" s="86"/>
      <c r="O16" s="86"/>
      <c r="P16" s="86"/>
      <c r="Q16" s="86"/>
      <c r="R16" s="86"/>
      <c r="S16" s="86"/>
      <c r="T16" s="86"/>
    </row>
    <row r="17" ht="123.75" hidden="1" customHeight="1" outlineLevel="1">
      <c r="A17" s="70" t="str">
        <f t="shared" si="1"/>
        <v>TC_Creator_Dee_6</v>
      </c>
      <c r="B17" s="72" t="s">
        <v>79</v>
      </c>
      <c r="C17" s="73" t="s">
        <v>68</v>
      </c>
      <c r="D17" s="72"/>
      <c r="E17" s="92" t="s">
        <v>80</v>
      </c>
      <c r="F17" s="75" t="s">
        <v>56</v>
      </c>
      <c r="G17" s="76" t="s">
        <v>57</v>
      </c>
      <c r="H17" s="78"/>
      <c r="I17" s="77"/>
      <c r="J17" s="78"/>
      <c r="K17" s="80"/>
      <c r="L17" s="82" t="s">
        <v>12</v>
      </c>
      <c r="M17" s="84"/>
      <c r="N17" s="86"/>
      <c r="O17" s="86"/>
      <c r="P17" s="86"/>
      <c r="Q17" s="86"/>
      <c r="R17" s="86"/>
      <c r="S17" s="86"/>
      <c r="T17" s="86"/>
    </row>
    <row r="18" ht="123.75" hidden="1" customHeight="1" outlineLevel="1">
      <c r="A18" s="70" t="str">
        <f t="shared" si="1"/>
        <v>TC_Creator_Dee_7</v>
      </c>
      <c r="B18" s="72" t="s">
        <v>81</v>
      </c>
      <c r="C18" s="73" t="s">
        <v>68</v>
      </c>
      <c r="D18" s="72"/>
      <c r="E18" s="92" t="s">
        <v>83</v>
      </c>
      <c r="F18" s="75" t="s">
        <v>56</v>
      </c>
      <c r="G18" s="76" t="s">
        <v>57</v>
      </c>
      <c r="H18" s="92" t="s">
        <v>84</v>
      </c>
      <c r="I18" s="77"/>
      <c r="J18" s="84"/>
      <c r="K18" s="80"/>
      <c r="L18" s="82" t="s">
        <v>12</v>
      </c>
      <c r="M18" s="84"/>
      <c r="N18" s="86"/>
      <c r="O18" s="86"/>
      <c r="P18" s="86"/>
      <c r="Q18" s="86"/>
      <c r="R18" s="86"/>
      <c r="S18" s="86"/>
      <c r="T18" s="86"/>
    </row>
    <row r="19" ht="123.75" hidden="1" customHeight="1" outlineLevel="1">
      <c r="A19" s="70" t="str">
        <f t="shared" si="1"/>
        <v>TC_Creator_Dee_8</v>
      </c>
      <c r="B19" s="72" t="s">
        <v>85</v>
      </c>
      <c r="C19" s="73" t="s">
        <v>68</v>
      </c>
      <c r="D19" s="72"/>
      <c r="E19" s="92" t="s">
        <v>86</v>
      </c>
      <c r="F19" s="75" t="s">
        <v>56</v>
      </c>
      <c r="G19" s="76" t="s">
        <v>57</v>
      </c>
      <c r="H19" s="78"/>
      <c r="I19" s="77"/>
      <c r="J19" s="84"/>
      <c r="K19" s="80"/>
      <c r="L19" s="82" t="s">
        <v>12</v>
      </c>
      <c r="M19" s="84"/>
      <c r="N19" s="86"/>
      <c r="O19" s="86"/>
      <c r="P19" s="86"/>
      <c r="Q19" s="86"/>
      <c r="R19" s="86"/>
      <c r="S19" s="86"/>
      <c r="T19" s="86"/>
    </row>
    <row r="20" ht="123.75" hidden="1" customHeight="1" outlineLevel="1">
      <c r="A20" s="70" t="str">
        <f t="shared" si="1"/>
        <v>TC_Creator_Dee_9</v>
      </c>
      <c r="B20" s="97" t="s">
        <v>88</v>
      </c>
      <c r="C20" s="73"/>
      <c r="D20" s="72"/>
      <c r="E20" s="78"/>
      <c r="F20" s="75" t="s">
        <v>56</v>
      </c>
      <c r="G20" s="76" t="s">
        <v>57</v>
      </c>
      <c r="H20" s="78"/>
      <c r="I20" s="77"/>
      <c r="J20" s="84"/>
      <c r="K20" s="80"/>
      <c r="L20" s="82" t="s">
        <v>12</v>
      </c>
      <c r="M20" s="84"/>
      <c r="N20" s="86"/>
      <c r="O20" s="86"/>
      <c r="P20" s="86"/>
      <c r="Q20" s="86"/>
      <c r="R20" s="86"/>
      <c r="S20" s="86"/>
      <c r="T20" s="86"/>
    </row>
    <row r="21" ht="123.75" hidden="1" customHeight="1" outlineLevel="1">
      <c r="A21" s="70" t="str">
        <f t="shared" si="1"/>
        <v>TC_Creator_Dee_10</v>
      </c>
      <c r="B21" s="72" t="s">
        <v>92</v>
      </c>
      <c r="C21" s="73" t="s">
        <v>68</v>
      </c>
      <c r="D21" s="72"/>
      <c r="E21" s="92" t="s">
        <v>86</v>
      </c>
      <c r="F21" s="75" t="s">
        <v>56</v>
      </c>
      <c r="G21" s="76" t="s">
        <v>57</v>
      </c>
      <c r="H21" s="78"/>
      <c r="I21" s="77"/>
      <c r="J21" s="84"/>
      <c r="K21" s="80"/>
      <c r="L21" s="82" t="s">
        <v>12</v>
      </c>
      <c r="M21" s="84"/>
      <c r="N21" s="86"/>
      <c r="O21" s="86"/>
      <c r="P21" s="86"/>
      <c r="Q21" s="86"/>
      <c r="R21" s="86"/>
      <c r="S21" s="86"/>
      <c r="T21" s="86"/>
    </row>
    <row r="22" ht="42.0" hidden="1" customHeight="1">
      <c r="A22" s="55" t="s">
        <v>93</v>
      </c>
      <c r="B22" s="10"/>
      <c r="C22" s="57"/>
      <c r="D22" s="58"/>
      <c r="E22" s="58"/>
      <c r="F22" s="58"/>
      <c r="G22" s="60"/>
      <c r="H22" s="60"/>
      <c r="I22" s="60"/>
      <c r="J22" s="60"/>
      <c r="K22" s="60"/>
      <c r="L22" s="60"/>
      <c r="M22" s="60"/>
      <c r="N22" s="49"/>
      <c r="O22" s="49"/>
      <c r="P22" s="49"/>
      <c r="Q22" s="49"/>
      <c r="R22" s="49"/>
      <c r="S22" s="49"/>
      <c r="T22" s="49"/>
    </row>
    <row r="23" ht="30.0" hidden="1" customHeight="1" outlineLevel="1">
      <c r="A23" s="101" t="s">
        <v>95</v>
      </c>
      <c r="B23" s="10"/>
      <c r="C23" s="102"/>
      <c r="D23" s="103"/>
      <c r="E23" s="103"/>
      <c r="F23" s="103"/>
      <c r="G23" s="104"/>
      <c r="H23" s="104"/>
      <c r="I23" s="104"/>
      <c r="J23" s="104"/>
      <c r="K23" s="104"/>
      <c r="L23" s="104"/>
      <c r="M23" s="104"/>
      <c r="N23" s="86"/>
      <c r="O23" s="86"/>
      <c r="P23" s="86"/>
      <c r="Q23" s="86"/>
      <c r="R23" s="86"/>
      <c r="S23" s="86"/>
      <c r="T23" s="86"/>
    </row>
    <row r="24" ht="123.75" hidden="1" customHeight="1" outlineLevel="1">
      <c r="A24" s="70" t="str">
        <f t="shared" ref="A24:A50" si="2">"TC_Creator_Dee_"&amp;(ROW()-ROW($A$12)+1-2)</f>
        <v>TC_Creator_Dee_11</v>
      </c>
      <c r="B24" s="72" t="s">
        <v>97</v>
      </c>
      <c r="C24" s="73"/>
      <c r="D24" s="72"/>
      <c r="E24" s="92" t="s">
        <v>100</v>
      </c>
      <c r="F24" s="75" t="s">
        <v>56</v>
      </c>
      <c r="G24" s="76" t="s">
        <v>101</v>
      </c>
      <c r="H24" s="77"/>
      <c r="I24" s="77"/>
      <c r="J24" s="78"/>
      <c r="K24" s="80"/>
      <c r="L24" s="82" t="s">
        <v>12</v>
      </c>
      <c r="M24" s="84"/>
      <c r="N24" s="86"/>
      <c r="O24" s="86"/>
      <c r="P24" s="86"/>
      <c r="Q24" s="86"/>
      <c r="R24" s="86"/>
      <c r="S24" s="86"/>
      <c r="T24" s="86"/>
    </row>
    <row r="25" ht="123.75" hidden="1" customHeight="1" outlineLevel="1">
      <c r="A25" s="70" t="str">
        <f t="shared" si="2"/>
        <v>TC_Creator_Dee_12</v>
      </c>
      <c r="B25" s="72" t="s">
        <v>103</v>
      </c>
      <c r="C25" s="73"/>
      <c r="D25" s="72"/>
      <c r="E25" s="92" t="s">
        <v>104</v>
      </c>
      <c r="F25" s="75" t="s">
        <v>56</v>
      </c>
      <c r="G25" s="76" t="s">
        <v>101</v>
      </c>
      <c r="H25" s="77"/>
      <c r="I25" s="77"/>
      <c r="J25" s="78"/>
      <c r="K25" s="80"/>
      <c r="L25" s="82" t="s">
        <v>12</v>
      </c>
      <c r="M25" s="84"/>
      <c r="N25" s="86"/>
      <c r="O25" s="86"/>
      <c r="P25" s="86"/>
      <c r="Q25" s="86"/>
      <c r="R25" s="86"/>
      <c r="S25" s="86"/>
      <c r="T25" s="86"/>
    </row>
    <row r="26" ht="123.75" hidden="1" customHeight="1" outlineLevel="1">
      <c r="A26" s="70" t="str">
        <f t="shared" si="2"/>
        <v>TC_Creator_Dee_13</v>
      </c>
      <c r="B26" s="72" t="s">
        <v>107</v>
      </c>
      <c r="C26" s="73" t="s">
        <v>68</v>
      </c>
      <c r="D26" s="72"/>
      <c r="E26" s="92" t="s">
        <v>108</v>
      </c>
      <c r="F26" s="76" t="s">
        <v>109</v>
      </c>
      <c r="G26" s="76" t="s">
        <v>101</v>
      </c>
      <c r="H26" s="78"/>
      <c r="I26" s="77"/>
      <c r="J26" s="78"/>
      <c r="K26" s="80"/>
      <c r="L26" s="82" t="s">
        <v>12</v>
      </c>
      <c r="M26" s="84"/>
      <c r="N26" s="86"/>
      <c r="O26" s="86"/>
      <c r="P26" s="86"/>
      <c r="Q26" s="86"/>
      <c r="R26" s="86"/>
      <c r="S26" s="86"/>
      <c r="T26" s="86"/>
    </row>
    <row r="27" ht="123.75" hidden="1" customHeight="1" outlineLevel="1">
      <c r="A27" s="70" t="str">
        <f t="shared" si="2"/>
        <v>TC_Creator_Dee_14</v>
      </c>
      <c r="B27" s="72" t="s">
        <v>110</v>
      </c>
      <c r="C27" s="73" t="s">
        <v>68</v>
      </c>
      <c r="D27" s="72"/>
      <c r="E27" s="92" t="s">
        <v>112</v>
      </c>
      <c r="F27" s="76" t="s">
        <v>109</v>
      </c>
      <c r="G27" s="76" t="s">
        <v>101</v>
      </c>
      <c r="H27" s="78"/>
      <c r="I27" s="77"/>
      <c r="J27" s="84"/>
      <c r="K27" s="80"/>
      <c r="L27" s="82"/>
      <c r="M27" s="84"/>
      <c r="N27" s="86"/>
      <c r="O27" s="86"/>
      <c r="P27" s="86"/>
      <c r="Q27" s="86"/>
      <c r="R27" s="86"/>
      <c r="S27" s="86"/>
      <c r="T27" s="86"/>
    </row>
    <row r="28" ht="123.75" hidden="1" customHeight="1" outlineLevel="1">
      <c r="A28" s="70" t="str">
        <f t="shared" si="2"/>
        <v>TC_Creator_Dee_15</v>
      </c>
      <c r="B28" s="72" t="s">
        <v>114</v>
      </c>
      <c r="C28" s="73" t="s">
        <v>68</v>
      </c>
      <c r="D28" s="72"/>
      <c r="E28" s="92" t="s">
        <v>104</v>
      </c>
      <c r="F28" s="76" t="s">
        <v>109</v>
      </c>
      <c r="G28" s="76" t="s">
        <v>101</v>
      </c>
      <c r="H28" s="78"/>
      <c r="I28" s="77"/>
      <c r="J28" s="84"/>
      <c r="K28" s="80"/>
      <c r="L28" s="82" t="s">
        <v>12</v>
      </c>
      <c r="M28" s="84"/>
      <c r="N28" s="86"/>
      <c r="O28" s="86"/>
      <c r="P28" s="86"/>
      <c r="Q28" s="86"/>
      <c r="R28" s="86"/>
      <c r="S28" s="86"/>
      <c r="T28" s="86"/>
    </row>
    <row r="29" ht="123.75" hidden="1" customHeight="1" outlineLevel="1">
      <c r="A29" s="70" t="str">
        <f t="shared" si="2"/>
        <v>TC_Creator_Dee_16</v>
      </c>
      <c r="B29" s="107" t="s">
        <v>117</v>
      </c>
      <c r="C29" s="73"/>
      <c r="D29" s="72"/>
      <c r="E29" s="92" t="s">
        <v>104</v>
      </c>
      <c r="F29" s="76" t="s">
        <v>56</v>
      </c>
      <c r="G29" s="76" t="s">
        <v>57</v>
      </c>
      <c r="H29" s="92" t="s">
        <v>118</v>
      </c>
      <c r="I29" s="77"/>
      <c r="J29" s="84"/>
      <c r="K29" s="80"/>
      <c r="L29" s="82" t="s">
        <v>12</v>
      </c>
      <c r="M29" s="84"/>
      <c r="N29" s="86"/>
      <c r="O29" s="86"/>
      <c r="P29" s="86"/>
      <c r="Q29" s="86"/>
      <c r="R29" s="86"/>
      <c r="S29" s="86"/>
      <c r="T29" s="86"/>
    </row>
    <row r="30" ht="123.75" hidden="1" customHeight="1" outlineLevel="1">
      <c r="A30" s="70" t="str">
        <f t="shared" si="2"/>
        <v>TC_Creator_Dee_17</v>
      </c>
      <c r="B30" s="72" t="s">
        <v>120</v>
      </c>
      <c r="C30" s="73"/>
      <c r="D30" s="72"/>
      <c r="E30" s="92" t="s">
        <v>122</v>
      </c>
      <c r="F30" s="76" t="s">
        <v>56</v>
      </c>
      <c r="G30" s="76" t="s">
        <v>57</v>
      </c>
      <c r="H30" s="78"/>
      <c r="I30" s="77"/>
      <c r="J30" s="84"/>
      <c r="K30" s="80"/>
      <c r="L30" s="82" t="s">
        <v>12</v>
      </c>
      <c r="M30" s="84"/>
      <c r="N30" s="86"/>
      <c r="O30" s="86"/>
      <c r="P30" s="86"/>
      <c r="Q30" s="86"/>
      <c r="R30" s="86"/>
      <c r="S30" s="86"/>
      <c r="T30" s="86"/>
    </row>
    <row r="31" ht="123.75" hidden="1" customHeight="1" outlineLevel="1">
      <c r="A31" s="70" t="str">
        <f t="shared" si="2"/>
        <v>TC_Creator_Dee_18</v>
      </c>
      <c r="B31" s="72" t="s">
        <v>124</v>
      </c>
      <c r="C31" s="73"/>
      <c r="D31" s="72"/>
      <c r="E31" s="92" t="s">
        <v>121</v>
      </c>
      <c r="F31" s="76" t="s">
        <v>56</v>
      </c>
      <c r="G31" s="76" t="s">
        <v>57</v>
      </c>
      <c r="H31" s="78"/>
      <c r="I31" s="77"/>
      <c r="J31" s="84"/>
      <c r="K31" s="80"/>
      <c r="L31" s="82" t="s">
        <v>12</v>
      </c>
      <c r="M31" s="84"/>
      <c r="N31" s="86"/>
      <c r="O31" s="86"/>
      <c r="P31" s="86"/>
      <c r="Q31" s="86"/>
      <c r="R31" s="86"/>
      <c r="S31" s="86"/>
      <c r="T31" s="86"/>
    </row>
    <row r="32" ht="123.75" hidden="1" customHeight="1" outlineLevel="1">
      <c r="A32" s="70" t="str">
        <f t="shared" si="2"/>
        <v>TC_Creator_Dee_19</v>
      </c>
      <c r="B32" s="72" t="s">
        <v>126</v>
      </c>
      <c r="C32" s="73"/>
      <c r="D32" s="72"/>
      <c r="E32" s="92" t="s">
        <v>128</v>
      </c>
      <c r="F32" s="76" t="s">
        <v>109</v>
      </c>
      <c r="G32" s="76" t="s">
        <v>101</v>
      </c>
      <c r="H32" s="78"/>
      <c r="I32" s="77"/>
      <c r="J32" s="84"/>
      <c r="K32" s="80"/>
      <c r="L32" s="82" t="s">
        <v>12</v>
      </c>
      <c r="M32" s="84"/>
      <c r="N32" s="86"/>
      <c r="O32" s="86"/>
      <c r="P32" s="86"/>
      <c r="Q32" s="86"/>
      <c r="R32" s="86"/>
      <c r="S32" s="86"/>
      <c r="T32" s="86"/>
    </row>
    <row r="33" ht="123.75" hidden="1" customHeight="1" outlineLevel="1">
      <c r="A33" s="70" t="str">
        <f t="shared" si="2"/>
        <v>TC_Creator_Dee_20</v>
      </c>
      <c r="B33" s="72" t="s">
        <v>130</v>
      </c>
      <c r="C33" s="73"/>
      <c r="D33" s="72"/>
      <c r="E33" s="92"/>
      <c r="F33" s="76" t="s">
        <v>56</v>
      </c>
      <c r="G33" s="76" t="s">
        <v>57</v>
      </c>
      <c r="H33" s="78"/>
      <c r="I33" s="77"/>
      <c r="J33" s="84"/>
      <c r="K33" s="80"/>
      <c r="L33" s="82" t="s">
        <v>12</v>
      </c>
      <c r="M33" s="79" t="s">
        <v>131</v>
      </c>
      <c r="N33" s="86"/>
      <c r="O33" s="86"/>
      <c r="P33" s="86"/>
      <c r="Q33" s="86"/>
      <c r="R33" s="86"/>
      <c r="S33" s="86"/>
      <c r="T33" s="86"/>
    </row>
    <row r="34" ht="123.75" hidden="1" customHeight="1" outlineLevel="1">
      <c r="A34" s="70" t="str">
        <f t="shared" si="2"/>
        <v>TC_Creator_Dee_21</v>
      </c>
      <c r="B34" s="72" t="s">
        <v>133</v>
      </c>
      <c r="C34" s="73"/>
      <c r="D34" s="72"/>
      <c r="E34" s="92"/>
      <c r="F34" s="76" t="s">
        <v>56</v>
      </c>
      <c r="G34" s="76" t="s">
        <v>57</v>
      </c>
      <c r="H34" s="78"/>
      <c r="I34" s="77"/>
      <c r="J34" s="84"/>
      <c r="K34" s="80"/>
      <c r="L34" s="82" t="s">
        <v>12</v>
      </c>
      <c r="M34" s="79" t="s">
        <v>135</v>
      </c>
      <c r="N34" s="86"/>
      <c r="O34" s="86"/>
      <c r="P34" s="86"/>
      <c r="Q34" s="86"/>
      <c r="R34" s="86"/>
      <c r="S34" s="86"/>
      <c r="T34" s="86"/>
    </row>
    <row r="35" ht="123.75" hidden="1" customHeight="1" outlineLevel="1">
      <c r="A35" s="70" t="str">
        <f t="shared" si="2"/>
        <v>TC_Creator_Dee_22</v>
      </c>
      <c r="B35" s="72" t="s">
        <v>136</v>
      </c>
      <c r="C35" s="73"/>
      <c r="D35" s="72"/>
      <c r="E35" s="92"/>
      <c r="F35" s="76" t="s">
        <v>56</v>
      </c>
      <c r="G35" s="76" t="s">
        <v>57</v>
      </c>
      <c r="H35" s="78"/>
      <c r="I35" s="77"/>
      <c r="J35" s="84"/>
      <c r="K35" s="80"/>
      <c r="L35" s="82" t="s">
        <v>12</v>
      </c>
      <c r="M35" s="79" t="s">
        <v>139</v>
      </c>
      <c r="N35" s="86"/>
      <c r="O35" s="86"/>
      <c r="P35" s="86"/>
      <c r="Q35" s="86"/>
      <c r="R35" s="86"/>
      <c r="S35" s="86"/>
      <c r="T35" s="86"/>
    </row>
    <row r="36" ht="123.75" hidden="1" customHeight="1" outlineLevel="1">
      <c r="A36" s="70" t="str">
        <f t="shared" si="2"/>
        <v>TC_Creator_Dee_23</v>
      </c>
      <c r="B36" s="72" t="s">
        <v>140</v>
      </c>
      <c r="C36" s="73"/>
      <c r="D36" s="72"/>
      <c r="E36" s="92"/>
      <c r="F36" s="76" t="s">
        <v>56</v>
      </c>
      <c r="G36" s="76" t="s">
        <v>57</v>
      </c>
      <c r="H36" s="78"/>
      <c r="I36" s="77"/>
      <c r="J36" s="84"/>
      <c r="K36" s="80"/>
      <c r="L36" s="82" t="s">
        <v>12</v>
      </c>
      <c r="M36" s="79" t="s">
        <v>145</v>
      </c>
      <c r="N36" s="86"/>
      <c r="O36" s="86"/>
      <c r="P36" s="86"/>
      <c r="Q36" s="86"/>
      <c r="R36" s="86"/>
      <c r="S36" s="86"/>
      <c r="T36" s="86"/>
    </row>
    <row r="37" ht="123.75" hidden="1" customHeight="1" outlineLevel="1">
      <c r="A37" s="70" t="str">
        <f t="shared" si="2"/>
        <v>TC_Creator_Dee_24</v>
      </c>
      <c r="B37" s="72" t="s">
        <v>150</v>
      </c>
      <c r="C37" s="73"/>
      <c r="D37" s="72"/>
      <c r="E37" s="92"/>
      <c r="F37" s="76" t="s">
        <v>56</v>
      </c>
      <c r="G37" s="76" t="s">
        <v>57</v>
      </c>
      <c r="H37" s="78"/>
      <c r="I37" s="77"/>
      <c r="J37" s="84"/>
      <c r="K37" s="80"/>
      <c r="L37" s="82" t="s">
        <v>12</v>
      </c>
      <c r="M37" s="79" t="s">
        <v>161</v>
      </c>
      <c r="N37" s="86"/>
      <c r="O37" s="86"/>
      <c r="P37" s="86"/>
      <c r="Q37" s="86"/>
      <c r="R37" s="86"/>
      <c r="S37" s="86"/>
      <c r="T37" s="86"/>
    </row>
    <row r="38" ht="123.75" hidden="1" customHeight="1" outlineLevel="1">
      <c r="A38" s="70" t="str">
        <f t="shared" si="2"/>
        <v>TC_Creator_Dee_25</v>
      </c>
      <c r="B38" s="72" t="s">
        <v>163</v>
      </c>
      <c r="C38" s="73"/>
      <c r="D38" s="72"/>
      <c r="E38" s="92"/>
      <c r="F38" s="76" t="s">
        <v>56</v>
      </c>
      <c r="G38" s="76" t="s">
        <v>57</v>
      </c>
      <c r="H38" s="78"/>
      <c r="I38" s="77"/>
      <c r="J38" s="84"/>
      <c r="K38" s="80"/>
      <c r="L38" s="82" t="s">
        <v>12</v>
      </c>
      <c r="M38" s="79" t="s">
        <v>168</v>
      </c>
      <c r="N38" s="86"/>
      <c r="O38" s="86"/>
      <c r="P38" s="86"/>
      <c r="Q38" s="86"/>
      <c r="R38" s="86"/>
      <c r="S38" s="86"/>
      <c r="T38" s="86"/>
    </row>
    <row r="39" ht="123.75" hidden="1" customHeight="1" outlineLevel="1">
      <c r="A39" s="70" t="str">
        <f t="shared" si="2"/>
        <v>TC_Creator_Dee_26</v>
      </c>
      <c r="B39" s="72" t="s">
        <v>173</v>
      </c>
      <c r="C39" s="73"/>
      <c r="D39" s="72"/>
      <c r="E39" s="92"/>
      <c r="F39" s="76" t="s">
        <v>56</v>
      </c>
      <c r="G39" s="76" t="s">
        <v>57</v>
      </c>
      <c r="H39" s="78"/>
      <c r="I39" s="77"/>
      <c r="J39" s="84"/>
      <c r="K39" s="80"/>
      <c r="L39" s="82" t="s">
        <v>12</v>
      </c>
      <c r="M39" s="79" t="s">
        <v>175</v>
      </c>
      <c r="N39" s="86"/>
      <c r="O39" s="86"/>
      <c r="P39" s="86"/>
      <c r="Q39" s="86"/>
      <c r="R39" s="86"/>
      <c r="S39" s="86"/>
      <c r="T39" s="86"/>
    </row>
    <row r="40" ht="123.75" hidden="1" customHeight="1" outlineLevel="1">
      <c r="A40" s="70" t="str">
        <f t="shared" si="2"/>
        <v>TC_Creator_Dee_27</v>
      </c>
      <c r="B40" s="72" t="s">
        <v>179</v>
      </c>
      <c r="C40" s="73"/>
      <c r="D40" s="72"/>
      <c r="E40" s="92"/>
      <c r="F40" s="76" t="s">
        <v>56</v>
      </c>
      <c r="G40" s="76" t="s">
        <v>57</v>
      </c>
      <c r="H40" s="78"/>
      <c r="I40" s="77"/>
      <c r="J40" s="84"/>
      <c r="K40" s="80"/>
      <c r="L40" s="82" t="s">
        <v>12</v>
      </c>
      <c r="M40" s="79" t="s">
        <v>182</v>
      </c>
      <c r="N40" s="86"/>
      <c r="O40" s="86"/>
      <c r="P40" s="86"/>
      <c r="Q40" s="86"/>
      <c r="R40" s="86"/>
      <c r="S40" s="86"/>
      <c r="T40" s="86"/>
    </row>
    <row r="41" ht="123.75" hidden="1" customHeight="1" outlineLevel="1">
      <c r="A41" s="70" t="str">
        <f t="shared" si="2"/>
        <v>TC_Creator_Dee_28</v>
      </c>
      <c r="B41" s="72" t="s">
        <v>185</v>
      </c>
      <c r="C41" s="73"/>
      <c r="D41" s="72"/>
      <c r="E41" s="92"/>
      <c r="F41" s="76" t="s">
        <v>56</v>
      </c>
      <c r="G41" s="76" t="s">
        <v>57</v>
      </c>
      <c r="H41" s="78"/>
      <c r="I41" s="77"/>
      <c r="J41" s="84"/>
      <c r="K41" s="80"/>
      <c r="L41" s="82" t="s">
        <v>12</v>
      </c>
      <c r="M41" s="79" t="s">
        <v>186</v>
      </c>
      <c r="N41" s="86"/>
      <c r="O41" s="86"/>
      <c r="P41" s="86"/>
      <c r="Q41" s="86"/>
      <c r="R41" s="86"/>
      <c r="S41" s="86"/>
      <c r="T41" s="86"/>
    </row>
    <row r="42" ht="123.75" hidden="1" customHeight="1" outlineLevel="1">
      <c r="A42" s="70" t="str">
        <f t="shared" si="2"/>
        <v>TC_Creator_Dee_29</v>
      </c>
      <c r="B42" s="72" t="s">
        <v>188</v>
      </c>
      <c r="C42" s="73"/>
      <c r="D42" s="72"/>
      <c r="E42" s="92" t="s">
        <v>104</v>
      </c>
      <c r="F42" s="76" t="s">
        <v>109</v>
      </c>
      <c r="G42" s="76" t="s">
        <v>101</v>
      </c>
      <c r="H42" s="78"/>
      <c r="I42" s="77"/>
      <c r="J42" s="84"/>
      <c r="K42" s="80"/>
      <c r="L42" s="82" t="s">
        <v>12</v>
      </c>
      <c r="M42" s="84"/>
      <c r="N42" s="86"/>
      <c r="O42" s="86"/>
      <c r="P42" s="86"/>
      <c r="Q42" s="86"/>
      <c r="R42" s="86"/>
      <c r="S42" s="86"/>
      <c r="T42" s="86"/>
    </row>
    <row r="43" ht="123.75" hidden="1" customHeight="1" outlineLevel="1">
      <c r="A43" s="70" t="str">
        <f t="shared" si="2"/>
        <v>TC_Creator_Dee_30</v>
      </c>
      <c r="B43" s="72" t="s">
        <v>194</v>
      </c>
      <c r="C43" s="73"/>
      <c r="D43" s="72"/>
      <c r="E43" s="92" t="s">
        <v>104</v>
      </c>
      <c r="F43" s="76" t="s">
        <v>109</v>
      </c>
      <c r="G43" s="76" t="s">
        <v>101</v>
      </c>
      <c r="H43" s="78"/>
      <c r="I43" s="77"/>
      <c r="J43" s="84"/>
      <c r="K43" s="80"/>
      <c r="L43" s="82" t="s">
        <v>12</v>
      </c>
      <c r="M43" s="84"/>
      <c r="N43" s="86"/>
      <c r="O43" s="86"/>
      <c r="P43" s="86"/>
      <c r="Q43" s="86"/>
      <c r="R43" s="86"/>
      <c r="S43" s="86"/>
      <c r="T43" s="86"/>
    </row>
    <row r="44" ht="123.75" hidden="1" customHeight="1" outlineLevel="1">
      <c r="A44" s="70" t="str">
        <f t="shared" si="2"/>
        <v>TC_Creator_Dee_31</v>
      </c>
      <c r="B44" s="72" t="s">
        <v>199</v>
      </c>
      <c r="C44" s="73"/>
      <c r="D44" s="72"/>
      <c r="E44" s="92" t="s">
        <v>104</v>
      </c>
      <c r="F44" s="76" t="s">
        <v>109</v>
      </c>
      <c r="G44" s="76" t="s">
        <v>101</v>
      </c>
      <c r="H44" s="78"/>
      <c r="I44" s="77"/>
      <c r="J44" s="84"/>
      <c r="K44" s="80"/>
      <c r="L44" s="82" t="s">
        <v>12</v>
      </c>
      <c r="M44" s="84"/>
      <c r="N44" s="86"/>
      <c r="O44" s="86"/>
      <c r="P44" s="86"/>
      <c r="Q44" s="86"/>
      <c r="R44" s="86"/>
      <c r="S44" s="86"/>
      <c r="T44" s="86"/>
    </row>
    <row r="45" ht="123.75" hidden="1" customHeight="1" outlineLevel="1">
      <c r="A45" s="70" t="str">
        <f t="shared" si="2"/>
        <v>TC_Creator_Dee_32</v>
      </c>
      <c r="B45" s="72" t="s">
        <v>202</v>
      </c>
      <c r="C45" s="73"/>
      <c r="D45" s="72"/>
      <c r="E45" s="92" t="s">
        <v>104</v>
      </c>
      <c r="F45" s="76" t="s">
        <v>109</v>
      </c>
      <c r="G45" s="76" t="s">
        <v>101</v>
      </c>
      <c r="H45" s="78"/>
      <c r="I45" s="77"/>
      <c r="J45" s="84"/>
      <c r="K45" s="80"/>
      <c r="L45" s="82" t="s">
        <v>12</v>
      </c>
      <c r="M45" s="84"/>
      <c r="N45" s="86"/>
      <c r="O45" s="86"/>
      <c r="P45" s="86"/>
      <c r="Q45" s="86"/>
      <c r="R45" s="86"/>
      <c r="S45" s="86"/>
      <c r="T45" s="86"/>
    </row>
    <row r="46" ht="123.75" hidden="1" customHeight="1" outlineLevel="1">
      <c r="A46" s="70" t="str">
        <f t="shared" si="2"/>
        <v>TC_Creator_Dee_33</v>
      </c>
      <c r="B46" s="72" t="s">
        <v>205</v>
      </c>
      <c r="C46" s="73"/>
      <c r="D46" s="72"/>
      <c r="E46" s="92" t="s">
        <v>207</v>
      </c>
      <c r="F46" s="76" t="s">
        <v>56</v>
      </c>
      <c r="G46" s="76" t="s">
        <v>101</v>
      </c>
      <c r="H46" s="78"/>
      <c r="I46" s="77"/>
      <c r="J46" s="84"/>
      <c r="K46" s="80"/>
      <c r="L46" s="82" t="s">
        <v>12</v>
      </c>
      <c r="M46" s="84"/>
      <c r="N46" s="86"/>
      <c r="O46" s="86"/>
      <c r="P46" s="86"/>
      <c r="Q46" s="86"/>
      <c r="R46" s="86"/>
      <c r="S46" s="86"/>
      <c r="T46" s="86"/>
    </row>
    <row r="47" ht="123.75" hidden="1" customHeight="1" outlineLevel="1">
      <c r="A47" s="70" t="str">
        <f t="shared" si="2"/>
        <v>TC_Creator_Dee_34</v>
      </c>
      <c r="B47" s="72" t="s">
        <v>210</v>
      </c>
      <c r="C47" s="73"/>
      <c r="D47" s="72"/>
      <c r="E47" s="92" t="s">
        <v>211</v>
      </c>
      <c r="F47" s="76" t="s">
        <v>56</v>
      </c>
      <c r="G47" s="76" t="s">
        <v>101</v>
      </c>
      <c r="H47" s="78"/>
      <c r="I47" s="77"/>
      <c r="J47" s="84"/>
      <c r="K47" s="80"/>
      <c r="L47" s="82" t="s">
        <v>12</v>
      </c>
      <c r="M47" s="84"/>
      <c r="N47" s="86"/>
      <c r="O47" s="86"/>
      <c r="P47" s="86"/>
      <c r="Q47" s="86"/>
      <c r="R47" s="86"/>
      <c r="S47" s="86"/>
      <c r="T47" s="86"/>
    </row>
    <row r="48" ht="123.75" hidden="1" customHeight="1" outlineLevel="1">
      <c r="A48" s="70" t="str">
        <f t="shared" si="2"/>
        <v>TC_Creator_Dee_35</v>
      </c>
      <c r="B48" s="72" t="s">
        <v>215</v>
      </c>
      <c r="C48" s="73"/>
      <c r="D48" s="72"/>
      <c r="E48" s="92"/>
      <c r="F48" s="76" t="s">
        <v>56</v>
      </c>
      <c r="G48" s="76" t="s">
        <v>101</v>
      </c>
      <c r="H48" s="78"/>
      <c r="I48" s="77"/>
      <c r="J48" s="84"/>
      <c r="K48" s="80"/>
      <c r="L48" s="82" t="s">
        <v>12</v>
      </c>
      <c r="M48" s="84"/>
      <c r="N48" s="86"/>
      <c r="O48" s="86"/>
      <c r="P48" s="86"/>
      <c r="Q48" s="86"/>
      <c r="R48" s="86"/>
      <c r="S48" s="86"/>
      <c r="T48" s="86"/>
    </row>
    <row r="49" ht="123.75" hidden="1" customHeight="1" outlineLevel="1">
      <c r="A49" s="70" t="str">
        <f t="shared" si="2"/>
        <v>TC_Creator_Dee_36</v>
      </c>
      <c r="B49" s="72" t="s">
        <v>217</v>
      </c>
      <c r="C49" s="73"/>
      <c r="D49" s="72"/>
      <c r="E49" s="92"/>
      <c r="F49" s="76" t="s">
        <v>56</v>
      </c>
      <c r="G49" s="76" t="s">
        <v>101</v>
      </c>
      <c r="H49" s="78"/>
      <c r="I49" s="77"/>
      <c r="J49" s="84"/>
      <c r="K49" s="80"/>
      <c r="L49" s="82" t="s">
        <v>12</v>
      </c>
      <c r="M49" s="84"/>
      <c r="N49" s="86"/>
      <c r="O49" s="86"/>
      <c r="P49" s="86"/>
      <c r="Q49" s="86"/>
      <c r="R49" s="86"/>
      <c r="S49" s="86"/>
      <c r="T49" s="86"/>
    </row>
    <row r="50" ht="123.75" hidden="1" customHeight="1" outlineLevel="1">
      <c r="A50" s="70" t="str">
        <f t="shared" si="2"/>
        <v>TC_Creator_Dee_37</v>
      </c>
      <c r="B50" s="72" t="s">
        <v>220</v>
      </c>
      <c r="C50" s="73"/>
      <c r="D50" s="72"/>
      <c r="E50" s="92" t="s">
        <v>213</v>
      </c>
      <c r="F50" s="76" t="s">
        <v>109</v>
      </c>
      <c r="G50" s="76" t="s">
        <v>214</v>
      </c>
      <c r="H50" s="78"/>
      <c r="I50" s="77"/>
      <c r="J50" s="84"/>
      <c r="K50" s="80"/>
      <c r="L50" s="82" t="s">
        <v>12</v>
      </c>
      <c r="M50" s="84"/>
      <c r="N50" s="86"/>
      <c r="O50" s="86"/>
      <c r="P50" s="86"/>
      <c r="Q50" s="86"/>
      <c r="R50" s="86"/>
      <c r="S50" s="86"/>
      <c r="T50" s="86"/>
    </row>
    <row r="51" ht="30.0" hidden="1" customHeight="1" outlineLevel="1">
      <c r="A51" s="101" t="s">
        <v>223</v>
      </c>
      <c r="B51" s="10"/>
      <c r="C51" s="102"/>
      <c r="D51" s="103"/>
      <c r="E51" s="103"/>
      <c r="F51" s="103"/>
      <c r="G51" s="104"/>
      <c r="H51" s="104"/>
      <c r="I51" s="104"/>
      <c r="J51" s="104"/>
      <c r="K51" s="104"/>
      <c r="L51" s="104"/>
      <c r="M51" s="104"/>
      <c r="N51" s="86"/>
      <c r="O51" s="86"/>
      <c r="P51" s="86"/>
      <c r="Q51" s="86"/>
      <c r="R51" s="86"/>
      <c r="S51" s="86"/>
      <c r="T51" s="86"/>
    </row>
    <row r="52" ht="123.75" hidden="1" customHeight="1" outlineLevel="1">
      <c r="A52" s="70" t="str">
        <f t="shared" ref="A52:A57" si="3">"TC_Creator_Dee_"&amp;(ROW()-ROW($A$12)+1-3)</f>
        <v>TC_Creator_Dee_38</v>
      </c>
      <c r="B52" s="72" t="s">
        <v>226</v>
      </c>
      <c r="C52" s="73"/>
      <c r="D52" s="72"/>
      <c r="E52" s="92" t="s">
        <v>227</v>
      </c>
      <c r="F52" s="76" t="s">
        <v>56</v>
      </c>
      <c r="G52" s="76" t="s">
        <v>57</v>
      </c>
      <c r="H52" s="78"/>
      <c r="I52" s="77"/>
      <c r="J52" s="84"/>
      <c r="K52" s="80"/>
      <c r="L52" s="82" t="s">
        <v>12</v>
      </c>
      <c r="M52" s="84"/>
      <c r="N52" s="86"/>
      <c r="O52" s="86"/>
      <c r="P52" s="86"/>
      <c r="Q52" s="86"/>
      <c r="R52" s="86"/>
      <c r="S52" s="86"/>
      <c r="T52" s="86"/>
    </row>
    <row r="53" ht="123.75" hidden="1" customHeight="1" outlineLevel="1">
      <c r="A53" s="70" t="str">
        <f t="shared" si="3"/>
        <v>TC_Creator_Dee_39</v>
      </c>
      <c r="B53" s="72" t="s">
        <v>230</v>
      </c>
      <c r="C53" s="73"/>
      <c r="D53" s="72"/>
      <c r="E53" s="92" t="s">
        <v>231</v>
      </c>
      <c r="F53" s="76" t="s">
        <v>56</v>
      </c>
      <c r="G53" s="76" t="s">
        <v>57</v>
      </c>
      <c r="H53" s="78"/>
      <c r="I53" s="77"/>
      <c r="J53" s="84"/>
      <c r="K53" s="80"/>
      <c r="L53" s="82" t="s">
        <v>12</v>
      </c>
      <c r="M53" s="84"/>
      <c r="N53" s="86"/>
      <c r="O53" s="86"/>
      <c r="P53" s="86"/>
      <c r="Q53" s="86"/>
      <c r="R53" s="86"/>
      <c r="S53" s="86"/>
      <c r="T53" s="86"/>
    </row>
    <row r="54" ht="123.75" hidden="1" customHeight="1" outlineLevel="1">
      <c r="A54" s="70" t="str">
        <f t="shared" si="3"/>
        <v>TC_Creator_Dee_40</v>
      </c>
      <c r="B54" s="72" t="s">
        <v>233</v>
      </c>
      <c r="C54" s="73"/>
      <c r="D54" s="72"/>
      <c r="E54" s="92" t="s">
        <v>231</v>
      </c>
      <c r="F54" s="76" t="s">
        <v>56</v>
      </c>
      <c r="G54" s="76" t="s">
        <v>57</v>
      </c>
      <c r="H54" s="78"/>
      <c r="I54" s="77"/>
      <c r="J54" s="84"/>
      <c r="K54" s="80"/>
      <c r="L54" s="82" t="s">
        <v>12</v>
      </c>
      <c r="M54" s="84"/>
      <c r="N54" s="86"/>
      <c r="O54" s="86"/>
      <c r="P54" s="86"/>
      <c r="Q54" s="86"/>
      <c r="R54" s="86"/>
      <c r="S54" s="86"/>
      <c r="T54" s="86"/>
    </row>
    <row r="55" ht="123.75" hidden="1" customHeight="1" outlineLevel="1">
      <c r="A55" s="70" t="str">
        <f t="shared" si="3"/>
        <v>TC_Creator_Dee_41</v>
      </c>
      <c r="B55" s="72" t="s">
        <v>236</v>
      </c>
      <c r="C55" s="73"/>
      <c r="D55" s="72"/>
      <c r="E55" s="92" t="s">
        <v>231</v>
      </c>
      <c r="F55" s="76" t="s">
        <v>56</v>
      </c>
      <c r="G55" s="76" t="s">
        <v>214</v>
      </c>
      <c r="H55" s="78"/>
      <c r="I55" s="77"/>
      <c r="J55" s="84"/>
      <c r="K55" s="80"/>
      <c r="L55" s="82" t="s">
        <v>12</v>
      </c>
      <c r="M55" s="84"/>
      <c r="N55" s="86"/>
      <c r="O55" s="86"/>
      <c r="P55" s="86"/>
      <c r="Q55" s="86"/>
      <c r="R55" s="86"/>
      <c r="S55" s="86"/>
      <c r="T55" s="86"/>
    </row>
    <row r="56" ht="123.75" hidden="1" customHeight="1" outlineLevel="1">
      <c r="A56" s="70" t="str">
        <f t="shared" si="3"/>
        <v>TC_Creator_Dee_42</v>
      </c>
      <c r="B56" s="72" t="s">
        <v>237</v>
      </c>
      <c r="C56" s="73"/>
      <c r="D56" s="72"/>
      <c r="E56" s="92" t="s">
        <v>238</v>
      </c>
      <c r="F56" s="76" t="s">
        <v>56</v>
      </c>
      <c r="G56" s="76" t="s">
        <v>57</v>
      </c>
      <c r="H56" s="78"/>
      <c r="I56" s="77"/>
      <c r="J56" s="84"/>
      <c r="K56" s="80"/>
      <c r="L56" s="82" t="s">
        <v>12</v>
      </c>
      <c r="M56" s="84"/>
      <c r="N56" s="86"/>
      <c r="O56" s="86"/>
      <c r="P56" s="86"/>
      <c r="Q56" s="86"/>
      <c r="R56" s="86"/>
      <c r="S56" s="86"/>
      <c r="T56" s="86"/>
    </row>
    <row r="57" ht="123.75" hidden="1" customHeight="1" outlineLevel="1">
      <c r="A57" s="70" t="str">
        <f t="shared" si="3"/>
        <v>TC_Creator_Dee_43</v>
      </c>
      <c r="B57" s="72" t="s">
        <v>240</v>
      </c>
      <c r="C57" s="73"/>
      <c r="D57" s="72"/>
      <c r="E57" s="92" t="s">
        <v>241</v>
      </c>
      <c r="F57" s="76" t="s">
        <v>109</v>
      </c>
      <c r="G57" s="76" t="s">
        <v>214</v>
      </c>
      <c r="H57" s="78"/>
      <c r="I57" s="77"/>
      <c r="J57" s="84"/>
      <c r="K57" s="80"/>
      <c r="L57" s="82" t="s">
        <v>12</v>
      </c>
      <c r="M57" s="84"/>
      <c r="N57" s="86"/>
      <c r="O57" s="86"/>
      <c r="P57" s="86"/>
      <c r="Q57" s="86"/>
      <c r="R57" s="86"/>
      <c r="S57" s="86"/>
      <c r="T57" s="86"/>
    </row>
    <row r="58" ht="42.75" hidden="1" customHeight="1" outlineLevel="1">
      <c r="A58" s="101" t="s">
        <v>216</v>
      </c>
      <c r="B58" s="10"/>
      <c r="C58" s="102"/>
      <c r="D58" s="103"/>
      <c r="E58" s="103"/>
      <c r="F58" s="103"/>
      <c r="G58" s="104"/>
      <c r="H58" s="104"/>
      <c r="I58" s="104"/>
      <c r="J58" s="104"/>
      <c r="K58" s="104"/>
      <c r="L58" s="104"/>
      <c r="M58" s="104"/>
      <c r="N58" s="86"/>
      <c r="O58" s="86"/>
      <c r="P58" s="86"/>
      <c r="Q58" s="86"/>
      <c r="R58" s="86"/>
      <c r="S58" s="86"/>
      <c r="T58" s="86"/>
    </row>
    <row r="59" ht="123.75" hidden="1" customHeight="1" outlineLevel="1">
      <c r="A59" s="70" t="str">
        <f t="shared" ref="A59:A66" si="4">"TC_Creator_Dee_"&amp;(ROW()-ROW($A$12)+1-4)</f>
        <v>TC_Creator_Dee_44</v>
      </c>
      <c r="B59" s="72" t="s">
        <v>252</v>
      </c>
      <c r="C59" s="73"/>
      <c r="D59" s="72"/>
      <c r="E59" s="92" t="s">
        <v>227</v>
      </c>
      <c r="F59" s="76" t="s">
        <v>109</v>
      </c>
      <c r="G59" s="76" t="s">
        <v>57</v>
      </c>
      <c r="H59" s="78"/>
      <c r="I59" s="77"/>
      <c r="J59" s="84"/>
      <c r="K59" s="80"/>
      <c r="L59" s="82" t="s">
        <v>12</v>
      </c>
      <c r="M59" s="84"/>
      <c r="N59" s="86"/>
      <c r="O59" s="86"/>
      <c r="P59" s="86"/>
      <c r="Q59" s="86"/>
      <c r="R59" s="86"/>
      <c r="S59" s="86"/>
      <c r="T59" s="86"/>
    </row>
    <row r="60" ht="123.75" hidden="1" customHeight="1" outlineLevel="1">
      <c r="A60" s="70" t="str">
        <f t="shared" si="4"/>
        <v>TC_Creator_Dee_45</v>
      </c>
      <c r="B60" s="72" t="s">
        <v>257</v>
      </c>
      <c r="C60" s="73"/>
      <c r="D60" s="72"/>
      <c r="E60" s="92" t="s">
        <v>258</v>
      </c>
      <c r="F60" s="76" t="s">
        <v>109</v>
      </c>
      <c r="G60" s="76" t="s">
        <v>57</v>
      </c>
      <c r="H60" s="78"/>
      <c r="I60" s="77"/>
      <c r="J60" s="84"/>
      <c r="K60" s="80"/>
      <c r="L60" s="82" t="s">
        <v>12</v>
      </c>
      <c r="M60" s="84"/>
      <c r="N60" s="86"/>
      <c r="O60" s="86"/>
      <c r="P60" s="86"/>
      <c r="Q60" s="86"/>
      <c r="R60" s="86"/>
      <c r="S60" s="86"/>
      <c r="T60" s="86"/>
    </row>
    <row r="61" ht="123.75" hidden="1" customHeight="1" outlineLevel="1">
      <c r="A61" s="70" t="str">
        <f t="shared" si="4"/>
        <v>TC_Creator_Dee_46</v>
      </c>
      <c r="B61" s="72" t="s">
        <v>263</v>
      </c>
      <c r="C61" s="73"/>
      <c r="D61" s="72"/>
      <c r="E61" s="78"/>
      <c r="F61" s="76" t="s">
        <v>56</v>
      </c>
      <c r="G61" s="76" t="s">
        <v>57</v>
      </c>
      <c r="H61" s="78"/>
      <c r="I61" s="77"/>
      <c r="J61" s="84"/>
      <c r="K61" s="80"/>
      <c r="L61" s="82" t="s">
        <v>12</v>
      </c>
      <c r="M61" s="84"/>
      <c r="N61" s="86"/>
      <c r="O61" s="86"/>
      <c r="P61" s="86"/>
      <c r="Q61" s="86"/>
      <c r="R61" s="86"/>
      <c r="S61" s="86"/>
      <c r="T61" s="86"/>
    </row>
    <row r="62" ht="123.75" hidden="1" customHeight="1" outlineLevel="1">
      <c r="A62" s="70" t="str">
        <f t="shared" si="4"/>
        <v>TC_Creator_Dee_47</v>
      </c>
      <c r="B62" s="72" t="s">
        <v>270</v>
      </c>
      <c r="C62" s="73"/>
      <c r="D62" s="72"/>
      <c r="E62" s="78"/>
      <c r="F62" s="76" t="s">
        <v>56</v>
      </c>
      <c r="G62" s="76" t="s">
        <v>57</v>
      </c>
      <c r="H62" s="78"/>
      <c r="I62" s="77"/>
      <c r="J62" s="84"/>
      <c r="K62" s="80"/>
      <c r="L62" s="82" t="s">
        <v>12</v>
      </c>
      <c r="M62" s="84"/>
      <c r="N62" s="86"/>
      <c r="O62" s="86"/>
      <c r="P62" s="86"/>
      <c r="Q62" s="86"/>
      <c r="R62" s="86"/>
      <c r="S62" s="86"/>
      <c r="T62" s="86"/>
    </row>
    <row r="63" ht="123.75" hidden="1" customHeight="1" outlineLevel="1">
      <c r="A63" s="70" t="str">
        <f t="shared" si="4"/>
        <v>TC_Creator_Dee_48</v>
      </c>
      <c r="B63" s="72" t="s">
        <v>275</v>
      </c>
      <c r="C63" s="73"/>
      <c r="D63" s="72"/>
      <c r="E63" s="92" t="s">
        <v>276</v>
      </c>
      <c r="F63" s="76" t="s">
        <v>56</v>
      </c>
      <c r="G63" s="76" t="s">
        <v>57</v>
      </c>
      <c r="H63" s="78"/>
      <c r="I63" s="77"/>
      <c r="J63" s="84"/>
      <c r="K63" s="80"/>
      <c r="L63" s="82" t="s">
        <v>12</v>
      </c>
      <c r="M63" s="84"/>
      <c r="N63" s="86"/>
      <c r="O63" s="86"/>
      <c r="P63" s="86"/>
      <c r="Q63" s="86"/>
      <c r="R63" s="86"/>
      <c r="S63" s="86"/>
      <c r="T63" s="86"/>
    </row>
    <row r="64" ht="123.75" hidden="1" customHeight="1" outlineLevel="1">
      <c r="A64" s="70" t="str">
        <f t="shared" si="4"/>
        <v>TC_Creator_Dee_49</v>
      </c>
      <c r="B64" s="72" t="s">
        <v>281</v>
      </c>
      <c r="C64" s="73"/>
      <c r="D64" s="72"/>
      <c r="E64" s="92" t="s">
        <v>276</v>
      </c>
      <c r="F64" s="76" t="s">
        <v>56</v>
      </c>
      <c r="G64" s="76" t="s">
        <v>57</v>
      </c>
      <c r="H64" s="78"/>
      <c r="I64" s="77"/>
      <c r="J64" s="84"/>
      <c r="K64" s="80"/>
      <c r="L64" s="82" t="s">
        <v>12</v>
      </c>
      <c r="M64" s="84"/>
      <c r="N64" s="86"/>
      <c r="O64" s="86"/>
      <c r="P64" s="86"/>
      <c r="Q64" s="86"/>
      <c r="R64" s="86"/>
      <c r="S64" s="86"/>
      <c r="T64" s="86"/>
    </row>
    <row r="65" ht="123.75" hidden="1" customHeight="1" outlineLevel="1">
      <c r="A65" s="70" t="str">
        <f t="shared" si="4"/>
        <v>TC_Creator_Dee_50</v>
      </c>
      <c r="B65" s="72" t="s">
        <v>286</v>
      </c>
      <c r="C65" s="73"/>
      <c r="D65" s="72"/>
      <c r="E65" s="78"/>
      <c r="F65" s="76" t="s">
        <v>56</v>
      </c>
      <c r="G65" s="76" t="s">
        <v>57</v>
      </c>
      <c r="H65" s="78"/>
      <c r="I65" s="77"/>
      <c r="J65" s="84"/>
      <c r="K65" s="80"/>
      <c r="L65" s="82" t="s">
        <v>12</v>
      </c>
      <c r="M65" s="84"/>
      <c r="N65" s="86"/>
      <c r="O65" s="86"/>
      <c r="P65" s="86"/>
      <c r="Q65" s="86"/>
      <c r="R65" s="86"/>
      <c r="S65" s="86"/>
      <c r="T65" s="86"/>
    </row>
    <row r="66" ht="123.75" hidden="1" customHeight="1" outlineLevel="1">
      <c r="A66" s="70" t="str">
        <f t="shared" si="4"/>
        <v>TC_Creator_Dee_51</v>
      </c>
      <c r="B66" s="72" t="s">
        <v>291</v>
      </c>
      <c r="C66" s="73"/>
      <c r="D66" s="72"/>
      <c r="E66" s="78"/>
      <c r="F66" s="76" t="s">
        <v>56</v>
      </c>
      <c r="G66" s="76" t="s">
        <v>57</v>
      </c>
      <c r="H66" s="78"/>
      <c r="I66" s="77"/>
      <c r="J66" s="84"/>
      <c r="K66" s="80"/>
      <c r="L66" s="82" t="s">
        <v>12</v>
      </c>
      <c r="M66" s="84"/>
      <c r="N66" s="86"/>
      <c r="O66" s="86"/>
      <c r="P66" s="86"/>
      <c r="Q66" s="86"/>
      <c r="R66" s="86"/>
      <c r="S66" s="86"/>
      <c r="T66" s="86"/>
    </row>
    <row r="67" ht="30.0" hidden="1" customHeight="1" outlineLevel="1">
      <c r="A67" s="101" t="s">
        <v>297</v>
      </c>
      <c r="B67" s="10"/>
      <c r="C67" s="102"/>
      <c r="D67" s="103"/>
      <c r="E67" s="103"/>
      <c r="F67" s="103"/>
      <c r="G67" s="104"/>
      <c r="H67" s="104"/>
      <c r="I67" s="104"/>
      <c r="J67" s="104"/>
      <c r="K67" s="104"/>
      <c r="L67" s="104"/>
      <c r="M67" s="104"/>
      <c r="N67" s="86"/>
      <c r="O67" s="86"/>
      <c r="P67" s="86"/>
      <c r="Q67" s="86"/>
      <c r="R67" s="86"/>
      <c r="S67" s="86"/>
      <c r="T67" s="86"/>
    </row>
    <row r="68" ht="123.75" hidden="1" customHeight="1" outlineLevel="1">
      <c r="A68" s="70" t="str">
        <f t="shared" ref="A68:A102" si="5">"TC_Creator_Dee_"&amp;(ROW()-ROW($A$12)+1-5)</f>
        <v>TC_Creator_Dee_52</v>
      </c>
      <c r="B68" s="72" t="s">
        <v>301</v>
      </c>
      <c r="C68" s="73"/>
      <c r="D68" s="72"/>
      <c r="E68" s="92" t="s">
        <v>302</v>
      </c>
      <c r="F68" s="76" t="s">
        <v>56</v>
      </c>
      <c r="G68" s="76" t="s">
        <v>57</v>
      </c>
      <c r="H68" s="78"/>
      <c r="I68" s="77"/>
      <c r="J68" s="84"/>
      <c r="K68" s="80"/>
      <c r="L68" s="82" t="s">
        <v>12</v>
      </c>
      <c r="M68" s="84"/>
      <c r="N68" s="86"/>
      <c r="O68" s="86"/>
      <c r="P68" s="86"/>
      <c r="Q68" s="86"/>
      <c r="R68" s="86"/>
      <c r="S68" s="86"/>
      <c r="T68" s="86"/>
    </row>
    <row r="69" ht="123.75" hidden="1" customHeight="1" outlineLevel="1">
      <c r="A69" s="70" t="str">
        <f t="shared" si="5"/>
        <v>TC_Creator_Dee_53</v>
      </c>
      <c r="B69" s="72" t="s">
        <v>304</v>
      </c>
      <c r="C69" s="73"/>
      <c r="D69" s="72"/>
      <c r="E69" s="92" t="s">
        <v>306</v>
      </c>
      <c r="F69" s="76" t="s">
        <v>56</v>
      </c>
      <c r="G69" s="76" t="s">
        <v>57</v>
      </c>
      <c r="H69" s="78"/>
      <c r="I69" s="77"/>
      <c r="J69" s="84"/>
      <c r="K69" s="80"/>
      <c r="L69" s="82" t="s">
        <v>12</v>
      </c>
      <c r="M69" s="84"/>
      <c r="N69" s="86"/>
      <c r="O69" s="86"/>
      <c r="P69" s="86"/>
      <c r="Q69" s="86"/>
      <c r="R69" s="86"/>
      <c r="S69" s="86"/>
      <c r="T69" s="86"/>
    </row>
    <row r="70" ht="123.75" hidden="1" customHeight="1" outlineLevel="1">
      <c r="A70" s="70" t="str">
        <f t="shared" si="5"/>
        <v>TC_Creator_Dee_54</v>
      </c>
      <c r="B70" s="72" t="s">
        <v>312</v>
      </c>
      <c r="C70" s="73"/>
      <c r="D70" s="72"/>
      <c r="E70" s="92" t="s">
        <v>313</v>
      </c>
      <c r="F70" s="76" t="s">
        <v>56</v>
      </c>
      <c r="G70" s="76" t="s">
        <v>57</v>
      </c>
      <c r="H70" s="78"/>
      <c r="I70" s="77"/>
      <c r="J70" s="84"/>
      <c r="K70" s="80"/>
      <c r="L70" s="82" t="s">
        <v>12</v>
      </c>
      <c r="M70" s="84"/>
      <c r="N70" s="86"/>
      <c r="O70" s="86"/>
      <c r="P70" s="86"/>
      <c r="Q70" s="86"/>
      <c r="R70" s="86"/>
      <c r="S70" s="86"/>
      <c r="T70" s="86"/>
    </row>
    <row r="71" ht="123.75" hidden="1" customHeight="1" outlineLevel="1">
      <c r="A71" s="70" t="str">
        <f t="shared" si="5"/>
        <v>TC_Creator_Dee_55</v>
      </c>
      <c r="B71" s="72" t="s">
        <v>317</v>
      </c>
      <c r="C71" s="73"/>
      <c r="D71" s="72"/>
      <c r="E71" s="92" t="s">
        <v>318</v>
      </c>
      <c r="F71" s="76" t="s">
        <v>56</v>
      </c>
      <c r="G71" s="76" t="s">
        <v>57</v>
      </c>
      <c r="H71" s="78"/>
      <c r="I71" s="77"/>
      <c r="J71" s="84"/>
      <c r="K71" s="80"/>
      <c r="L71" s="82" t="s">
        <v>12</v>
      </c>
      <c r="M71" s="84"/>
      <c r="N71" s="86"/>
      <c r="O71" s="86"/>
      <c r="P71" s="86"/>
      <c r="Q71" s="86"/>
      <c r="R71" s="86"/>
      <c r="S71" s="86"/>
      <c r="T71" s="86"/>
    </row>
    <row r="72" ht="123.75" hidden="1" customHeight="1" outlineLevel="1">
      <c r="A72" s="70" t="str">
        <f t="shared" si="5"/>
        <v>TC_Creator_Dee_56</v>
      </c>
      <c r="B72" s="72" t="s">
        <v>322</v>
      </c>
      <c r="C72" s="73"/>
      <c r="D72" s="72"/>
      <c r="E72" s="92" t="s">
        <v>323</v>
      </c>
      <c r="F72" s="76" t="s">
        <v>56</v>
      </c>
      <c r="G72" s="76" t="s">
        <v>57</v>
      </c>
      <c r="H72" s="78"/>
      <c r="I72" s="77"/>
      <c r="J72" s="84"/>
      <c r="K72" s="80"/>
      <c r="L72" s="82" t="s">
        <v>12</v>
      </c>
      <c r="M72" s="84"/>
      <c r="N72" s="86"/>
      <c r="O72" s="86"/>
      <c r="P72" s="86"/>
      <c r="Q72" s="86"/>
      <c r="R72" s="86"/>
      <c r="S72" s="86"/>
      <c r="T72" s="86"/>
    </row>
    <row r="73" ht="123.75" hidden="1" customHeight="1" outlineLevel="1">
      <c r="A73" s="70" t="str">
        <f t="shared" si="5"/>
        <v>TC_Creator_Dee_57</v>
      </c>
      <c r="B73" s="72" t="s">
        <v>326</v>
      </c>
      <c r="C73" s="73"/>
      <c r="D73" s="72"/>
      <c r="E73" s="92" t="s">
        <v>327</v>
      </c>
      <c r="F73" s="76" t="s">
        <v>56</v>
      </c>
      <c r="G73" s="76" t="s">
        <v>101</v>
      </c>
      <c r="H73" s="78"/>
      <c r="I73" s="77"/>
      <c r="J73" s="84"/>
      <c r="K73" s="80"/>
      <c r="L73" s="82" t="s">
        <v>12</v>
      </c>
      <c r="M73" s="84"/>
      <c r="N73" s="86"/>
      <c r="O73" s="86"/>
      <c r="P73" s="86"/>
      <c r="Q73" s="86"/>
      <c r="R73" s="86"/>
      <c r="S73" s="86"/>
      <c r="T73" s="86"/>
    </row>
    <row r="74" ht="123.75" hidden="1" customHeight="1" outlineLevel="1">
      <c r="A74" s="70" t="str">
        <f t="shared" si="5"/>
        <v>TC_Creator_Dee_58</v>
      </c>
      <c r="B74" s="72" t="s">
        <v>330</v>
      </c>
      <c r="C74" s="73"/>
      <c r="D74" s="72"/>
      <c r="E74" s="92" t="s">
        <v>332</v>
      </c>
      <c r="F74" s="76" t="s">
        <v>56</v>
      </c>
      <c r="G74" s="76" t="s">
        <v>101</v>
      </c>
      <c r="H74" s="78"/>
      <c r="I74" s="77"/>
      <c r="J74" s="84"/>
      <c r="K74" s="80"/>
      <c r="L74" s="82" t="s">
        <v>12</v>
      </c>
      <c r="M74" s="84"/>
      <c r="N74" s="86"/>
      <c r="O74" s="86"/>
      <c r="P74" s="86"/>
      <c r="Q74" s="86"/>
      <c r="R74" s="86"/>
      <c r="S74" s="86"/>
      <c r="T74" s="86"/>
    </row>
    <row r="75" ht="123.75" hidden="1" customHeight="1" outlineLevel="1">
      <c r="A75" s="70" t="str">
        <f t="shared" si="5"/>
        <v>TC_Creator_Dee_59</v>
      </c>
      <c r="B75" s="72" t="s">
        <v>335</v>
      </c>
      <c r="C75" s="73"/>
      <c r="D75" s="72"/>
      <c r="E75" s="78"/>
      <c r="F75" s="76" t="s">
        <v>56</v>
      </c>
      <c r="G75" s="76" t="s">
        <v>101</v>
      </c>
      <c r="H75" s="78"/>
      <c r="I75" s="77"/>
      <c r="J75" s="84"/>
      <c r="K75" s="80"/>
      <c r="L75" s="82" t="s">
        <v>12</v>
      </c>
      <c r="M75" s="84"/>
      <c r="N75" s="86"/>
      <c r="O75" s="86"/>
      <c r="P75" s="86"/>
      <c r="Q75" s="86"/>
      <c r="R75" s="86"/>
      <c r="S75" s="86"/>
      <c r="T75" s="86"/>
    </row>
    <row r="76" ht="123.75" hidden="1" customHeight="1" outlineLevel="1">
      <c r="A76" s="70" t="str">
        <f t="shared" si="5"/>
        <v>TC_Creator_Dee_60</v>
      </c>
      <c r="B76" s="72" t="s">
        <v>339</v>
      </c>
      <c r="C76" s="73"/>
      <c r="D76" s="72"/>
      <c r="E76" s="78"/>
      <c r="F76" s="76" t="s">
        <v>56</v>
      </c>
      <c r="G76" s="76" t="s">
        <v>101</v>
      </c>
      <c r="H76" s="78"/>
      <c r="I76" s="77"/>
      <c r="J76" s="84"/>
      <c r="K76" s="80"/>
      <c r="L76" s="82" t="s">
        <v>12</v>
      </c>
      <c r="M76" s="84"/>
      <c r="N76" s="86"/>
      <c r="O76" s="86"/>
      <c r="P76" s="86"/>
      <c r="Q76" s="86"/>
      <c r="R76" s="86"/>
      <c r="S76" s="86"/>
      <c r="T76" s="86"/>
    </row>
    <row r="77" ht="123.75" hidden="1" customHeight="1" outlineLevel="1">
      <c r="A77" s="108" t="str">
        <f t="shared" si="5"/>
        <v>TC_Creator_Dee_61</v>
      </c>
      <c r="B77" s="72" t="s">
        <v>343</v>
      </c>
      <c r="C77" s="73"/>
      <c r="D77" s="72"/>
      <c r="E77" s="78"/>
      <c r="F77" s="76" t="s">
        <v>56</v>
      </c>
      <c r="G77" s="76" t="s">
        <v>101</v>
      </c>
      <c r="H77" s="78"/>
      <c r="I77" s="77"/>
      <c r="J77" s="84"/>
      <c r="K77" s="80"/>
      <c r="L77" s="82" t="s">
        <v>12</v>
      </c>
      <c r="M77" s="84"/>
      <c r="N77" s="86"/>
      <c r="O77" s="86"/>
      <c r="P77" s="86"/>
      <c r="Q77" s="86"/>
      <c r="R77" s="86"/>
      <c r="S77" s="86"/>
      <c r="T77" s="86"/>
    </row>
    <row r="78" ht="123.75" hidden="1" customHeight="1" outlineLevel="1">
      <c r="A78" s="108" t="str">
        <f t="shared" si="5"/>
        <v>TC_Creator_Dee_62</v>
      </c>
      <c r="B78" s="72" t="s">
        <v>344</v>
      </c>
      <c r="C78" s="73"/>
      <c r="D78" s="72"/>
      <c r="E78" s="78"/>
      <c r="F78" s="76" t="s">
        <v>56</v>
      </c>
      <c r="G78" s="76" t="s">
        <v>101</v>
      </c>
      <c r="H78" s="78"/>
      <c r="I78" s="77"/>
      <c r="J78" s="84"/>
      <c r="K78" s="80"/>
      <c r="L78" s="82" t="s">
        <v>12</v>
      </c>
      <c r="M78" s="84"/>
      <c r="N78" s="86"/>
      <c r="O78" s="86"/>
      <c r="P78" s="86"/>
      <c r="Q78" s="86"/>
      <c r="R78" s="86"/>
      <c r="S78" s="86"/>
      <c r="T78" s="86"/>
    </row>
    <row r="79" ht="123.75" hidden="1" customHeight="1" outlineLevel="1">
      <c r="A79" s="108" t="str">
        <f t="shared" si="5"/>
        <v>TC_Creator_Dee_63</v>
      </c>
      <c r="B79" s="121" t="s">
        <v>348</v>
      </c>
      <c r="C79" s="73"/>
      <c r="D79" s="72"/>
      <c r="E79" s="78"/>
      <c r="F79" s="76" t="s">
        <v>56</v>
      </c>
      <c r="G79" s="76" t="s">
        <v>101</v>
      </c>
      <c r="H79" s="78"/>
      <c r="I79" s="77"/>
      <c r="J79" s="84"/>
      <c r="K79" s="80"/>
      <c r="L79" s="82" t="s">
        <v>12</v>
      </c>
      <c r="M79" s="84"/>
      <c r="N79" s="86"/>
      <c r="O79" s="86"/>
      <c r="P79" s="86"/>
      <c r="Q79" s="86"/>
      <c r="R79" s="86"/>
      <c r="S79" s="86"/>
      <c r="T79" s="86"/>
    </row>
    <row r="80" ht="123.75" hidden="1" customHeight="1" outlineLevel="1">
      <c r="A80" s="108" t="str">
        <f t="shared" si="5"/>
        <v>TC_Creator_Dee_64</v>
      </c>
      <c r="B80" s="72" t="s">
        <v>353</v>
      </c>
      <c r="C80" s="73"/>
      <c r="D80" s="72"/>
      <c r="E80" s="78"/>
      <c r="F80" s="76" t="s">
        <v>56</v>
      </c>
      <c r="G80" s="76" t="s">
        <v>101</v>
      </c>
      <c r="H80" s="78"/>
      <c r="I80" s="77"/>
      <c r="J80" s="84"/>
      <c r="K80" s="80"/>
      <c r="L80" s="82" t="s">
        <v>12</v>
      </c>
      <c r="M80" s="84"/>
      <c r="N80" s="86"/>
      <c r="O80" s="86"/>
      <c r="P80" s="86"/>
      <c r="Q80" s="86"/>
      <c r="R80" s="86"/>
      <c r="S80" s="86"/>
      <c r="T80" s="86"/>
    </row>
    <row r="81" ht="123.75" hidden="1" customHeight="1" outlineLevel="1">
      <c r="A81" s="108" t="str">
        <f t="shared" si="5"/>
        <v>TC_Creator_Dee_65</v>
      </c>
      <c r="B81" s="72" t="s">
        <v>357</v>
      </c>
      <c r="C81" s="73"/>
      <c r="D81" s="72"/>
      <c r="E81" s="78"/>
      <c r="F81" s="76" t="s">
        <v>56</v>
      </c>
      <c r="G81" s="76" t="s">
        <v>101</v>
      </c>
      <c r="H81" s="78"/>
      <c r="I81" s="77"/>
      <c r="J81" s="84"/>
      <c r="K81" s="80"/>
      <c r="L81" s="82" t="s">
        <v>12</v>
      </c>
      <c r="M81" s="84"/>
      <c r="N81" s="86"/>
      <c r="O81" s="86"/>
      <c r="P81" s="86"/>
      <c r="Q81" s="86"/>
      <c r="R81" s="86"/>
      <c r="S81" s="86"/>
      <c r="T81" s="86"/>
    </row>
    <row r="82" ht="123.75" hidden="1" customHeight="1" outlineLevel="1">
      <c r="A82" s="108" t="str">
        <f t="shared" si="5"/>
        <v>TC_Creator_Dee_66</v>
      </c>
      <c r="B82" s="72" t="s">
        <v>360</v>
      </c>
      <c r="C82" s="73"/>
      <c r="D82" s="72"/>
      <c r="E82" s="78"/>
      <c r="F82" s="76" t="s">
        <v>56</v>
      </c>
      <c r="G82" s="76" t="s">
        <v>101</v>
      </c>
      <c r="H82" s="78"/>
      <c r="I82" s="77"/>
      <c r="J82" s="84"/>
      <c r="K82" s="80"/>
      <c r="L82" s="82" t="s">
        <v>12</v>
      </c>
      <c r="M82" s="84"/>
      <c r="N82" s="86"/>
      <c r="O82" s="86"/>
      <c r="P82" s="86"/>
      <c r="Q82" s="86"/>
      <c r="R82" s="86"/>
      <c r="S82" s="86"/>
      <c r="T82" s="86"/>
    </row>
    <row r="83" ht="123.75" hidden="1" customHeight="1" outlineLevel="1">
      <c r="A83" s="108" t="str">
        <f t="shared" si="5"/>
        <v>TC_Creator_Dee_67</v>
      </c>
      <c r="B83" s="72" t="s">
        <v>364</v>
      </c>
      <c r="C83" s="73"/>
      <c r="D83" s="72" t="s">
        <v>365</v>
      </c>
      <c r="E83" s="78"/>
      <c r="F83" s="76" t="s">
        <v>56</v>
      </c>
      <c r="G83" s="76" t="s">
        <v>101</v>
      </c>
      <c r="H83" s="78"/>
      <c r="I83" s="77"/>
      <c r="J83" s="84"/>
      <c r="K83" s="80"/>
      <c r="L83" s="82" t="s">
        <v>12</v>
      </c>
      <c r="M83" s="84"/>
      <c r="N83" s="86"/>
      <c r="O83" s="86"/>
      <c r="P83" s="86"/>
      <c r="Q83" s="86"/>
      <c r="R83" s="86"/>
      <c r="S83" s="86"/>
      <c r="T83" s="86"/>
    </row>
    <row r="84" ht="123.75" hidden="1" customHeight="1" outlineLevel="1">
      <c r="A84" s="108" t="str">
        <f t="shared" si="5"/>
        <v>TC_Creator_Dee_68</v>
      </c>
      <c r="B84" s="72" t="s">
        <v>369</v>
      </c>
      <c r="C84" s="73"/>
      <c r="D84" s="72"/>
      <c r="E84" s="78"/>
      <c r="F84" s="76" t="s">
        <v>56</v>
      </c>
      <c r="G84" s="76" t="s">
        <v>101</v>
      </c>
      <c r="H84" s="78"/>
      <c r="I84" s="77"/>
      <c r="J84" s="84"/>
      <c r="K84" s="80"/>
      <c r="L84" s="82" t="s">
        <v>12</v>
      </c>
      <c r="M84" s="84"/>
      <c r="N84" s="86"/>
      <c r="O84" s="86"/>
      <c r="P84" s="86"/>
      <c r="Q84" s="86"/>
      <c r="R84" s="86"/>
      <c r="S84" s="86"/>
      <c r="T84" s="86"/>
    </row>
    <row r="85" ht="123.75" hidden="1" customHeight="1" outlineLevel="1">
      <c r="A85" s="70" t="str">
        <f t="shared" si="5"/>
        <v>TC_Creator_Dee_69</v>
      </c>
      <c r="B85" s="72" t="s">
        <v>373</v>
      </c>
      <c r="C85" s="73"/>
      <c r="D85" s="72"/>
      <c r="E85" s="78"/>
      <c r="F85" s="76" t="s">
        <v>56</v>
      </c>
      <c r="G85" s="76" t="s">
        <v>101</v>
      </c>
      <c r="H85" s="78"/>
      <c r="I85" s="77"/>
      <c r="J85" s="84"/>
      <c r="K85" s="80"/>
      <c r="L85" s="82" t="s">
        <v>12</v>
      </c>
      <c r="M85" s="84"/>
      <c r="N85" s="86"/>
      <c r="O85" s="86"/>
      <c r="P85" s="86"/>
      <c r="Q85" s="86"/>
      <c r="R85" s="86"/>
      <c r="S85" s="86"/>
      <c r="T85" s="86"/>
    </row>
    <row r="86" ht="123.75" hidden="1" customHeight="1" outlineLevel="1">
      <c r="A86" s="70" t="str">
        <f t="shared" si="5"/>
        <v>TC_Creator_Dee_70</v>
      </c>
      <c r="B86" s="72" t="s">
        <v>378</v>
      </c>
      <c r="C86" s="73"/>
      <c r="D86" s="72"/>
      <c r="E86" s="78"/>
      <c r="F86" s="76" t="s">
        <v>56</v>
      </c>
      <c r="G86" s="76" t="s">
        <v>101</v>
      </c>
      <c r="H86" s="78"/>
      <c r="I86" s="77"/>
      <c r="J86" s="84"/>
      <c r="K86" s="80"/>
      <c r="L86" s="82" t="s">
        <v>12</v>
      </c>
      <c r="M86" s="84"/>
      <c r="N86" s="86"/>
      <c r="O86" s="86"/>
      <c r="P86" s="86"/>
      <c r="Q86" s="86"/>
      <c r="R86" s="86"/>
      <c r="S86" s="86"/>
      <c r="T86" s="86"/>
    </row>
    <row r="87" ht="123.75" hidden="1" customHeight="1" outlineLevel="1">
      <c r="A87" s="70" t="str">
        <f t="shared" si="5"/>
        <v>TC_Creator_Dee_71</v>
      </c>
      <c r="B87" s="72" t="s">
        <v>382</v>
      </c>
      <c r="C87" s="73"/>
      <c r="D87" s="72"/>
      <c r="E87" s="78"/>
      <c r="F87" s="76" t="s">
        <v>56</v>
      </c>
      <c r="G87" s="76" t="s">
        <v>101</v>
      </c>
      <c r="H87" s="78"/>
      <c r="I87" s="77"/>
      <c r="J87" s="84"/>
      <c r="K87" s="80"/>
      <c r="L87" s="82" t="s">
        <v>12</v>
      </c>
      <c r="M87" s="84"/>
      <c r="N87" s="86"/>
      <c r="O87" s="86"/>
      <c r="P87" s="86"/>
      <c r="Q87" s="86"/>
      <c r="R87" s="86"/>
      <c r="S87" s="86"/>
      <c r="T87" s="86"/>
    </row>
    <row r="88" ht="123.75" hidden="1" customHeight="1" outlineLevel="1">
      <c r="A88" s="70" t="str">
        <f t="shared" si="5"/>
        <v>TC_Creator_Dee_72</v>
      </c>
      <c r="B88" s="72" t="s">
        <v>387</v>
      </c>
      <c r="C88" s="73"/>
      <c r="D88" s="72"/>
      <c r="E88" s="78"/>
      <c r="F88" s="76" t="s">
        <v>56</v>
      </c>
      <c r="G88" s="76" t="s">
        <v>101</v>
      </c>
      <c r="H88" s="78"/>
      <c r="I88" s="77"/>
      <c r="J88" s="84"/>
      <c r="K88" s="80"/>
      <c r="L88" s="82" t="s">
        <v>12</v>
      </c>
      <c r="M88" s="84"/>
      <c r="N88" s="86"/>
      <c r="O88" s="86"/>
      <c r="P88" s="86"/>
      <c r="Q88" s="86"/>
      <c r="R88" s="86"/>
      <c r="S88" s="86"/>
      <c r="T88" s="86"/>
    </row>
    <row r="89" ht="123.75" hidden="1" customHeight="1" outlineLevel="1">
      <c r="A89" s="70" t="str">
        <f t="shared" si="5"/>
        <v>TC_Creator_Dee_73</v>
      </c>
      <c r="B89" s="72" t="s">
        <v>392</v>
      </c>
      <c r="C89" s="73"/>
      <c r="D89" s="72"/>
      <c r="E89" s="92" t="s">
        <v>393</v>
      </c>
      <c r="F89" s="76" t="s">
        <v>56</v>
      </c>
      <c r="G89" s="76" t="s">
        <v>101</v>
      </c>
      <c r="H89" s="78"/>
      <c r="I89" s="77"/>
      <c r="J89" s="84"/>
      <c r="K89" s="80"/>
      <c r="L89" s="82" t="s">
        <v>12</v>
      </c>
      <c r="M89" s="84"/>
      <c r="N89" s="86"/>
      <c r="O89" s="86"/>
      <c r="P89" s="86"/>
      <c r="Q89" s="86"/>
      <c r="R89" s="86"/>
      <c r="S89" s="86"/>
      <c r="T89" s="86"/>
    </row>
    <row r="90" ht="123.75" hidden="1" customHeight="1" outlineLevel="1">
      <c r="A90" s="120" t="str">
        <f t="shared" si="5"/>
        <v>TC_Creator_Dee_74</v>
      </c>
      <c r="B90" s="72" t="s">
        <v>398</v>
      </c>
      <c r="C90" s="73"/>
      <c r="D90" s="72"/>
      <c r="E90" s="78"/>
      <c r="F90" s="76" t="s">
        <v>56</v>
      </c>
      <c r="G90" s="76" t="s">
        <v>101</v>
      </c>
      <c r="H90" s="78"/>
      <c r="I90" s="77"/>
      <c r="J90" s="84"/>
      <c r="K90" s="80"/>
      <c r="L90" s="82" t="s">
        <v>12</v>
      </c>
      <c r="M90" s="84"/>
      <c r="N90" s="86"/>
      <c r="O90" s="86"/>
      <c r="P90" s="86"/>
      <c r="Q90" s="86"/>
      <c r="R90" s="86"/>
      <c r="S90" s="86"/>
      <c r="T90" s="86"/>
    </row>
    <row r="91" ht="123.75" hidden="1" customHeight="1" outlineLevel="1">
      <c r="A91" s="70" t="str">
        <f t="shared" si="5"/>
        <v>TC_Creator_Dee_75</v>
      </c>
      <c r="B91" s="72" t="s">
        <v>403</v>
      </c>
      <c r="C91" s="73"/>
      <c r="D91" s="72"/>
      <c r="E91" s="78"/>
      <c r="F91" s="76" t="s">
        <v>56</v>
      </c>
      <c r="G91" s="76" t="s">
        <v>101</v>
      </c>
      <c r="H91" s="78"/>
      <c r="I91" s="77"/>
      <c r="J91" s="84"/>
      <c r="K91" s="80"/>
      <c r="L91" s="82" t="s">
        <v>12</v>
      </c>
      <c r="M91" s="84"/>
      <c r="N91" s="86"/>
      <c r="O91" s="86"/>
      <c r="P91" s="86"/>
      <c r="Q91" s="86"/>
      <c r="R91" s="86"/>
      <c r="S91" s="86"/>
      <c r="T91" s="86"/>
    </row>
    <row r="92" ht="123.75" hidden="1" customHeight="1" outlineLevel="1">
      <c r="A92" s="70" t="str">
        <f t="shared" si="5"/>
        <v>TC_Creator_Dee_76</v>
      </c>
      <c r="B92" s="72" t="s">
        <v>407</v>
      </c>
      <c r="C92" s="73"/>
      <c r="D92" s="72"/>
      <c r="E92" s="78"/>
      <c r="F92" s="76" t="s">
        <v>56</v>
      </c>
      <c r="G92" s="76" t="s">
        <v>101</v>
      </c>
      <c r="H92" s="78"/>
      <c r="I92" s="77"/>
      <c r="J92" s="84"/>
      <c r="K92" s="80"/>
      <c r="L92" s="82" t="s">
        <v>12</v>
      </c>
      <c r="M92" s="84"/>
      <c r="N92" s="86"/>
      <c r="O92" s="86"/>
      <c r="P92" s="86"/>
      <c r="Q92" s="86"/>
      <c r="R92" s="86"/>
      <c r="S92" s="86"/>
      <c r="T92" s="86"/>
    </row>
    <row r="93" ht="123.75" hidden="1" customHeight="1" outlineLevel="1">
      <c r="A93" s="70" t="str">
        <f t="shared" si="5"/>
        <v>TC_Creator_Dee_77</v>
      </c>
      <c r="B93" s="72" t="s">
        <v>410</v>
      </c>
      <c r="C93" s="73"/>
      <c r="D93" s="72"/>
      <c r="E93" s="78"/>
      <c r="F93" s="76" t="s">
        <v>56</v>
      </c>
      <c r="G93" s="76" t="s">
        <v>101</v>
      </c>
      <c r="H93" s="78"/>
      <c r="I93" s="77"/>
      <c r="J93" s="84"/>
      <c r="K93" s="80"/>
      <c r="L93" s="82" t="s">
        <v>12</v>
      </c>
      <c r="M93" s="84"/>
      <c r="N93" s="86"/>
      <c r="O93" s="86"/>
      <c r="P93" s="86"/>
      <c r="Q93" s="86"/>
      <c r="R93" s="86"/>
      <c r="S93" s="86"/>
      <c r="T93" s="86"/>
    </row>
    <row r="94" ht="123.75" hidden="1" customHeight="1" outlineLevel="1">
      <c r="A94" s="70" t="str">
        <f t="shared" si="5"/>
        <v>TC_Creator_Dee_78</v>
      </c>
      <c r="B94" s="72" t="s">
        <v>415</v>
      </c>
      <c r="C94" s="73"/>
      <c r="D94" s="72"/>
      <c r="E94" s="78"/>
      <c r="F94" s="76" t="s">
        <v>56</v>
      </c>
      <c r="G94" s="76" t="s">
        <v>101</v>
      </c>
      <c r="H94" s="78"/>
      <c r="I94" s="77"/>
      <c r="J94" s="84"/>
      <c r="K94" s="80"/>
      <c r="L94" s="82" t="s">
        <v>12</v>
      </c>
      <c r="M94" s="84"/>
      <c r="N94" s="86"/>
      <c r="O94" s="86"/>
      <c r="P94" s="86"/>
      <c r="Q94" s="86"/>
      <c r="R94" s="86"/>
      <c r="S94" s="86"/>
      <c r="T94" s="86"/>
    </row>
    <row r="95" ht="123.75" hidden="1" customHeight="1" outlineLevel="1">
      <c r="A95" s="108" t="str">
        <f t="shared" si="5"/>
        <v>TC_Creator_Dee_79</v>
      </c>
      <c r="B95" s="72" t="s">
        <v>418</v>
      </c>
      <c r="C95" s="73"/>
      <c r="D95" s="72"/>
      <c r="E95" s="78"/>
      <c r="F95" s="76" t="s">
        <v>56</v>
      </c>
      <c r="G95" s="76" t="s">
        <v>101</v>
      </c>
      <c r="H95" s="92" t="s">
        <v>419</v>
      </c>
      <c r="I95" s="77"/>
      <c r="J95" s="84"/>
      <c r="K95" s="80"/>
      <c r="L95" s="82" t="s">
        <v>12</v>
      </c>
      <c r="M95" s="84"/>
      <c r="N95" s="86"/>
      <c r="O95" s="86"/>
      <c r="P95" s="86"/>
      <c r="Q95" s="86"/>
      <c r="R95" s="86"/>
      <c r="S95" s="86"/>
      <c r="T95" s="86"/>
    </row>
    <row r="96" ht="123.75" hidden="1" customHeight="1" outlineLevel="1">
      <c r="A96" s="108" t="str">
        <f t="shared" si="5"/>
        <v>TC_Creator_Dee_80</v>
      </c>
      <c r="B96" s="72" t="s">
        <v>423</v>
      </c>
      <c r="C96" s="73"/>
      <c r="D96" s="72"/>
      <c r="E96" s="78"/>
      <c r="F96" s="76" t="s">
        <v>56</v>
      </c>
      <c r="G96" s="76" t="s">
        <v>101</v>
      </c>
      <c r="H96" s="78"/>
      <c r="I96" s="77"/>
      <c r="J96" s="84"/>
      <c r="K96" s="80"/>
      <c r="L96" s="82" t="s">
        <v>12</v>
      </c>
      <c r="M96" s="84"/>
      <c r="N96" s="86"/>
      <c r="O96" s="86"/>
      <c r="P96" s="86"/>
      <c r="Q96" s="86"/>
      <c r="R96" s="86"/>
      <c r="S96" s="86"/>
      <c r="T96" s="86"/>
    </row>
    <row r="97" ht="123.75" hidden="1" customHeight="1" outlineLevel="1">
      <c r="A97" s="108" t="str">
        <f t="shared" si="5"/>
        <v>TC_Creator_Dee_81</v>
      </c>
      <c r="B97" s="72" t="s">
        <v>426</v>
      </c>
      <c r="C97" s="73"/>
      <c r="D97" s="72"/>
      <c r="E97" s="78"/>
      <c r="F97" s="76" t="s">
        <v>56</v>
      </c>
      <c r="G97" s="76" t="s">
        <v>101</v>
      </c>
      <c r="H97" s="78"/>
      <c r="I97" s="77"/>
      <c r="J97" s="84"/>
      <c r="K97" s="80"/>
      <c r="L97" s="82" t="s">
        <v>12</v>
      </c>
      <c r="M97" s="84"/>
      <c r="N97" s="86"/>
      <c r="O97" s="86"/>
      <c r="P97" s="86"/>
      <c r="Q97" s="86"/>
      <c r="R97" s="86"/>
      <c r="S97" s="86"/>
      <c r="T97" s="86"/>
    </row>
    <row r="98" ht="123.75" hidden="1" customHeight="1" outlineLevel="1">
      <c r="A98" s="108" t="str">
        <f t="shared" si="5"/>
        <v>TC_Creator_Dee_82</v>
      </c>
      <c r="B98" s="72" t="s">
        <v>431</v>
      </c>
      <c r="C98" s="73"/>
      <c r="D98" s="72"/>
      <c r="E98" s="78"/>
      <c r="F98" s="76" t="s">
        <v>56</v>
      </c>
      <c r="G98" s="76" t="s">
        <v>101</v>
      </c>
      <c r="H98" s="78"/>
      <c r="I98" s="77"/>
      <c r="J98" s="84"/>
      <c r="K98" s="80"/>
      <c r="L98" s="82" t="s">
        <v>12</v>
      </c>
      <c r="M98" s="84"/>
      <c r="N98" s="86"/>
      <c r="O98" s="86"/>
      <c r="P98" s="86"/>
      <c r="Q98" s="86"/>
      <c r="R98" s="86"/>
      <c r="S98" s="86"/>
      <c r="T98" s="86"/>
    </row>
    <row r="99" ht="123.75" hidden="1" customHeight="1" outlineLevel="1">
      <c r="A99" s="108" t="str">
        <f t="shared" si="5"/>
        <v>TC_Creator_Dee_83</v>
      </c>
      <c r="B99" s="72" t="s">
        <v>435</v>
      </c>
      <c r="C99" s="73"/>
      <c r="D99" s="72"/>
      <c r="E99" s="78"/>
      <c r="F99" s="76" t="s">
        <v>56</v>
      </c>
      <c r="G99" s="76" t="s">
        <v>101</v>
      </c>
      <c r="H99" s="78"/>
      <c r="I99" s="77"/>
      <c r="J99" s="84"/>
      <c r="K99" s="80"/>
      <c r="L99" s="82" t="s">
        <v>12</v>
      </c>
      <c r="M99" s="84"/>
      <c r="N99" s="86"/>
      <c r="O99" s="86"/>
      <c r="P99" s="86"/>
      <c r="Q99" s="86"/>
      <c r="R99" s="86"/>
      <c r="S99" s="86"/>
      <c r="T99" s="86"/>
    </row>
    <row r="100" ht="123.75" hidden="1" customHeight="1" outlineLevel="1">
      <c r="A100" s="108" t="str">
        <f t="shared" si="5"/>
        <v>TC_Creator_Dee_84</v>
      </c>
      <c r="B100" s="72" t="s">
        <v>439</v>
      </c>
      <c r="C100" s="73"/>
      <c r="D100" s="72"/>
      <c r="E100" s="78"/>
      <c r="F100" s="76" t="s">
        <v>56</v>
      </c>
      <c r="G100" s="76" t="s">
        <v>101</v>
      </c>
      <c r="H100" s="78"/>
      <c r="I100" s="77"/>
      <c r="J100" s="84"/>
      <c r="K100" s="80"/>
      <c r="L100" s="82" t="s">
        <v>12</v>
      </c>
      <c r="M100" s="84"/>
      <c r="N100" s="86"/>
      <c r="O100" s="86"/>
      <c r="P100" s="86"/>
      <c r="Q100" s="86"/>
      <c r="R100" s="86"/>
      <c r="S100" s="86"/>
      <c r="T100" s="86"/>
    </row>
    <row r="101" ht="123.75" hidden="1" customHeight="1" outlineLevel="1">
      <c r="A101" s="108" t="str">
        <f t="shared" si="5"/>
        <v>TC_Creator_Dee_85</v>
      </c>
      <c r="B101" s="72" t="s">
        <v>443</v>
      </c>
      <c r="C101" s="73"/>
      <c r="D101" s="72"/>
      <c r="E101" s="78"/>
      <c r="F101" s="76" t="s">
        <v>56</v>
      </c>
      <c r="G101" s="76" t="s">
        <v>101</v>
      </c>
      <c r="H101" s="78"/>
      <c r="I101" s="77"/>
      <c r="J101" s="84"/>
      <c r="K101" s="80"/>
      <c r="L101" s="82" t="s">
        <v>12</v>
      </c>
      <c r="M101" s="84"/>
      <c r="N101" s="86"/>
      <c r="O101" s="86"/>
      <c r="P101" s="86"/>
      <c r="Q101" s="86"/>
      <c r="R101" s="86"/>
      <c r="S101" s="86"/>
      <c r="T101" s="86"/>
    </row>
    <row r="102" ht="123.75" hidden="1" customHeight="1" outlineLevel="1">
      <c r="A102" s="108" t="str">
        <f t="shared" si="5"/>
        <v>TC_Creator_Dee_86</v>
      </c>
      <c r="B102" s="72" t="s">
        <v>447</v>
      </c>
      <c r="C102" s="73"/>
      <c r="D102" s="72"/>
      <c r="E102" s="78"/>
      <c r="F102" s="76" t="s">
        <v>56</v>
      </c>
      <c r="G102" s="76" t="s">
        <v>101</v>
      </c>
      <c r="H102" s="78"/>
      <c r="I102" s="77"/>
      <c r="J102" s="84"/>
      <c r="K102" s="80"/>
      <c r="L102" s="82" t="s">
        <v>12</v>
      </c>
      <c r="M102" s="84"/>
      <c r="N102" s="86"/>
      <c r="O102" s="86"/>
      <c r="P102" s="86"/>
      <c r="Q102" s="86"/>
      <c r="R102" s="86"/>
      <c r="S102" s="86"/>
      <c r="T102" s="86"/>
    </row>
    <row r="103" ht="30.0" hidden="1" customHeight="1" outlineLevel="1">
      <c r="A103" s="101" t="s">
        <v>451</v>
      </c>
      <c r="B103" s="10"/>
      <c r="C103" s="102"/>
      <c r="D103" s="103"/>
      <c r="E103" s="103"/>
      <c r="F103" s="103"/>
      <c r="G103" s="104"/>
      <c r="H103" s="104"/>
      <c r="I103" s="104"/>
      <c r="J103" s="104"/>
      <c r="K103" s="104"/>
      <c r="L103" s="104"/>
      <c r="M103" s="104"/>
      <c r="N103" s="86"/>
      <c r="O103" s="86"/>
      <c r="P103" s="86"/>
      <c r="Q103" s="86"/>
      <c r="R103" s="86"/>
      <c r="S103" s="86"/>
      <c r="T103" s="86"/>
    </row>
    <row r="104" ht="123.75" hidden="1" customHeight="1" outlineLevel="1">
      <c r="A104" s="70" t="str">
        <f t="shared" ref="A104:A109" si="6">"TC_Creator_Dee_"&amp;(ROW()-ROW($A$12)+1-6)</f>
        <v>TC_Creator_Dee_87</v>
      </c>
      <c r="B104" s="72" t="s">
        <v>454</v>
      </c>
      <c r="C104" s="73"/>
      <c r="D104" s="72"/>
      <c r="E104" s="92" t="s">
        <v>456</v>
      </c>
      <c r="F104" s="76" t="s">
        <v>56</v>
      </c>
      <c r="G104" s="76" t="s">
        <v>214</v>
      </c>
      <c r="H104" s="78"/>
      <c r="I104" s="77"/>
      <c r="J104" s="84"/>
      <c r="K104" s="80"/>
      <c r="L104" s="82" t="s">
        <v>12</v>
      </c>
      <c r="M104" s="84"/>
      <c r="N104" s="86"/>
      <c r="O104" s="86"/>
      <c r="P104" s="86"/>
      <c r="Q104" s="86"/>
      <c r="R104" s="86"/>
      <c r="S104" s="86"/>
      <c r="T104" s="86"/>
    </row>
    <row r="105" ht="123.75" hidden="1" customHeight="1" outlineLevel="1">
      <c r="A105" s="70" t="str">
        <f t="shared" si="6"/>
        <v>TC_Creator_Dee_88</v>
      </c>
      <c r="B105" s="72" t="s">
        <v>458</v>
      </c>
      <c r="C105" s="73"/>
      <c r="D105" s="72"/>
      <c r="E105" s="92" t="s">
        <v>460</v>
      </c>
      <c r="F105" s="76" t="s">
        <v>56</v>
      </c>
      <c r="G105" s="76" t="s">
        <v>214</v>
      </c>
      <c r="H105" s="78"/>
      <c r="I105" s="77"/>
      <c r="J105" s="84"/>
      <c r="K105" s="80"/>
      <c r="L105" s="82" t="s">
        <v>12</v>
      </c>
      <c r="M105" s="84"/>
      <c r="N105" s="86"/>
      <c r="O105" s="86"/>
      <c r="P105" s="86"/>
      <c r="Q105" s="86"/>
      <c r="R105" s="86"/>
      <c r="S105" s="86"/>
      <c r="T105" s="86"/>
    </row>
    <row r="106" ht="123.75" hidden="1" customHeight="1" outlineLevel="1">
      <c r="A106" s="70" t="str">
        <f t="shared" si="6"/>
        <v>TC_Creator_Dee_89</v>
      </c>
      <c r="B106" s="72" t="s">
        <v>463</v>
      </c>
      <c r="C106" s="73"/>
      <c r="D106" s="72"/>
      <c r="E106" s="92" t="s">
        <v>460</v>
      </c>
      <c r="F106" s="76" t="s">
        <v>56</v>
      </c>
      <c r="G106" s="76" t="s">
        <v>214</v>
      </c>
      <c r="H106" s="78"/>
      <c r="I106" s="77"/>
      <c r="J106" s="84"/>
      <c r="K106" s="80"/>
      <c r="L106" s="82" t="s">
        <v>12</v>
      </c>
      <c r="M106" s="84"/>
      <c r="N106" s="86"/>
      <c r="O106" s="86"/>
      <c r="P106" s="86"/>
      <c r="Q106" s="86"/>
      <c r="R106" s="86"/>
      <c r="S106" s="86"/>
      <c r="T106" s="86"/>
    </row>
    <row r="107" ht="123.75" hidden="1" customHeight="1" outlineLevel="1">
      <c r="A107" s="70" t="str">
        <f t="shared" si="6"/>
        <v>TC_Creator_Dee_90</v>
      </c>
      <c r="B107" s="72" t="s">
        <v>468</v>
      </c>
      <c r="C107" s="73"/>
      <c r="D107" s="72"/>
      <c r="E107" s="92" t="s">
        <v>470</v>
      </c>
      <c r="F107" s="76" t="s">
        <v>56</v>
      </c>
      <c r="G107" s="76" t="s">
        <v>214</v>
      </c>
      <c r="H107" s="78"/>
      <c r="I107" s="77"/>
      <c r="J107" s="84"/>
      <c r="K107" s="80"/>
      <c r="L107" s="82" t="s">
        <v>12</v>
      </c>
      <c r="M107" s="84"/>
      <c r="N107" s="86"/>
      <c r="O107" s="86"/>
      <c r="P107" s="86"/>
      <c r="Q107" s="86"/>
      <c r="R107" s="86"/>
      <c r="S107" s="86"/>
      <c r="T107" s="86"/>
    </row>
    <row r="108" ht="123.75" hidden="1" customHeight="1" outlineLevel="1">
      <c r="A108" s="70" t="str">
        <f t="shared" si="6"/>
        <v>TC_Creator_Dee_91</v>
      </c>
      <c r="B108" s="72" t="s">
        <v>472</v>
      </c>
      <c r="C108" s="73"/>
      <c r="D108" s="72"/>
      <c r="E108" s="92" t="s">
        <v>470</v>
      </c>
      <c r="F108" s="76" t="s">
        <v>56</v>
      </c>
      <c r="G108" s="76" t="s">
        <v>214</v>
      </c>
      <c r="H108" s="78"/>
      <c r="I108" s="77"/>
      <c r="J108" s="84"/>
      <c r="K108" s="80"/>
      <c r="L108" s="82" t="s">
        <v>12</v>
      </c>
      <c r="M108" s="84"/>
      <c r="N108" s="86"/>
      <c r="O108" s="86"/>
      <c r="P108" s="86"/>
      <c r="Q108" s="86"/>
      <c r="R108" s="86"/>
      <c r="S108" s="86"/>
      <c r="T108" s="86"/>
    </row>
    <row r="109" ht="123.75" hidden="1" customHeight="1" outlineLevel="1">
      <c r="A109" s="70" t="str">
        <f t="shared" si="6"/>
        <v>TC_Creator_Dee_92</v>
      </c>
      <c r="B109" s="72" t="s">
        <v>476</v>
      </c>
      <c r="C109" s="73"/>
      <c r="D109" s="72"/>
      <c r="E109" s="92" t="s">
        <v>470</v>
      </c>
      <c r="F109" s="76" t="s">
        <v>56</v>
      </c>
      <c r="G109" s="76" t="s">
        <v>214</v>
      </c>
      <c r="H109" s="78"/>
      <c r="I109" s="77"/>
      <c r="J109" s="84"/>
      <c r="K109" s="80"/>
      <c r="L109" s="82" t="s">
        <v>12</v>
      </c>
      <c r="M109" s="84"/>
      <c r="N109" s="86"/>
      <c r="O109" s="86"/>
      <c r="P109" s="86"/>
      <c r="Q109" s="86"/>
      <c r="R109" s="86"/>
      <c r="S109" s="86"/>
      <c r="T109" s="86"/>
    </row>
    <row r="110" ht="30.0" hidden="1" customHeight="1" outlineLevel="1">
      <c r="A110" s="101" t="s">
        <v>478</v>
      </c>
      <c r="B110" s="10"/>
      <c r="C110" s="102"/>
      <c r="D110" s="103"/>
      <c r="E110" s="103"/>
      <c r="F110" s="103"/>
      <c r="G110" s="104"/>
      <c r="H110" s="104"/>
      <c r="I110" s="104"/>
      <c r="J110" s="104"/>
      <c r="K110" s="104"/>
      <c r="L110" s="104"/>
      <c r="M110" s="104"/>
      <c r="N110" s="86"/>
      <c r="O110" s="86"/>
      <c r="P110" s="86"/>
      <c r="Q110" s="86"/>
      <c r="R110" s="86"/>
      <c r="S110" s="86"/>
      <c r="T110" s="86"/>
    </row>
    <row r="111" ht="91.5" hidden="1" customHeight="1" outlineLevel="1">
      <c r="A111" s="70" t="str">
        <f t="shared" ref="A111:A118" si="7">"TC_Creator_Dee_"&amp;(ROW()-ROW($A$12)+1-6)</f>
        <v>TC_Creator_Dee_94</v>
      </c>
      <c r="B111" s="72" t="s">
        <v>482</v>
      </c>
      <c r="C111" s="73"/>
      <c r="D111" s="72"/>
      <c r="E111" s="78"/>
      <c r="F111" s="76" t="s">
        <v>56</v>
      </c>
      <c r="G111" s="76" t="s">
        <v>57</v>
      </c>
      <c r="H111" s="78"/>
      <c r="I111" s="77"/>
      <c r="J111" s="84"/>
      <c r="K111" s="80"/>
      <c r="L111" s="82" t="s">
        <v>12</v>
      </c>
      <c r="M111" s="84"/>
      <c r="N111" s="86"/>
      <c r="O111" s="86"/>
      <c r="P111" s="86"/>
      <c r="Q111" s="86"/>
      <c r="R111" s="86"/>
      <c r="S111" s="86"/>
      <c r="T111" s="86"/>
    </row>
    <row r="112" ht="91.5" hidden="1" customHeight="1" outlineLevel="1">
      <c r="A112" s="70" t="str">
        <f t="shared" si="7"/>
        <v>TC_Creator_Dee_95</v>
      </c>
      <c r="B112" s="72" t="s">
        <v>488</v>
      </c>
      <c r="C112" s="73"/>
      <c r="D112" s="72"/>
      <c r="E112" s="78"/>
      <c r="F112" s="76" t="s">
        <v>56</v>
      </c>
      <c r="G112" s="76" t="s">
        <v>214</v>
      </c>
      <c r="H112" s="78"/>
      <c r="I112" s="77"/>
      <c r="J112" s="84"/>
      <c r="K112" s="80"/>
      <c r="L112" s="82" t="s">
        <v>12</v>
      </c>
      <c r="M112" s="84"/>
      <c r="N112" s="86"/>
      <c r="O112" s="86"/>
      <c r="P112" s="86"/>
      <c r="Q112" s="86"/>
      <c r="R112" s="86"/>
      <c r="S112" s="86"/>
      <c r="T112" s="86"/>
    </row>
    <row r="113" ht="91.5" hidden="1" customHeight="1" outlineLevel="1">
      <c r="A113" s="70" t="str">
        <f t="shared" si="7"/>
        <v>TC_Creator_Dee_96</v>
      </c>
      <c r="B113" s="72" t="s">
        <v>491</v>
      </c>
      <c r="C113" s="73"/>
      <c r="D113" s="72"/>
      <c r="E113" s="78"/>
      <c r="F113" s="76" t="s">
        <v>56</v>
      </c>
      <c r="G113" s="76" t="s">
        <v>214</v>
      </c>
      <c r="H113" s="78"/>
      <c r="I113" s="77"/>
      <c r="J113" s="84"/>
      <c r="K113" s="80"/>
      <c r="L113" s="82" t="s">
        <v>12</v>
      </c>
      <c r="M113" s="84"/>
      <c r="N113" s="86"/>
      <c r="O113" s="86"/>
      <c r="P113" s="86"/>
      <c r="Q113" s="86"/>
      <c r="R113" s="86"/>
      <c r="S113" s="86"/>
      <c r="T113" s="86"/>
    </row>
    <row r="114" ht="91.5" hidden="1" customHeight="1" outlineLevel="1">
      <c r="A114" s="70" t="str">
        <f t="shared" si="7"/>
        <v>TC_Creator_Dee_97</v>
      </c>
      <c r="B114" s="72" t="s">
        <v>493</v>
      </c>
      <c r="C114" s="73"/>
      <c r="D114" s="72"/>
      <c r="E114" s="78"/>
      <c r="F114" s="76" t="s">
        <v>56</v>
      </c>
      <c r="G114" s="76" t="s">
        <v>214</v>
      </c>
      <c r="H114" s="78"/>
      <c r="I114" s="77"/>
      <c r="J114" s="84"/>
      <c r="K114" s="80"/>
      <c r="L114" s="82" t="s">
        <v>12</v>
      </c>
      <c r="M114" s="84"/>
      <c r="N114" s="86"/>
      <c r="O114" s="86"/>
      <c r="P114" s="86"/>
      <c r="Q114" s="86"/>
      <c r="R114" s="86"/>
      <c r="S114" s="86"/>
      <c r="T114" s="86"/>
    </row>
    <row r="115" ht="91.5" hidden="1" customHeight="1" outlineLevel="1">
      <c r="A115" s="70" t="str">
        <f t="shared" si="7"/>
        <v>TC_Creator_Dee_98</v>
      </c>
      <c r="B115" s="72" t="s">
        <v>495</v>
      </c>
      <c r="C115" s="73"/>
      <c r="D115" s="72"/>
      <c r="E115" s="78"/>
      <c r="F115" s="76" t="s">
        <v>56</v>
      </c>
      <c r="G115" s="76" t="s">
        <v>101</v>
      </c>
      <c r="H115" s="78"/>
      <c r="I115" s="77"/>
      <c r="J115" s="84"/>
      <c r="K115" s="80"/>
      <c r="L115" s="82" t="s">
        <v>12</v>
      </c>
      <c r="M115" s="84"/>
      <c r="N115" s="86"/>
      <c r="O115" s="86"/>
      <c r="P115" s="86"/>
      <c r="Q115" s="86"/>
      <c r="R115" s="86"/>
      <c r="S115" s="86"/>
      <c r="T115" s="86"/>
    </row>
    <row r="116" ht="91.5" hidden="1" customHeight="1" outlineLevel="1">
      <c r="A116" s="70" t="str">
        <f t="shared" si="7"/>
        <v>TC_Creator_Dee_99</v>
      </c>
      <c r="B116" s="72" t="s">
        <v>496</v>
      </c>
      <c r="C116" s="73"/>
      <c r="D116" s="72"/>
      <c r="E116" s="78"/>
      <c r="F116" s="76" t="s">
        <v>56</v>
      </c>
      <c r="G116" s="76" t="s">
        <v>101</v>
      </c>
      <c r="H116" s="78"/>
      <c r="I116" s="77"/>
      <c r="J116" s="84"/>
      <c r="K116" s="80"/>
      <c r="L116" s="82" t="s">
        <v>12</v>
      </c>
      <c r="M116" s="84"/>
      <c r="N116" s="86"/>
      <c r="O116" s="86"/>
      <c r="P116" s="86"/>
      <c r="Q116" s="86"/>
      <c r="R116" s="86"/>
      <c r="S116" s="86"/>
      <c r="T116" s="86"/>
    </row>
    <row r="117" ht="91.5" hidden="1" customHeight="1" outlineLevel="1">
      <c r="A117" s="70" t="str">
        <f t="shared" si="7"/>
        <v>TC_Creator_Dee_100</v>
      </c>
      <c r="B117" s="72" t="s">
        <v>498</v>
      </c>
      <c r="C117" s="73"/>
      <c r="D117" s="72"/>
      <c r="E117" s="78"/>
      <c r="F117" s="76" t="s">
        <v>56</v>
      </c>
      <c r="G117" s="76" t="s">
        <v>101</v>
      </c>
      <c r="H117" s="78"/>
      <c r="I117" s="77"/>
      <c r="J117" s="84"/>
      <c r="K117" s="80"/>
      <c r="L117" s="82" t="s">
        <v>12</v>
      </c>
      <c r="M117" s="84"/>
      <c r="N117" s="86"/>
      <c r="O117" s="86"/>
      <c r="P117" s="86"/>
      <c r="Q117" s="86"/>
      <c r="R117" s="86"/>
      <c r="S117" s="86"/>
      <c r="T117" s="86"/>
    </row>
    <row r="118" ht="91.5" hidden="1" customHeight="1" outlineLevel="1">
      <c r="A118" s="70" t="str">
        <f t="shared" si="7"/>
        <v>TC_Creator_Dee_101</v>
      </c>
      <c r="B118" s="72" t="s">
        <v>500</v>
      </c>
      <c r="C118" s="73"/>
      <c r="D118" s="72"/>
      <c r="E118" s="78"/>
      <c r="F118" s="76" t="s">
        <v>56</v>
      </c>
      <c r="G118" s="76" t="s">
        <v>101</v>
      </c>
      <c r="H118" s="78"/>
      <c r="I118" s="77"/>
      <c r="J118" s="84"/>
      <c r="K118" s="80"/>
      <c r="L118" s="82" t="s">
        <v>12</v>
      </c>
      <c r="M118" s="84"/>
      <c r="N118" s="86"/>
      <c r="O118" s="86"/>
      <c r="P118" s="86"/>
      <c r="Q118" s="86"/>
      <c r="R118" s="86"/>
      <c r="S118" s="86"/>
      <c r="T118" s="86"/>
    </row>
    <row r="119" ht="105.75" hidden="1" customHeight="1" outlineLevel="1">
      <c r="A119" s="70" t="str">
        <f>"TC_Creator_Dee_"&amp;(ROW()-ROW($A$12)+1-5)</f>
        <v>TC_Creator_Dee_103</v>
      </c>
      <c r="B119" s="72" t="s">
        <v>503</v>
      </c>
      <c r="C119" s="73"/>
      <c r="D119" s="72"/>
      <c r="E119" s="78"/>
      <c r="F119" s="76" t="s">
        <v>56</v>
      </c>
      <c r="G119" s="76" t="s">
        <v>57</v>
      </c>
      <c r="H119" s="78"/>
      <c r="I119" s="77"/>
      <c r="J119" s="84"/>
      <c r="K119" s="80"/>
      <c r="L119" s="82" t="s">
        <v>12</v>
      </c>
      <c r="M119" s="84"/>
      <c r="N119" s="86"/>
      <c r="O119" s="86"/>
      <c r="P119" s="86"/>
      <c r="Q119" s="86"/>
      <c r="R119" s="86"/>
      <c r="S119" s="86"/>
      <c r="T119" s="86"/>
    </row>
    <row r="120" ht="30.0" hidden="1" customHeight="1" outlineLevel="1">
      <c r="A120" s="101" t="s">
        <v>505</v>
      </c>
      <c r="B120" s="10"/>
      <c r="C120" s="102"/>
      <c r="D120" s="103"/>
      <c r="E120" s="103"/>
      <c r="F120" s="103"/>
      <c r="G120" s="104"/>
      <c r="H120" s="104"/>
      <c r="I120" s="104"/>
      <c r="J120" s="104"/>
      <c r="K120" s="104"/>
      <c r="L120" s="104"/>
      <c r="M120" s="104"/>
      <c r="N120" s="86"/>
      <c r="O120" s="86"/>
      <c r="P120" s="86"/>
      <c r="Q120" s="86"/>
      <c r="R120" s="86"/>
      <c r="S120" s="86"/>
      <c r="T120" s="86"/>
    </row>
    <row r="121" ht="91.5" hidden="1" customHeight="1" outlineLevel="1">
      <c r="A121" s="70" t="str">
        <f t="shared" ref="A121:A129" si="8">"TC_Creator_Dee_"&amp;(ROW()-ROW($A$12)+1-6)</f>
        <v>TC_Creator_Dee_104</v>
      </c>
      <c r="B121" s="72" t="s">
        <v>509</v>
      </c>
      <c r="C121" s="73"/>
      <c r="D121" s="72"/>
      <c r="E121" s="78"/>
      <c r="F121" s="76" t="s">
        <v>56</v>
      </c>
      <c r="G121" s="76" t="s">
        <v>57</v>
      </c>
      <c r="H121" s="78"/>
      <c r="I121" s="77"/>
      <c r="J121" s="84"/>
      <c r="K121" s="80"/>
      <c r="L121" s="82" t="s">
        <v>12</v>
      </c>
      <c r="M121" s="84"/>
      <c r="N121" s="86"/>
      <c r="O121" s="86"/>
      <c r="P121" s="86"/>
      <c r="Q121" s="86"/>
      <c r="R121" s="86"/>
      <c r="S121" s="86"/>
      <c r="T121" s="86"/>
    </row>
    <row r="122" ht="91.5" hidden="1" customHeight="1" outlineLevel="1">
      <c r="A122" s="70" t="str">
        <f t="shared" si="8"/>
        <v>TC_Creator_Dee_105</v>
      </c>
      <c r="B122" s="72" t="s">
        <v>513</v>
      </c>
      <c r="C122" s="73"/>
      <c r="D122" s="72"/>
      <c r="E122" s="78"/>
      <c r="F122" s="76" t="s">
        <v>56</v>
      </c>
      <c r="G122" s="76" t="s">
        <v>214</v>
      </c>
      <c r="H122" s="78"/>
      <c r="I122" s="77"/>
      <c r="J122" s="84"/>
      <c r="K122" s="80"/>
      <c r="L122" s="82" t="s">
        <v>12</v>
      </c>
      <c r="M122" s="84"/>
      <c r="N122" s="86"/>
      <c r="O122" s="86"/>
      <c r="P122" s="86"/>
      <c r="Q122" s="86"/>
      <c r="R122" s="86"/>
      <c r="S122" s="86"/>
      <c r="T122" s="86"/>
    </row>
    <row r="123" ht="91.5" hidden="1" customHeight="1" outlineLevel="1">
      <c r="A123" s="70" t="str">
        <f t="shared" si="8"/>
        <v>TC_Creator_Dee_106</v>
      </c>
      <c r="B123" s="72" t="s">
        <v>515</v>
      </c>
      <c r="C123" s="73"/>
      <c r="D123" s="72"/>
      <c r="E123" s="78"/>
      <c r="F123" s="76" t="s">
        <v>56</v>
      </c>
      <c r="G123" s="76" t="s">
        <v>214</v>
      </c>
      <c r="H123" s="78"/>
      <c r="I123" s="77"/>
      <c r="J123" s="84"/>
      <c r="K123" s="80"/>
      <c r="L123" s="82" t="s">
        <v>12</v>
      </c>
      <c r="M123" s="84"/>
      <c r="N123" s="86"/>
      <c r="O123" s="86"/>
      <c r="P123" s="86"/>
      <c r="Q123" s="86"/>
      <c r="R123" s="86"/>
      <c r="S123" s="86"/>
      <c r="T123" s="86"/>
    </row>
    <row r="124" ht="91.5" hidden="1" customHeight="1" outlineLevel="1">
      <c r="A124" s="70" t="str">
        <f t="shared" si="8"/>
        <v>TC_Creator_Dee_107</v>
      </c>
      <c r="B124" s="72" t="s">
        <v>517</v>
      </c>
      <c r="C124" s="73"/>
      <c r="D124" s="72"/>
      <c r="E124" s="78"/>
      <c r="F124" s="76" t="s">
        <v>56</v>
      </c>
      <c r="G124" s="76" t="s">
        <v>214</v>
      </c>
      <c r="H124" s="78"/>
      <c r="I124" s="77"/>
      <c r="J124" s="84"/>
      <c r="K124" s="80"/>
      <c r="L124" s="82" t="s">
        <v>12</v>
      </c>
      <c r="M124" s="84"/>
      <c r="N124" s="86"/>
      <c r="O124" s="86"/>
      <c r="P124" s="86"/>
      <c r="Q124" s="86"/>
      <c r="R124" s="86"/>
      <c r="S124" s="86"/>
      <c r="T124" s="86"/>
    </row>
    <row r="125" ht="91.5" hidden="1" customHeight="1" outlineLevel="1">
      <c r="A125" s="70" t="str">
        <f t="shared" si="8"/>
        <v>TC_Creator_Dee_108</v>
      </c>
      <c r="B125" s="72" t="s">
        <v>519</v>
      </c>
      <c r="C125" s="73"/>
      <c r="D125" s="72"/>
      <c r="E125" s="78"/>
      <c r="F125" s="76" t="s">
        <v>56</v>
      </c>
      <c r="G125" s="76" t="s">
        <v>101</v>
      </c>
      <c r="H125" s="78"/>
      <c r="I125" s="77"/>
      <c r="J125" s="84"/>
      <c r="K125" s="80"/>
      <c r="L125" s="82" t="s">
        <v>12</v>
      </c>
      <c r="M125" s="84"/>
      <c r="N125" s="86"/>
      <c r="O125" s="86"/>
      <c r="P125" s="86"/>
      <c r="Q125" s="86"/>
      <c r="R125" s="86"/>
      <c r="S125" s="86"/>
      <c r="T125" s="86"/>
    </row>
    <row r="126" ht="91.5" hidden="1" customHeight="1" outlineLevel="1">
      <c r="A126" s="70" t="str">
        <f t="shared" si="8"/>
        <v>TC_Creator_Dee_109</v>
      </c>
      <c r="B126" s="72" t="s">
        <v>524</v>
      </c>
      <c r="C126" s="73"/>
      <c r="D126" s="72"/>
      <c r="E126" s="78"/>
      <c r="F126" s="76" t="s">
        <v>56</v>
      </c>
      <c r="G126" s="76" t="s">
        <v>101</v>
      </c>
      <c r="H126" s="78"/>
      <c r="I126" s="77"/>
      <c r="J126" s="84"/>
      <c r="K126" s="80"/>
      <c r="L126" s="82" t="s">
        <v>12</v>
      </c>
      <c r="M126" s="84"/>
      <c r="N126" s="86"/>
      <c r="O126" s="86"/>
      <c r="P126" s="86"/>
      <c r="Q126" s="86"/>
      <c r="R126" s="86"/>
      <c r="S126" s="86"/>
      <c r="T126" s="86"/>
    </row>
    <row r="127" ht="147.0" hidden="1" customHeight="1" outlineLevel="1">
      <c r="A127" s="70" t="str">
        <f t="shared" si="8"/>
        <v>TC_Creator_Dee_110</v>
      </c>
      <c r="B127" s="72" t="s">
        <v>527</v>
      </c>
      <c r="C127" s="73"/>
      <c r="D127" s="72"/>
      <c r="E127" s="78"/>
      <c r="F127" s="76" t="s">
        <v>56</v>
      </c>
      <c r="G127" s="76" t="s">
        <v>101</v>
      </c>
      <c r="H127" s="78"/>
      <c r="I127" s="77"/>
      <c r="J127" s="84"/>
      <c r="K127" s="80"/>
      <c r="L127" s="82" t="s">
        <v>12</v>
      </c>
      <c r="M127" s="84"/>
      <c r="N127" s="86"/>
      <c r="O127" s="86"/>
      <c r="P127" s="86"/>
      <c r="Q127" s="86"/>
      <c r="R127" s="86"/>
      <c r="S127" s="86"/>
      <c r="T127" s="86"/>
    </row>
    <row r="128" ht="147.0" hidden="1" customHeight="1" outlineLevel="1">
      <c r="A128" s="70" t="str">
        <f t="shared" si="8"/>
        <v>TC_Creator_Dee_111</v>
      </c>
      <c r="B128" s="72" t="s">
        <v>530</v>
      </c>
      <c r="C128" s="73"/>
      <c r="D128" s="72"/>
      <c r="E128" s="78"/>
      <c r="F128" s="76" t="s">
        <v>56</v>
      </c>
      <c r="G128" s="76" t="s">
        <v>101</v>
      </c>
      <c r="H128" s="78"/>
      <c r="I128" s="77"/>
      <c r="J128" s="84"/>
      <c r="K128" s="80"/>
      <c r="L128" s="82" t="s">
        <v>12</v>
      </c>
      <c r="M128" s="84"/>
      <c r="N128" s="86"/>
      <c r="O128" s="86"/>
      <c r="P128" s="86"/>
      <c r="Q128" s="86"/>
      <c r="R128" s="86"/>
      <c r="S128" s="86"/>
      <c r="T128" s="86"/>
    </row>
    <row r="129" ht="147.0" hidden="1" customHeight="1" outlineLevel="1">
      <c r="A129" s="70" t="str">
        <f t="shared" si="8"/>
        <v>TC_Creator_Dee_112</v>
      </c>
      <c r="B129" s="72" t="s">
        <v>532</v>
      </c>
      <c r="C129" s="73"/>
      <c r="D129" s="72"/>
      <c r="E129" s="78"/>
      <c r="F129" s="76"/>
      <c r="G129" s="76"/>
      <c r="H129" s="78"/>
      <c r="I129" s="77"/>
      <c r="J129" s="84"/>
      <c r="K129" s="80"/>
      <c r="L129" s="82" t="s">
        <v>12</v>
      </c>
      <c r="M129" s="84"/>
      <c r="N129" s="86"/>
      <c r="O129" s="86"/>
      <c r="P129" s="86"/>
      <c r="Q129" s="86"/>
      <c r="R129" s="86"/>
      <c r="S129" s="86"/>
      <c r="T129" s="86"/>
    </row>
    <row r="130" ht="30.0" hidden="1" customHeight="1" outlineLevel="1">
      <c r="A130" s="101" t="s">
        <v>534</v>
      </c>
      <c r="B130" s="10"/>
      <c r="C130" s="102"/>
      <c r="D130" s="103"/>
      <c r="E130" s="103"/>
      <c r="F130" s="103"/>
      <c r="G130" s="104"/>
      <c r="H130" s="104"/>
      <c r="I130" s="104"/>
      <c r="J130" s="104"/>
      <c r="K130" s="104"/>
      <c r="L130" s="104"/>
      <c r="M130" s="104"/>
      <c r="N130" s="86"/>
      <c r="O130" s="86"/>
      <c r="P130" s="86"/>
      <c r="Q130" s="86"/>
      <c r="R130" s="86"/>
      <c r="S130" s="86"/>
      <c r="T130" s="86"/>
    </row>
    <row r="131" ht="91.5" hidden="1" customHeight="1" outlineLevel="1">
      <c r="A131" s="70" t="str">
        <f t="shared" ref="A131:A141" si="9">"TC_Creator_Dee_"&amp;(ROW()-ROW($A$12)+1-6)</f>
        <v>TC_Creator_Dee_114</v>
      </c>
      <c r="B131" s="72" t="s">
        <v>536</v>
      </c>
      <c r="C131" s="73"/>
      <c r="D131" s="72"/>
      <c r="E131" s="78"/>
      <c r="F131" s="76" t="s">
        <v>56</v>
      </c>
      <c r="G131" s="76" t="s">
        <v>57</v>
      </c>
      <c r="H131" s="78"/>
      <c r="I131" s="77"/>
      <c r="J131" s="84"/>
      <c r="K131" s="80"/>
      <c r="L131" s="82" t="s">
        <v>12</v>
      </c>
      <c r="M131" s="84"/>
      <c r="N131" s="86"/>
      <c r="O131" s="86"/>
      <c r="P131" s="86"/>
      <c r="Q131" s="86"/>
      <c r="R131" s="86"/>
      <c r="S131" s="86"/>
      <c r="T131" s="86"/>
    </row>
    <row r="132" ht="91.5" hidden="1" customHeight="1" outlineLevel="1">
      <c r="A132" s="70" t="str">
        <f t="shared" si="9"/>
        <v>TC_Creator_Dee_115</v>
      </c>
      <c r="B132" s="72" t="s">
        <v>538</v>
      </c>
      <c r="C132" s="73"/>
      <c r="D132" s="72"/>
      <c r="E132" s="78"/>
      <c r="F132" s="76" t="s">
        <v>56</v>
      </c>
      <c r="G132" s="76" t="s">
        <v>214</v>
      </c>
      <c r="H132" s="78"/>
      <c r="I132" s="77"/>
      <c r="J132" s="84"/>
      <c r="K132" s="80"/>
      <c r="L132" s="82" t="s">
        <v>12</v>
      </c>
      <c r="M132" s="84"/>
      <c r="N132" s="86"/>
      <c r="O132" s="86"/>
      <c r="P132" s="86"/>
      <c r="Q132" s="86"/>
      <c r="R132" s="86"/>
      <c r="S132" s="86"/>
      <c r="T132" s="86"/>
    </row>
    <row r="133" ht="91.5" hidden="1" customHeight="1" outlineLevel="1">
      <c r="A133" s="70" t="str">
        <f t="shared" si="9"/>
        <v>TC_Creator_Dee_116</v>
      </c>
      <c r="B133" s="72" t="s">
        <v>540</v>
      </c>
      <c r="C133" s="73"/>
      <c r="D133" s="72"/>
      <c r="E133" s="78"/>
      <c r="F133" s="76" t="s">
        <v>56</v>
      </c>
      <c r="G133" s="76" t="s">
        <v>214</v>
      </c>
      <c r="H133" s="78"/>
      <c r="I133" s="77"/>
      <c r="J133" s="84"/>
      <c r="K133" s="80"/>
      <c r="L133" s="82" t="s">
        <v>12</v>
      </c>
      <c r="M133" s="84"/>
      <c r="N133" s="86"/>
      <c r="O133" s="86"/>
      <c r="P133" s="86"/>
      <c r="Q133" s="86"/>
      <c r="R133" s="86"/>
      <c r="S133" s="86"/>
      <c r="T133" s="86"/>
    </row>
    <row r="134" ht="91.5" hidden="1" customHeight="1" outlineLevel="1">
      <c r="A134" s="70" t="str">
        <f t="shared" si="9"/>
        <v>TC_Creator_Dee_117</v>
      </c>
      <c r="B134" s="72" t="s">
        <v>542</v>
      </c>
      <c r="C134" s="73"/>
      <c r="D134" s="72"/>
      <c r="E134" s="78"/>
      <c r="F134" s="76" t="s">
        <v>56</v>
      </c>
      <c r="G134" s="76" t="s">
        <v>57</v>
      </c>
      <c r="H134" s="78"/>
      <c r="I134" s="77"/>
      <c r="J134" s="84"/>
      <c r="K134" s="80"/>
      <c r="L134" s="82" t="s">
        <v>12</v>
      </c>
      <c r="M134" s="84"/>
      <c r="N134" s="86"/>
      <c r="O134" s="86"/>
      <c r="P134" s="86"/>
      <c r="Q134" s="86"/>
      <c r="R134" s="86"/>
      <c r="S134" s="86"/>
      <c r="T134" s="86"/>
    </row>
    <row r="135" ht="91.5" hidden="1" customHeight="1" outlineLevel="1">
      <c r="A135" s="70" t="str">
        <f t="shared" si="9"/>
        <v>TC_Creator_Dee_118</v>
      </c>
      <c r="B135" s="72" t="s">
        <v>545</v>
      </c>
      <c r="C135" s="73"/>
      <c r="D135" s="72"/>
      <c r="E135" s="78"/>
      <c r="F135" s="76" t="s">
        <v>56</v>
      </c>
      <c r="G135" s="76" t="s">
        <v>57</v>
      </c>
      <c r="H135" s="78"/>
      <c r="I135" s="77"/>
      <c r="J135" s="84"/>
      <c r="K135" s="80"/>
      <c r="L135" s="82" t="s">
        <v>12</v>
      </c>
      <c r="M135" s="84"/>
      <c r="N135" s="86"/>
      <c r="O135" s="86"/>
      <c r="P135" s="86"/>
      <c r="Q135" s="86"/>
      <c r="R135" s="86"/>
      <c r="S135" s="86"/>
      <c r="T135" s="86"/>
    </row>
    <row r="136" ht="91.5" hidden="1" customHeight="1" outlineLevel="1">
      <c r="A136" s="70" t="str">
        <f t="shared" si="9"/>
        <v>TC_Creator_Dee_119</v>
      </c>
      <c r="B136" s="72" t="s">
        <v>547</v>
      </c>
      <c r="C136" s="73"/>
      <c r="D136" s="72"/>
      <c r="E136" s="78"/>
      <c r="F136" s="76" t="s">
        <v>56</v>
      </c>
      <c r="G136" s="76" t="s">
        <v>57</v>
      </c>
      <c r="H136" s="78"/>
      <c r="I136" s="77"/>
      <c r="J136" s="84"/>
      <c r="K136" s="80"/>
      <c r="L136" s="82" t="s">
        <v>12</v>
      </c>
      <c r="M136" s="84"/>
      <c r="N136" s="86"/>
      <c r="O136" s="86"/>
      <c r="P136" s="86"/>
      <c r="Q136" s="86"/>
      <c r="R136" s="86"/>
      <c r="S136" s="86"/>
      <c r="T136" s="86"/>
    </row>
    <row r="137" ht="91.5" hidden="1" customHeight="1" outlineLevel="1">
      <c r="A137" s="70" t="str">
        <f t="shared" si="9"/>
        <v>TC_Creator_Dee_120</v>
      </c>
      <c r="B137" s="72" t="s">
        <v>549</v>
      </c>
      <c r="C137" s="73"/>
      <c r="D137" s="72"/>
      <c r="E137" s="78"/>
      <c r="F137" s="76" t="s">
        <v>56</v>
      </c>
      <c r="G137" s="76" t="s">
        <v>57</v>
      </c>
      <c r="H137" s="78"/>
      <c r="I137" s="77"/>
      <c r="J137" s="84"/>
      <c r="K137" s="80"/>
      <c r="L137" s="82" t="s">
        <v>12</v>
      </c>
      <c r="M137" s="84"/>
      <c r="N137" s="86"/>
      <c r="O137" s="86"/>
      <c r="P137" s="86"/>
      <c r="Q137" s="86"/>
      <c r="R137" s="86"/>
      <c r="S137" s="86"/>
      <c r="T137" s="86"/>
    </row>
    <row r="138" ht="91.5" hidden="1" customHeight="1" outlineLevel="1">
      <c r="A138" s="70" t="str">
        <f t="shared" si="9"/>
        <v>TC_Creator_Dee_121</v>
      </c>
      <c r="B138" s="72" t="s">
        <v>551</v>
      </c>
      <c r="C138" s="73"/>
      <c r="D138" s="72"/>
      <c r="E138" s="78"/>
      <c r="F138" s="76" t="s">
        <v>56</v>
      </c>
      <c r="G138" s="76" t="s">
        <v>57</v>
      </c>
      <c r="H138" s="78"/>
      <c r="I138" s="77"/>
      <c r="J138" s="84"/>
      <c r="K138" s="80"/>
      <c r="L138" s="82" t="s">
        <v>12</v>
      </c>
      <c r="M138" s="84"/>
      <c r="N138" s="86"/>
      <c r="O138" s="86"/>
      <c r="P138" s="86"/>
      <c r="Q138" s="86"/>
      <c r="R138" s="86"/>
      <c r="S138" s="86"/>
      <c r="T138" s="86"/>
    </row>
    <row r="139" ht="91.5" hidden="1" customHeight="1" outlineLevel="1">
      <c r="A139" s="70" t="str">
        <f t="shared" si="9"/>
        <v>TC_Creator_Dee_122</v>
      </c>
      <c r="B139" s="72" t="s">
        <v>554</v>
      </c>
      <c r="C139" s="73"/>
      <c r="D139" s="72"/>
      <c r="E139" s="78"/>
      <c r="F139" s="76" t="s">
        <v>56</v>
      </c>
      <c r="G139" s="76" t="s">
        <v>57</v>
      </c>
      <c r="H139" s="78"/>
      <c r="I139" s="77"/>
      <c r="J139" s="84"/>
      <c r="K139" s="80"/>
      <c r="L139" s="82" t="s">
        <v>12</v>
      </c>
      <c r="M139" s="84"/>
      <c r="N139" s="86"/>
      <c r="O139" s="86"/>
      <c r="P139" s="86"/>
      <c r="Q139" s="86"/>
      <c r="R139" s="86"/>
      <c r="S139" s="86"/>
      <c r="T139" s="86"/>
    </row>
    <row r="140" ht="91.5" hidden="1" customHeight="1" outlineLevel="1">
      <c r="A140" s="70" t="str">
        <f t="shared" si="9"/>
        <v>TC_Creator_Dee_123</v>
      </c>
      <c r="B140" s="72" t="s">
        <v>556</v>
      </c>
      <c r="C140" s="73"/>
      <c r="D140" s="72"/>
      <c r="E140" s="78"/>
      <c r="F140" s="76" t="s">
        <v>56</v>
      </c>
      <c r="G140" s="76" t="s">
        <v>57</v>
      </c>
      <c r="H140" s="78"/>
      <c r="I140" s="77"/>
      <c r="J140" s="84"/>
      <c r="K140" s="80"/>
      <c r="L140" s="82" t="s">
        <v>12</v>
      </c>
      <c r="M140" s="84"/>
      <c r="N140" s="86"/>
      <c r="O140" s="86"/>
      <c r="P140" s="86"/>
      <c r="Q140" s="86"/>
      <c r="R140" s="86"/>
      <c r="S140" s="86"/>
      <c r="T140" s="86"/>
    </row>
    <row r="141" ht="91.5" hidden="1" customHeight="1" outlineLevel="1">
      <c r="A141" s="70" t="str">
        <f t="shared" si="9"/>
        <v>TC_Creator_Dee_124</v>
      </c>
      <c r="B141" s="72" t="s">
        <v>558</v>
      </c>
      <c r="C141" s="73"/>
      <c r="D141" s="72"/>
      <c r="E141" s="78"/>
      <c r="F141" s="76" t="s">
        <v>56</v>
      </c>
      <c r="G141" s="76" t="s">
        <v>57</v>
      </c>
      <c r="H141" s="78"/>
      <c r="I141" s="77"/>
      <c r="J141" s="84"/>
      <c r="K141" s="80"/>
      <c r="L141" s="82" t="s">
        <v>12</v>
      </c>
      <c r="M141" s="84"/>
      <c r="N141" s="86"/>
      <c r="O141" s="86"/>
      <c r="P141" s="86"/>
      <c r="Q141" s="86"/>
      <c r="R141" s="86"/>
      <c r="S141" s="86"/>
      <c r="T141" s="86"/>
    </row>
    <row r="142" ht="30.0" hidden="1" customHeight="1" outlineLevel="1">
      <c r="A142" s="101" t="s">
        <v>560</v>
      </c>
      <c r="B142" s="10"/>
      <c r="C142" s="102"/>
      <c r="D142" s="103"/>
      <c r="E142" s="103"/>
      <c r="F142" s="103"/>
      <c r="G142" s="104"/>
      <c r="H142" s="104"/>
      <c r="I142" s="104"/>
      <c r="J142" s="104"/>
      <c r="K142" s="104"/>
      <c r="L142" s="104"/>
      <c r="M142" s="104"/>
      <c r="N142" s="86"/>
      <c r="O142" s="86"/>
      <c r="P142" s="86"/>
      <c r="Q142" s="86"/>
      <c r="R142" s="86"/>
      <c r="S142" s="86"/>
      <c r="T142" s="86"/>
    </row>
    <row r="143" ht="91.5" hidden="1" customHeight="1" outlineLevel="1">
      <c r="A143" s="70" t="str">
        <f t="shared" ref="A143:A152" si="10">"TC_Creator_Dee_"&amp;(ROW()-ROW($A$12)+1-6)</f>
        <v>TC_Creator_Dee_126</v>
      </c>
      <c r="B143" s="72" t="s">
        <v>562</v>
      </c>
      <c r="C143" s="73"/>
      <c r="D143" s="72"/>
      <c r="E143" s="78"/>
      <c r="F143" s="76" t="s">
        <v>56</v>
      </c>
      <c r="G143" s="76" t="s">
        <v>57</v>
      </c>
      <c r="H143" s="78"/>
      <c r="I143" s="77"/>
      <c r="J143" s="84"/>
      <c r="K143" s="80"/>
      <c r="L143" s="82" t="s">
        <v>12</v>
      </c>
      <c r="M143" s="84"/>
      <c r="N143" s="86"/>
      <c r="O143" s="86"/>
      <c r="P143" s="86"/>
      <c r="Q143" s="86"/>
      <c r="R143" s="86"/>
      <c r="S143" s="86"/>
      <c r="T143" s="86"/>
    </row>
    <row r="144" ht="91.5" hidden="1" customHeight="1" outlineLevel="1">
      <c r="A144" s="70" t="str">
        <f t="shared" si="10"/>
        <v>TC_Creator_Dee_127</v>
      </c>
      <c r="B144" s="72" t="s">
        <v>563</v>
      </c>
      <c r="C144" s="73"/>
      <c r="D144" s="72"/>
      <c r="E144" s="78"/>
      <c r="F144" s="76" t="s">
        <v>56</v>
      </c>
      <c r="G144" s="76" t="s">
        <v>214</v>
      </c>
      <c r="H144" s="78"/>
      <c r="I144" s="77"/>
      <c r="J144" s="84"/>
      <c r="K144" s="80"/>
      <c r="L144" s="82" t="s">
        <v>12</v>
      </c>
      <c r="M144" s="84"/>
      <c r="N144" s="86"/>
      <c r="O144" s="86"/>
      <c r="P144" s="86"/>
      <c r="Q144" s="86"/>
      <c r="R144" s="86"/>
      <c r="S144" s="86"/>
      <c r="T144" s="86"/>
    </row>
    <row r="145" ht="91.5" hidden="1" customHeight="1" outlineLevel="1">
      <c r="A145" s="70" t="str">
        <f t="shared" si="10"/>
        <v>TC_Creator_Dee_128</v>
      </c>
      <c r="B145" s="72" t="s">
        <v>564</v>
      </c>
      <c r="C145" s="73"/>
      <c r="D145" s="72"/>
      <c r="E145" s="78"/>
      <c r="F145" s="76" t="s">
        <v>56</v>
      </c>
      <c r="G145" s="76" t="s">
        <v>214</v>
      </c>
      <c r="H145" s="78"/>
      <c r="I145" s="77"/>
      <c r="J145" s="84"/>
      <c r="K145" s="80"/>
      <c r="L145" s="82" t="s">
        <v>12</v>
      </c>
      <c r="M145" s="84"/>
      <c r="N145" s="86"/>
      <c r="O145" s="86"/>
      <c r="P145" s="86"/>
      <c r="Q145" s="86"/>
      <c r="R145" s="86"/>
      <c r="S145" s="86"/>
      <c r="T145" s="86"/>
    </row>
    <row r="146" ht="91.5" hidden="1" customHeight="1" outlineLevel="1">
      <c r="A146" s="70" t="str">
        <f t="shared" si="10"/>
        <v>TC_Creator_Dee_129</v>
      </c>
      <c r="B146" s="72" t="s">
        <v>565</v>
      </c>
      <c r="C146" s="73"/>
      <c r="D146" s="72"/>
      <c r="E146" s="78"/>
      <c r="F146" s="76" t="s">
        <v>56</v>
      </c>
      <c r="G146" s="76" t="s">
        <v>57</v>
      </c>
      <c r="H146" s="78"/>
      <c r="I146" s="77"/>
      <c r="J146" s="84"/>
      <c r="K146" s="80"/>
      <c r="L146" s="82" t="s">
        <v>12</v>
      </c>
      <c r="M146" s="84"/>
      <c r="N146" s="86"/>
      <c r="O146" s="86"/>
      <c r="P146" s="86"/>
      <c r="Q146" s="86"/>
      <c r="R146" s="86"/>
      <c r="S146" s="86"/>
      <c r="T146" s="86"/>
    </row>
    <row r="147" ht="91.5" hidden="1" customHeight="1" outlineLevel="1">
      <c r="A147" s="70" t="str">
        <f t="shared" si="10"/>
        <v>TC_Creator_Dee_130</v>
      </c>
      <c r="B147" s="72" t="s">
        <v>566</v>
      </c>
      <c r="C147" s="73"/>
      <c r="D147" s="72"/>
      <c r="E147" s="78"/>
      <c r="F147" s="76" t="s">
        <v>56</v>
      </c>
      <c r="G147" s="76" t="s">
        <v>57</v>
      </c>
      <c r="H147" s="78"/>
      <c r="I147" s="77"/>
      <c r="J147" s="84"/>
      <c r="K147" s="80"/>
      <c r="L147" s="82" t="s">
        <v>12</v>
      </c>
      <c r="M147" s="84"/>
      <c r="N147" s="86"/>
      <c r="O147" s="86"/>
      <c r="P147" s="86"/>
      <c r="Q147" s="86"/>
      <c r="R147" s="86"/>
      <c r="S147" s="86"/>
      <c r="T147" s="86"/>
    </row>
    <row r="148" ht="91.5" hidden="1" customHeight="1" outlineLevel="1">
      <c r="A148" s="70" t="str">
        <f t="shared" si="10"/>
        <v>TC_Creator_Dee_131</v>
      </c>
      <c r="B148" s="72" t="s">
        <v>567</v>
      </c>
      <c r="C148" s="73"/>
      <c r="D148" s="72"/>
      <c r="E148" s="78"/>
      <c r="F148" s="76" t="s">
        <v>56</v>
      </c>
      <c r="G148" s="76" t="s">
        <v>57</v>
      </c>
      <c r="H148" s="78"/>
      <c r="I148" s="77"/>
      <c r="J148" s="84"/>
      <c r="K148" s="80"/>
      <c r="L148" s="82" t="s">
        <v>12</v>
      </c>
      <c r="M148" s="84"/>
      <c r="N148" s="86"/>
      <c r="O148" s="86"/>
      <c r="P148" s="86"/>
      <c r="Q148" s="86"/>
      <c r="R148" s="86"/>
      <c r="S148" s="86"/>
      <c r="T148" s="86"/>
    </row>
    <row r="149" ht="91.5" hidden="1" customHeight="1" outlineLevel="1">
      <c r="A149" s="70" t="str">
        <f t="shared" si="10"/>
        <v>TC_Creator_Dee_132</v>
      </c>
      <c r="B149" s="72" t="s">
        <v>568</v>
      </c>
      <c r="C149" s="73"/>
      <c r="D149" s="72"/>
      <c r="E149" s="78"/>
      <c r="F149" s="76" t="s">
        <v>56</v>
      </c>
      <c r="G149" s="76" t="s">
        <v>57</v>
      </c>
      <c r="H149" s="78"/>
      <c r="I149" s="77"/>
      <c r="J149" s="84"/>
      <c r="K149" s="80"/>
      <c r="L149" s="82" t="s">
        <v>12</v>
      </c>
      <c r="M149" s="84"/>
      <c r="N149" s="86"/>
      <c r="O149" s="86"/>
      <c r="P149" s="86"/>
      <c r="Q149" s="86"/>
      <c r="R149" s="86"/>
      <c r="S149" s="86"/>
      <c r="T149" s="86"/>
    </row>
    <row r="150" ht="91.5" hidden="1" customHeight="1" outlineLevel="1">
      <c r="A150" s="70" t="str">
        <f t="shared" si="10"/>
        <v>TC_Creator_Dee_133</v>
      </c>
      <c r="B150" s="72" t="s">
        <v>569</v>
      </c>
      <c r="C150" s="73"/>
      <c r="D150" s="72"/>
      <c r="E150" s="78"/>
      <c r="F150" s="76" t="s">
        <v>56</v>
      </c>
      <c r="G150" s="76" t="s">
        <v>57</v>
      </c>
      <c r="H150" s="78"/>
      <c r="I150" s="77"/>
      <c r="J150" s="84"/>
      <c r="K150" s="80"/>
      <c r="L150" s="82" t="s">
        <v>12</v>
      </c>
      <c r="M150" s="84"/>
      <c r="N150" s="86"/>
      <c r="O150" s="86"/>
      <c r="P150" s="86"/>
      <c r="Q150" s="86"/>
      <c r="R150" s="86"/>
      <c r="S150" s="86"/>
      <c r="T150" s="86"/>
    </row>
    <row r="151" ht="91.5" hidden="1" customHeight="1" outlineLevel="1">
      <c r="A151" s="70" t="str">
        <f t="shared" si="10"/>
        <v>TC_Creator_Dee_134</v>
      </c>
      <c r="B151" s="72" t="s">
        <v>570</v>
      </c>
      <c r="C151" s="73"/>
      <c r="D151" s="72"/>
      <c r="E151" s="78"/>
      <c r="F151" s="76" t="s">
        <v>56</v>
      </c>
      <c r="G151" s="76" t="s">
        <v>57</v>
      </c>
      <c r="H151" s="78"/>
      <c r="I151" s="77"/>
      <c r="J151" s="84"/>
      <c r="K151" s="80"/>
      <c r="L151" s="82" t="s">
        <v>12</v>
      </c>
      <c r="M151" s="84"/>
      <c r="N151" s="86"/>
      <c r="O151" s="86"/>
      <c r="P151" s="86"/>
      <c r="Q151" s="86"/>
      <c r="R151" s="86"/>
      <c r="S151" s="86"/>
      <c r="T151" s="86"/>
    </row>
    <row r="152" ht="91.5" hidden="1" customHeight="1" outlineLevel="1">
      <c r="A152" s="70" t="str">
        <f t="shared" si="10"/>
        <v>TC_Creator_Dee_135</v>
      </c>
      <c r="B152" s="72" t="s">
        <v>571</v>
      </c>
      <c r="C152" s="73"/>
      <c r="D152" s="72"/>
      <c r="E152" s="78"/>
      <c r="F152" s="76" t="s">
        <v>56</v>
      </c>
      <c r="G152" s="76" t="s">
        <v>57</v>
      </c>
      <c r="H152" s="78"/>
      <c r="I152" s="77"/>
      <c r="J152" s="84"/>
      <c r="K152" s="80"/>
      <c r="L152" s="82" t="s">
        <v>12</v>
      </c>
      <c r="M152" s="84"/>
      <c r="N152" s="86"/>
      <c r="O152" s="86"/>
      <c r="P152" s="86"/>
      <c r="Q152" s="86"/>
      <c r="R152" s="86"/>
      <c r="S152" s="86"/>
      <c r="T152" s="86"/>
    </row>
    <row r="153" ht="33.0" hidden="1" customHeight="1" outlineLevel="1">
      <c r="A153" s="101" t="s">
        <v>514</v>
      </c>
      <c r="B153" s="10"/>
      <c r="C153" s="102"/>
      <c r="D153" s="103"/>
      <c r="E153" s="103"/>
      <c r="F153" s="103"/>
      <c r="G153" s="104"/>
      <c r="H153" s="104"/>
      <c r="I153" s="104"/>
      <c r="J153" s="104"/>
      <c r="K153" s="104"/>
      <c r="L153" s="104"/>
      <c r="M153" s="104"/>
      <c r="N153" s="86"/>
      <c r="O153" s="86"/>
      <c r="P153" s="86"/>
      <c r="Q153" s="86"/>
      <c r="R153" s="86"/>
      <c r="S153" s="86"/>
      <c r="T153" s="86"/>
    </row>
    <row r="154" ht="123.75" hidden="1" customHeight="1" outlineLevel="1">
      <c r="A154" s="70" t="str">
        <f t="shared" ref="A154:A159" si="11">"TC_Creator_Dee_"&amp;(ROW()-ROW($A$12)+1-7)</f>
        <v>TC_Creator_Dee_136</v>
      </c>
      <c r="B154" s="72" t="s">
        <v>572</v>
      </c>
      <c r="C154" s="73"/>
      <c r="D154" s="72"/>
      <c r="E154" s="78"/>
      <c r="F154" s="76" t="s">
        <v>56</v>
      </c>
      <c r="G154" s="76" t="s">
        <v>101</v>
      </c>
      <c r="H154" s="78"/>
      <c r="I154" s="77"/>
      <c r="J154" s="84"/>
      <c r="K154" s="80"/>
      <c r="L154" s="82" t="s">
        <v>12</v>
      </c>
      <c r="M154" s="84"/>
      <c r="N154" s="86"/>
      <c r="O154" s="86"/>
      <c r="P154" s="86"/>
      <c r="Q154" s="86"/>
      <c r="R154" s="86"/>
      <c r="S154" s="86"/>
      <c r="T154" s="86"/>
    </row>
    <row r="155" ht="123.75" hidden="1" customHeight="1" outlineLevel="1">
      <c r="A155" s="70" t="str">
        <f t="shared" si="11"/>
        <v>TC_Creator_Dee_137</v>
      </c>
      <c r="B155" s="72" t="s">
        <v>573</v>
      </c>
      <c r="C155" s="73"/>
      <c r="D155" s="72"/>
      <c r="E155" s="78"/>
      <c r="F155" s="76" t="s">
        <v>56</v>
      </c>
      <c r="G155" s="76" t="s">
        <v>101</v>
      </c>
      <c r="H155" s="78"/>
      <c r="I155" s="77"/>
      <c r="J155" s="84"/>
      <c r="K155" s="80"/>
      <c r="L155" s="82" t="s">
        <v>12</v>
      </c>
      <c r="M155" s="84"/>
      <c r="N155" s="86"/>
      <c r="O155" s="86"/>
      <c r="P155" s="86"/>
      <c r="Q155" s="86"/>
      <c r="R155" s="86"/>
      <c r="S155" s="86"/>
      <c r="T155" s="86"/>
    </row>
    <row r="156" ht="123.75" hidden="1" customHeight="1" outlineLevel="1">
      <c r="A156" s="70" t="str">
        <f t="shared" si="11"/>
        <v>TC_Creator_Dee_138</v>
      </c>
      <c r="B156" s="72" t="s">
        <v>574</v>
      </c>
      <c r="C156" s="73"/>
      <c r="D156" s="72"/>
      <c r="E156" s="78"/>
      <c r="F156" s="76" t="s">
        <v>56</v>
      </c>
      <c r="G156" s="76" t="s">
        <v>101</v>
      </c>
      <c r="H156" s="78"/>
      <c r="I156" s="77"/>
      <c r="J156" s="84"/>
      <c r="K156" s="80"/>
      <c r="L156" s="82" t="s">
        <v>12</v>
      </c>
      <c r="M156" s="84"/>
      <c r="N156" s="86"/>
      <c r="O156" s="86"/>
      <c r="P156" s="86"/>
      <c r="Q156" s="86"/>
      <c r="R156" s="86"/>
      <c r="S156" s="86"/>
      <c r="T156" s="86"/>
    </row>
    <row r="157" ht="123.75" hidden="1" customHeight="1" outlineLevel="1">
      <c r="A157" s="70" t="str">
        <f t="shared" si="11"/>
        <v>TC_Creator_Dee_139</v>
      </c>
      <c r="B157" s="72" t="s">
        <v>575</v>
      </c>
      <c r="C157" s="73"/>
      <c r="D157" s="72"/>
      <c r="E157" s="78"/>
      <c r="F157" s="76" t="s">
        <v>56</v>
      </c>
      <c r="G157" s="76" t="s">
        <v>101</v>
      </c>
      <c r="H157" s="78"/>
      <c r="I157" s="77"/>
      <c r="J157" s="84"/>
      <c r="K157" s="80"/>
      <c r="L157" s="82" t="s">
        <v>12</v>
      </c>
      <c r="M157" s="84"/>
      <c r="N157" s="86"/>
      <c r="O157" s="86"/>
      <c r="P157" s="86"/>
      <c r="Q157" s="86"/>
      <c r="R157" s="86"/>
      <c r="S157" s="86"/>
      <c r="T157" s="86"/>
    </row>
    <row r="158" ht="123.75" hidden="1" customHeight="1" outlineLevel="1">
      <c r="A158" s="70" t="str">
        <f t="shared" si="11"/>
        <v>TC_Creator_Dee_140</v>
      </c>
      <c r="B158" s="72" t="s">
        <v>576</v>
      </c>
      <c r="C158" s="73"/>
      <c r="D158" s="72"/>
      <c r="E158" s="78"/>
      <c r="F158" s="76" t="s">
        <v>56</v>
      </c>
      <c r="G158" s="76" t="s">
        <v>101</v>
      </c>
      <c r="H158" s="78"/>
      <c r="I158" s="77"/>
      <c r="J158" s="84"/>
      <c r="K158" s="80"/>
      <c r="L158" s="82" t="s">
        <v>12</v>
      </c>
      <c r="M158" s="84"/>
      <c r="N158" s="86"/>
      <c r="O158" s="86"/>
      <c r="P158" s="86"/>
      <c r="Q158" s="86"/>
      <c r="R158" s="86"/>
      <c r="S158" s="86"/>
      <c r="T158" s="86"/>
    </row>
    <row r="159" ht="123.75" hidden="1" customHeight="1" outlineLevel="1">
      <c r="A159" s="70" t="str">
        <f t="shared" si="11"/>
        <v>TC_Creator_Dee_141</v>
      </c>
      <c r="B159" s="72" t="s">
        <v>577</v>
      </c>
      <c r="C159" s="73"/>
      <c r="D159" s="72"/>
      <c r="E159" s="78"/>
      <c r="F159" s="76" t="s">
        <v>56</v>
      </c>
      <c r="G159" s="76" t="s">
        <v>101</v>
      </c>
      <c r="H159" s="78"/>
      <c r="I159" s="77"/>
      <c r="J159" s="84"/>
      <c r="K159" s="80"/>
      <c r="L159" s="82" t="s">
        <v>12</v>
      </c>
      <c r="M159" s="84"/>
      <c r="N159" s="86"/>
      <c r="O159" s="86"/>
      <c r="P159" s="86"/>
      <c r="Q159" s="86"/>
      <c r="R159" s="86"/>
      <c r="S159" s="86"/>
      <c r="T159" s="86"/>
    </row>
    <row r="160" ht="42.0" hidden="1" customHeight="1">
      <c r="A160" s="55" t="s">
        <v>531</v>
      </c>
      <c r="B160" s="10"/>
      <c r="C160" s="57"/>
      <c r="D160" s="58"/>
      <c r="E160" s="58"/>
      <c r="F160" s="58"/>
      <c r="G160" s="60"/>
      <c r="H160" s="60"/>
      <c r="I160" s="60"/>
      <c r="J160" s="60"/>
      <c r="K160" s="60"/>
      <c r="L160" s="60"/>
      <c r="M160" s="60"/>
      <c r="N160" s="49"/>
      <c r="O160" s="49"/>
      <c r="P160" s="49"/>
      <c r="Q160" s="49"/>
      <c r="R160" s="49"/>
      <c r="S160" s="49"/>
      <c r="T160" s="49"/>
    </row>
    <row r="161" ht="123.75" hidden="1" customHeight="1" outlineLevel="1">
      <c r="A161" s="70" t="str">
        <f t="shared" ref="A161:A174" si="12">"TC_Creator_Dee_"&amp;(ROW()-ROW($A$12)+1-2)</f>
        <v>TC_Creator_Dee_148</v>
      </c>
      <c r="B161" s="72" t="s">
        <v>578</v>
      </c>
      <c r="C161" s="73"/>
      <c r="D161" s="72"/>
      <c r="E161" s="92" t="s">
        <v>207</v>
      </c>
      <c r="F161" s="76" t="s">
        <v>56</v>
      </c>
      <c r="G161" s="76" t="s">
        <v>101</v>
      </c>
      <c r="H161" s="78"/>
      <c r="I161" s="77"/>
      <c r="J161" s="84"/>
      <c r="K161" s="80"/>
      <c r="L161" s="82" t="s">
        <v>12</v>
      </c>
      <c r="M161" s="84"/>
      <c r="N161" s="86"/>
      <c r="O161" s="86"/>
      <c r="P161" s="86"/>
      <c r="Q161" s="86"/>
      <c r="R161" s="86"/>
      <c r="S161" s="86"/>
      <c r="T161" s="86"/>
    </row>
    <row r="162" ht="123.75" hidden="1" customHeight="1" outlineLevel="1">
      <c r="A162" s="70" t="str">
        <f t="shared" si="12"/>
        <v>TC_Creator_Dee_149</v>
      </c>
      <c r="B162" s="72" t="s">
        <v>579</v>
      </c>
      <c r="C162" s="73"/>
      <c r="D162" s="72"/>
      <c r="E162" s="92" t="s">
        <v>211</v>
      </c>
      <c r="F162" s="76" t="s">
        <v>56</v>
      </c>
      <c r="G162" s="76" t="s">
        <v>101</v>
      </c>
      <c r="H162" s="78"/>
      <c r="I162" s="77"/>
      <c r="J162" s="84"/>
      <c r="K162" s="80"/>
      <c r="L162" s="82" t="s">
        <v>12</v>
      </c>
      <c r="M162" s="84"/>
      <c r="N162" s="86"/>
      <c r="O162" s="86"/>
      <c r="P162" s="86"/>
      <c r="Q162" s="86"/>
      <c r="R162" s="86"/>
      <c r="S162" s="86"/>
      <c r="T162" s="86"/>
    </row>
    <row r="163" ht="123.75" hidden="1" customHeight="1" outlineLevel="1">
      <c r="A163" s="70" t="str">
        <f t="shared" si="12"/>
        <v>TC_Creator_Dee_150</v>
      </c>
      <c r="B163" s="72" t="s">
        <v>580</v>
      </c>
      <c r="C163" s="73"/>
      <c r="D163" s="72"/>
      <c r="E163" s="92"/>
      <c r="F163" s="76" t="s">
        <v>56</v>
      </c>
      <c r="G163" s="76" t="s">
        <v>101</v>
      </c>
      <c r="H163" s="78"/>
      <c r="I163" s="77"/>
      <c r="J163" s="84"/>
      <c r="K163" s="80"/>
      <c r="L163" s="82" t="s">
        <v>12</v>
      </c>
      <c r="M163" s="84"/>
      <c r="N163" s="86"/>
      <c r="O163" s="86"/>
      <c r="P163" s="86"/>
      <c r="Q163" s="86"/>
      <c r="R163" s="86"/>
      <c r="S163" s="86"/>
      <c r="T163" s="86"/>
    </row>
    <row r="164" ht="123.75" hidden="1" customHeight="1" outlineLevel="1">
      <c r="A164" s="70" t="str">
        <f t="shared" si="12"/>
        <v>TC_Creator_Dee_151</v>
      </c>
      <c r="B164" s="72" t="s">
        <v>581</v>
      </c>
      <c r="C164" s="73"/>
      <c r="D164" s="72"/>
      <c r="E164" s="92"/>
      <c r="F164" s="76" t="s">
        <v>56</v>
      </c>
      <c r="G164" s="76" t="s">
        <v>101</v>
      </c>
      <c r="H164" s="78"/>
      <c r="I164" s="77"/>
      <c r="J164" s="84"/>
      <c r="K164" s="80"/>
      <c r="L164" s="82" t="s">
        <v>12</v>
      </c>
      <c r="M164" s="84"/>
      <c r="N164" s="86"/>
      <c r="O164" s="86"/>
      <c r="P164" s="86"/>
      <c r="Q164" s="86"/>
      <c r="R164" s="86"/>
      <c r="S164" s="86"/>
      <c r="T164" s="86"/>
    </row>
    <row r="165" ht="123.75" hidden="1" customHeight="1" outlineLevel="1">
      <c r="A165" s="70" t="str">
        <f t="shared" si="12"/>
        <v>TC_Creator_Dee_152</v>
      </c>
      <c r="B165" s="72" t="s">
        <v>582</v>
      </c>
      <c r="C165" s="73"/>
      <c r="D165" s="72"/>
      <c r="E165" s="92" t="s">
        <v>213</v>
      </c>
      <c r="F165" s="76" t="s">
        <v>109</v>
      </c>
      <c r="G165" s="76" t="s">
        <v>214</v>
      </c>
      <c r="H165" s="78"/>
      <c r="I165" s="77"/>
      <c r="J165" s="84"/>
      <c r="K165" s="80"/>
      <c r="L165" s="82" t="s">
        <v>12</v>
      </c>
      <c r="M165" s="84"/>
      <c r="N165" s="86"/>
      <c r="O165" s="86"/>
      <c r="P165" s="86"/>
      <c r="Q165" s="86"/>
      <c r="R165" s="86"/>
      <c r="S165" s="86"/>
      <c r="T165" s="86"/>
    </row>
    <row r="166" ht="123.75" hidden="1" customHeight="1" outlineLevel="1">
      <c r="A166" s="70" t="str">
        <f t="shared" si="12"/>
        <v>TC_Creator_Dee_153</v>
      </c>
      <c r="B166" s="72" t="s">
        <v>583</v>
      </c>
      <c r="C166" s="73"/>
      <c r="D166" s="72"/>
      <c r="E166" s="92" t="s">
        <v>544</v>
      </c>
      <c r="F166" s="76" t="s">
        <v>109</v>
      </c>
      <c r="G166" s="76" t="s">
        <v>101</v>
      </c>
      <c r="H166" s="78"/>
      <c r="I166" s="77"/>
      <c r="J166" s="84"/>
      <c r="K166" s="80"/>
      <c r="L166" s="82" t="s">
        <v>12</v>
      </c>
      <c r="M166" s="84"/>
      <c r="N166" s="86"/>
      <c r="O166" s="86"/>
      <c r="P166" s="86"/>
      <c r="Q166" s="86"/>
      <c r="R166" s="86"/>
      <c r="S166" s="86"/>
      <c r="T166" s="86"/>
    </row>
    <row r="167" ht="123.75" hidden="1" customHeight="1" outlineLevel="1">
      <c r="A167" s="70" t="str">
        <f t="shared" si="12"/>
        <v>TC_Creator_Dee_154</v>
      </c>
      <c r="B167" s="72" t="s">
        <v>584</v>
      </c>
      <c r="C167" s="73"/>
      <c r="D167" s="72"/>
      <c r="E167" s="92" t="s">
        <v>544</v>
      </c>
      <c r="F167" s="76" t="s">
        <v>109</v>
      </c>
      <c r="G167" s="76" t="s">
        <v>214</v>
      </c>
      <c r="H167" s="78"/>
      <c r="I167" s="77"/>
      <c r="J167" s="84"/>
      <c r="K167" s="80"/>
      <c r="L167" s="82" t="s">
        <v>12</v>
      </c>
      <c r="M167" s="84"/>
      <c r="N167" s="86"/>
      <c r="O167" s="86"/>
      <c r="P167" s="86"/>
      <c r="Q167" s="86"/>
      <c r="R167" s="86"/>
      <c r="S167" s="86"/>
      <c r="T167" s="86"/>
    </row>
    <row r="168" ht="123.75" hidden="1" customHeight="1" outlineLevel="1">
      <c r="A168" s="70" t="str">
        <f t="shared" si="12"/>
        <v>TC_Creator_Dee_155</v>
      </c>
      <c r="B168" s="72" t="s">
        <v>585</v>
      </c>
      <c r="C168" s="73"/>
      <c r="D168" s="72"/>
      <c r="E168" s="92" t="s">
        <v>544</v>
      </c>
      <c r="F168" s="76" t="s">
        <v>109</v>
      </c>
      <c r="G168" s="76" t="s">
        <v>57</v>
      </c>
      <c r="H168" s="78"/>
      <c r="I168" s="77"/>
      <c r="J168" s="84"/>
      <c r="K168" s="80"/>
      <c r="L168" s="82" t="s">
        <v>12</v>
      </c>
      <c r="M168" s="84"/>
      <c r="N168" s="86"/>
      <c r="O168" s="86"/>
      <c r="P168" s="86"/>
      <c r="Q168" s="86"/>
      <c r="R168" s="86"/>
      <c r="S168" s="86"/>
      <c r="T168" s="86"/>
    </row>
    <row r="169" ht="123.75" hidden="1" customHeight="1" outlineLevel="1">
      <c r="A169" s="70" t="str">
        <f t="shared" si="12"/>
        <v>TC_Creator_Dee_156</v>
      </c>
      <c r="B169" s="72" t="s">
        <v>586</v>
      </c>
      <c r="C169" s="73"/>
      <c r="D169" s="72"/>
      <c r="E169" s="92" t="s">
        <v>544</v>
      </c>
      <c r="F169" s="76" t="s">
        <v>109</v>
      </c>
      <c r="G169" s="76" t="s">
        <v>214</v>
      </c>
      <c r="H169" s="78"/>
      <c r="I169" s="77"/>
      <c r="J169" s="84"/>
      <c r="K169" s="80"/>
      <c r="L169" s="82" t="s">
        <v>12</v>
      </c>
      <c r="M169" s="84"/>
      <c r="N169" s="86"/>
      <c r="O169" s="86"/>
      <c r="P169" s="86"/>
      <c r="Q169" s="86"/>
      <c r="R169" s="86"/>
      <c r="S169" s="86"/>
      <c r="T169" s="86"/>
    </row>
    <row r="170" ht="123.75" hidden="1" customHeight="1" outlineLevel="1">
      <c r="A170" s="70" t="str">
        <f t="shared" si="12"/>
        <v>TC_Creator_Dee_157</v>
      </c>
      <c r="B170" s="72" t="s">
        <v>587</v>
      </c>
      <c r="C170" s="73"/>
      <c r="D170" s="72"/>
      <c r="E170" s="92" t="s">
        <v>553</v>
      </c>
      <c r="F170" s="76" t="s">
        <v>109</v>
      </c>
      <c r="G170" s="76" t="s">
        <v>214</v>
      </c>
      <c r="H170" s="78"/>
      <c r="I170" s="77"/>
      <c r="J170" s="84"/>
      <c r="K170" s="80"/>
      <c r="L170" s="82" t="s">
        <v>12</v>
      </c>
      <c r="M170" s="84"/>
      <c r="N170" s="86"/>
      <c r="O170" s="86"/>
      <c r="P170" s="86"/>
      <c r="Q170" s="86"/>
      <c r="R170" s="86"/>
      <c r="S170" s="86"/>
      <c r="T170" s="86"/>
    </row>
    <row r="171" ht="123.75" hidden="1" customHeight="1" outlineLevel="1">
      <c r="A171" s="70" t="str">
        <f t="shared" si="12"/>
        <v>TC_Creator_Dee_158</v>
      </c>
      <c r="B171" s="72" t="s">
        <v>588</v>
      </c>
      <c r="C171" s="73"/>
      <c r="D171" s="72"/>
      <c r="E171" s="92" t="s">
        <v>544</v>
      </c>
      <c r="F171" s="76" t="s">
        <v>109</v>
      </c>
      <c r="G171" s="76" t="s">
        <v>214</v>
      </c>
      <c r="H171" s="78"/>
      <c r="I171" s="77"/>
      <c r="J171" s="84"/>
      <c r="K171" s="80"/>
      <c r="L171" s="82" t="s">
        <v>12</v>
      </c>
      <c r="M171" s="84"/>
      <c r="N171" s="86"/>
      <c r="O171" s="86"/>
      <c r="P171" s="86"/>
      <c r="Q171" s="86"/>
      <c r="R171" s="86"/>
      <c r="S171" s="86"/>
      <c r="T171" s="86"/>
    </row>
    <row r="172" ht="123.75" hidden="1" customHeight="1" outlineLevel="1">
      <c r="A172" s="70" t="str">
        <f t="shared" si="12"/>
        <v>TC_Creator_Dee_159</v>
      </c>
      <c r="B172" s="72" t="s">
        <v>589</v>
      </c>
      <c r="C172" s="73"/>
      <c r="D172" s="72"/>
      <c r="E172" s="92" t="s">
        <v>544</v>
      </c>
      <c r="F172" s="76" t="s">
        <v>109</v>
      </c>
      <c r="G172" s="76" t="s">
        <v>214</v>
      </c>
      <c r="H172" s="78"/>
      <c r="I172" s="77"/>
      <c r="J172" s="84"/>
      <c r="K172" s="80"/>
      <c r="L172" s="82" t="s">
        <v>12</v>
      </c>
      <c r="M172" s="84"/>
      <c r="N172" s="86"/>
      <c r="O172" s="86"/>
      <c r="P172" s="86"/>
      <c r="Q172" s="86"/>
      <c r="R172" s="86"/>
      <c r="S172" s="86"/>
      <c r="T172" s="86"/>
    </row>
    <row r="173" ht="123.75" hidden="1" customHeight="1" outlineLevel="1">
      <c r="A173" s="70" t="str">
        <f t="shared" si="12"/>
        <v>TC_Creator_Dee_160</v>
      </c>
      <c r="B173" s="72" t="s">
        <v>590</v>
      </c>
      <c r="C173" s="73"/>
      <c r="D173" s="72"/>
      <c r="E173" s="92" t="s">
        <v>544</v>
      </c>
      <c r="F173" s="76" t="s">
        <v>109</v>
      </c>
      <c r="G173" s="76" t="s">
        <v>57</v>
      </c>
      <c r="H173" s="78"/>
      <c r="I173" s="77"/>
      <c r="J173" s="84"/>
      <c r="K173" s="80"/>
      <c r="L173" s="82" t="s">
        <v>12</v>
      </c>
      <c r="M173" s="84"/>
      <c r="N173" s="86"/>
      <c r="O173" s="86"/>
      <c r="P173" s="86"/>
      <c r="Q173" s="86"/>
      <c r="R173" s="86"/>
      <c r="S173" s="86"/>
      <c r="T173" s="86"/>
    </row>
    <row r="174" ht="123.75" hidden="1" customHeight="1" outlineLevel="1">
      <c r="A174" s="108" t="str">
        <f t="shared" si="12"/>
        <v>TC_Creator_Dee_161</v>
      </c>
      <c r="B174" s="72" t="s">
        <v>591</v>
      </c>
      <c r="C174" s="73"/>
      <c r="D174" s="72"/>
      <c r="E174" s="92" t="s">
        <v>544</v>
      </c>
      <c r="F174" s="76" t="s">
        <v>109</v>
      </c>
      <c r="G174" s="76" t="s">
        <v>214</v>
      </c>
      <c r="H174" s="78"/>
      <c r="I174" s="77"/>
      <c r="J174" s="84"/>
      <c r="K174" s="80"/>
      <c r="L174" s="82" t="s">
        <v>12</v>
      </c>
      <c r="M174" s="84"/>
      <c r="N174" s="86"/>
      <c r="O174" s="86"/>
      <c r="P174" s="86"/>
      <c r="Q174" s="86"/>
      <c r="R174" s="86"/>
      <c r="S174" s="86"/>
      <c r="T174" s="86"/>
    </row>
    <row r="175" ht="30.0" customHeight="1" outlineLevel="1">
      <c r="A175" s="101" t="s">
        <v>478</v>
      </c>
      <c r="B175" s="10"/>
      <c r="C175" s="102"/>
      <c r="D175" s="103"/>
      <c r="E175" s="103"/>
      <c r="F175" s="103"/>
      <c r="G175" s="104"/>
      <c r="H175" s="104"/>
      <c r="I175" s="104"/>
      <c r="J175" s="104"/>
      <c r="K175" s="104"/>
      <c r="L175" s="104"/>
      <c r="M175" s="104"/>
      <c r="N175" s="86"/>
      <c r="O175" s="86"/>
      <c r="P175" s="86"/>
      <c r="Q175" s="86"/>
      <c r="R175" s="86"/>
      <c r="S175" s="86"/>
      <c r="T175" s="86"/>
    </row>
    <row r="176" ht="91.5" customHeight="1" outlineLevel="1">
      <c r="A176" s="70" t="str">
        <f t="shared" ref="A176:A183" si="13">"TC_Creator_Dee_"&amp;(ROW()-ROW($A$12)+1-6)</f>
        <v>TC_Creator_Dee_159</v>
      </c>
      <c r="B176" s="72" t="s">
        <v>592</v>
      </c>
      <c r="C176" s="73"/>
      <c r="D176" s="72"/>
      <c r="E176" s="78"/>
      <c r="F176" s="76" t="s">
        <v>56</v>
      </c>
      <c r="G176" s="76" t="s">
        <v>57</v>
      </c>
      <c r="H176" s="78"/>
      <c r="I176" s="77"/>
      <c r="J176" s="84"/>
      <c r="K176" s="80"/>
      <c r="L176" s="82" t="s">
        <v>12</v>
      </c>
      <c r="M176" s="84"/>
      <c r="N176" s="86"/>
      <c r="O176" s="86"/>
      <c r="P176" s="86"/>
      <c r="Q176" s="86"/>
      <c r="R176" s="86"/>
      <c r="S176" s="86"/>
      <c r="T176" s="86"/>
    </row>
    <row r="177" ht="91.5" customHeight="1" outlineLevel="1">
      <c r="A177" s="70" t="str">
        <f t="shared" si="13"/>
        <v>TC_Creator_Dee_160</v>
      </c>
      <c r="B177" s="72" t="s">
        <v>593</v>
      </c>
      <c r="C177" s="73"/>
      <c r="D177" s="72"/>
      <c r="E177" s="78"/>
      <c r="F177" s="76" t="s">
        <v>56</v>
      </c>
      <c r="G177" s="76" t="s">
        <v>214</v>
      </c>
      <c r="H177" s="78"/>
      <c r="I177" s="77"/>
      <c r="J177" s="84"/>
      <c r="K177" s="80"/>
      <c r="L177" s="82" t="s">
        <v>12</v>
      </c>
      <c r="M177" s="84"/>
      <c r="N177" s="86"/>
      <c r="O177" s="86"/>
      <c r="P177" s="86"/>
      <c r="Q177" s="86"/>
      <c r="R177" s="86"/>
      <c r="S177" s="86"/>
      <c r="T177" s="86"/>
    </row>
    <row r="178" ht="91.5" customHeight="1" outlineLevel="1">
      <c r="A178" s="70" t="str">
        <f t="shared" si="13"/>
        <v>TC_Creator_Dee_161</v>
      </c>
      <c r="B178" s="72" t="s">
        <v>594</v>
      </c>
      <c r="C178" s="73"/>
      <c r="D178" s="72"/>
      <c r="E178" s="78"/>
      <c r="F178" s="76" t="s">
        <v>56</v>
      </c>
      <c r="G178" s="76" t="s">
        <v>214</v>
      </c>
      <c r="H178" s="78"/>
      <c r="I178" s="77"/>
      <c r="J178" s="84"/>
      <c r="K178" s="80"/>
      <c r="L178" s="82" t="s">
        <v>12</v>
      </c>
      <c r="M178" s="84"/>
      <c r="N178" s="86"/>
      <c r="O178" s="86"/>
      <c r="P178" s="86"/>
      <c r="Q178" s="86"/>
      <c r="R178" s="86"/>
      <c r="S178" s="86"/>
      <c r="T178" s="86"/>
    </row>
    <row r="179" ht="91.5" customHeight="1" outlineLevel="1">
      <c r="A179" s="70" t="str">
        <f t="shared" si="13"/>
        <v>TC_Creator_Dee_162</v>
      </c>
      <c r="B179" s="72" t="s">
        <v>595</v>
      </c>
      <c r="C179" s="73"/>
      <c r="D179" s="72"/>
      <c r="E179" s="78"/>
      <c r="F179" s="76" t="s">
        <v>56</v>
      </c>
      <c r="G179" s="76" t="s">
        <v>214</v>
      </c>
      <c r="H179" s="78"/>
      <c r="I179" s="77"/>
      <c r="J179" s="84"/>
      <c r="K179" s="80"/>
      <c r="L179" s="82" t="s">
        <v>12</v>
      </c>
      <c r="M179" s="84"/>
      <c r="N179" s="86"/>
      <c r="O179" s="86"/>
      <c r="P179" s="86"/>
      <c r="Q179" s="86"/>
      <c r="R179" s="86"/>
      <c r="S179" s="86"/>
      <c r="T179" s="86"/>
    </row>
    <row r="180" ht="91.5" customHeight="1" outlineLevel="1">
      <c r="A180" s="70" t="str">
        <f t="shared" si="13"/>
        <v>TC_Creator_Dee_163</v>
      </c>
      <c r="B180" s="72" t="s">
        <v>596</v>
      </c>
      <c r="C180" s="73"/>
      <c r="D180" s="72"/>
      <c r="E180" s="78"/>
      <c r="F180" s="76" t="s">
        <v>56</v>
      </c>
      <c r="G180" s="76" t="s">
        <v>101</v>
      </c>
      <c r="H180" s="78"/>
      <c r="I180" s="77"/>
      <c r="J180" s="84"/>
      <c r="K180" s="80"/>
      <c r="L180" s="82" t="s">
        <v>12</v>
      </c>
      <c r="M180" s="84"/>
      <c r="N180" s="86"/>
      <c r="O180" s="86"/>
      <c r="P180" s="86"/>
      <c r="Q180" s="86"/>
      <c r="R180" s="86"/>
      <c r="S180" s="86"/>
      <c r="T180" s="86"/>
    </row>
    <row r="181" ht="91.5" customHeight="1" outlineLevel="1">
      <c r="A181" s="70" t="str">
        <f t="shared" si="13"/>
        <v>TC_Creator_Dee_164</v>
      </c>
      <c r="B181" s="72" t="s">
        <v>597</v>
      </c>
      <c r="C181" s="73"/>
      <c r="D181" s="72"/>
      <c r="E181" s="78"/>
      <c r="F181" s="76" t="s">
        <v>56</v>
      </c>
      <c r="G181" s="76" t="s">
        <v>101</v>
      </c>
      <c r="H181" s="78"/>
      <c r="I181" s="77"/>
      <c r="J181" s="84"/>
      <c r="K181" s="80"/>
      <c r="L181" s="82" t="s">
        <v>12</v>
      </c>
      <c r="M181" s="84"/>
      <c r="N181" s="86"/>
      <c r="O181" s="86"/>
      <c r="P181" s="86"/>
      <c r="Q181" s="86"/>
      <c r="R181" s="86"/>
      <c r="S181" s="86"/>
      <c r="T181" s="86"/>
    </row>
    <row r="182" ht="91.5" customHeight="1" outlineLevel="1">
      <c r="A182" s="70" t="str">
        <f t="shared" si="13"/>
        <v>TC_Creator_Dee_165</v>
      </c>
      <c r="B182" s="72" t="s">
        <v>598</v>
      </c>
      <c r="C182" s="73"/>
      <c r="D182" s="72"/>
      <c r="E182" s="78"/>
      <c r="F182" s="76" t="s">
        <v>56</v>
      </c>
      <c r="G182" s="76" t="s">
        <v>101</v>
      </c>
      <c r="H182" s="78"/>
      <c r="I182" s="77"/>
      <c r="J182" s="84"/>
      <c r="K182" s="80"/>
      <c r="L182" s="82" t="s">
        <v>12</v>
      </c>
      <c r="M182" s="84"/>
      <c r="N182" s="86"/>
      <c r="O182" s="86"/>
      <c r="P182" s="86"/>
      <c r="Q182" s="86"/>
      <c r="R182" s="86"/>
      <c r="S182" s="86"/>
      <c r="T182" s="86"/>
    </row>
    <row r="183" ht="91.5" customHeight="1" outlineLevel="1">
      <c r="A183" s="70" t="str">
        <f t="shared" si="13"/>
        <v>TC_Creator_Dee_166</v>
      </c>
      <c r="B183" s="72" t="s">
        <v>599</v>
      </c>
      <c r="C183" s="73"/>
      <c r="D183" s="72"/>
      <c r="E183" s="78"/>
      <c r="F183" s="76" t="s">
        <v>56</v>
      </c>
      <c r="G183" s="76" t="s">
        <v>101</v>
      </c>
      <c r="H183" s="78"/>
      <c r="I183" s="77"/>
      <c r="J183" s="84"/>
      <c r="K183" s="80"/>
      <c r="L183" s="82" t="s">
        <v>12</v>
      </c>
      <c r="M183" s="84"/>
      <c r="N183" s="86"/>
      <c r="O183" s="86"/>
      <c r="P183" s="86"/>
      <c r="Q183" s="86"/>
      <c r="R183" s="86"/>
      <c r="S183" s="86"/>
      <c r="T183" s="86"/>
    </row>
    <row r="184" ht="105.75" customHeight="1" outlineLevel="1">
      <c r="A184" s="70" t="str">
        <f>"TC_Creator_Dee_"&amp;(ROW()-ROW($A$12)+1-5)</f>
        <v>TC_Creator_Dee_168</v>
      </c>
      <c r="B184" s="72" t="s">
        <v>600</v>
      </c>
      <c r="C184" s="73"/>
      <c r="D184" s="72"/>
      <c r="E184" s="78"/>
      <c r="F184" s="76" t="s">
        <v>56</v>
      </c>
      <c r="G184" s="76" t="s">
        <v>57</v>
      </c>
      <c r="H184" s="78"/>
      <c r="I184" s="77"/>
      <c r="J184" s="84"/>
      <c r="K184" s="80"/>
      <c r="L184" s="82" t="s">
        <v>12</v>
      </c>
      <c r="M184" s="84"/>
      <c r="N184" s="86"/>
      <c r="O184" s="86"/>
      <c r="P184" s="86"/>
      <c r="Q184" s="86"/>
      <c r="R184" s="86"/>
      <c r="S184" s="86"/>
      <c r="T184" s="86"/>
    </row>
    <row r="185" ht="30.0" customHeight="1" outlineLevel="1">
      <c r="A185" s="101" t="s">
        <v>505</v>
      </c>
      <c r="B185" s="10"/>
      <c r="C185" s="102"/>
      <c r="D185" s="103"/>
      <c r="E185" s="103"/>
      <c r="F185" s="103"/>
      <c r="G185" s="104"/>
      <c r="H185" s="104"/>
      <c r="I185" s="104"/>
      <c r="J185" s="104"/>
      <c r="K185" s="104"/>
      <c r="L185" s="104"/>
      <c r="M185" s="104"/>
      <c r="N185" s="86"/>
      <c r="O185" s="86"/>
      <c r="P185" s="86"/>
      <c r="Q185" s="86"/>
      <c r="R185" s="86"/>
      <c r="S185" s="86"/>
      <c r="T185" s="86"/>
    </row>
    <row r="186" ht="91.5" customHeight="1" outlineLevel="1">
      <c r="A186" s="70" t="str">
        <f t="shared" ref="A186:A194" si="14">"TC_Creator_Dee_"&amp;(ROW()-ROW($A$12)+1-6)</f>
        <v>TC_Creator_Dee_169</v>
      </c>
      <c r="B186" s="72" t="s">
        <v>601</v>
      </c>
      <c r="C186" s="73"/>
      <c r="D186" s="72"/>
      <c r="E186" s="78"/>
      <c r="F186" s="76" t="s">
        <v>56</v>
      </c>
      <c r="G186" s="76" t="s">
        <v>57</v>
      </c>
      <c r="H186" s="78"/>
      <c r="I186" s="77"/>
      <c r="J186" s="84"/>
      <c r="K186" s="80"/>
      <c r="L186" s="82" t="s">
        <v>12</v>
      </c>
      <c r="M186" s="84"/>
      <c r="N186" s="86"/>
      <c r="O186" s="86"/>
      <c r="P186" s="86"/>
      <c r="Q186" s="86"/>
      <c r="R186" s="86"/>
      <c r="S186" s="86"/>
      <c r="T186" s="86"/>
    </row>
    <row r="187" ht="91.5" customHeight="1" outlineLevel="1">
      <c r="A187" s="70" t="str">
        <f t="shared" si="14"/>
        <v>TC_Creator_Dee_170</v>
      </c>
      <c r="B187" s="72" t="s">
        <v>602</v>
      </c>
      <c r="C187" s="73"/>
      <c r="D187" s="72"/>
      <c r="E187" s="78"/>
      <c r="F187" s="76" t="s">
        <v>56</v>
      </c>
      <c r="G187" s="76" t="s">
        <v>214</v>
      </c>
      <c r="H187" s="78"/>
      <c r="I187" s="77"/>
      <c r="J187" s="84"/>
      <c r="K187" s="80"/>
      <c r="L187" s="82" t="s">
        <v>12</v>
      </c>
      <c r="M187" s="84"/>
      <c r="N187" s="86"/>
      <c r="O187" s="86"/>
      <c r="P187" s="86"/>
      <c r="Q187" s="86"/>
      <c r="R187" s="86"/>
      <c r="S187" s="86"/>
      <c r="T187" s="86"/>
    </row>
    <row r="188" ht="91.5" customHeight="1" outlineLevel="1">
      <c r="A188" s="70" t="str">
        <f t="shared" si="14"/>
        <v>TC_Creator_Dee_171</v>
      </c>
      <c r="B188" s="72" t="s">
        <v>603</v>
      </c>
      <c r="C188" s="73"/>
      <c r="D188" s="72"/>
      <c r="E188" s="78"/>
      <c r="F188" s="76" t="s">
        <v>56</v>
      </c>
      <c r="G188" s="76" t="s">
        <v>214</v>
      </c>
      <c r="H188" s="78"/>
      <c r="I188" s="77"/>
      <c r="J188" s="84"/>
      <c r="K188" s="80"/>
      <c r="L188" s="82" t="s">
        <v>12</v>
      </c>
      <c r="M188" s="84"/>
      <c r="N188" s="86"/>
      <c r="O188" s="86"/>
      <c r="P188" s="86"/>
      <c r="Q188" s="86"/>
      <c r="R188" s="86"/>
      <c r="S188" s="86"/>
      <c r="T188" s="86"/>
    </row>
    <row r="189" ht="91.5" customHeight="1" outlineLevel="1">
      <c r="A189" s="70" t="str">
        <f t="shared" si="14"/>
        <v>TC_Creator_Dee_172</v>
      </c>
      <c r="B189" s="72" t="s">
        <v>604</v>
      </c>
      <c r="C189" s="73"/>
      <c r="D189" s="72"/>
      <c r="E189" s="78"/>
      <c r="F189" s="76" t="s">
        <v>56</v>
      </c>
      <c r="G189" s="76" t="s">
        <v>214</v>
      </c>
      <c r="H189" s="78"/>
      <c r="I189" s="77"/>
      <c r="J189" s="84"/>
      <c r="K189" s="80"/>
      <c r="L189" s="82" t="s">
        <v>12</v>
      </c>
      <c r="M189" s="84"/>
      <c r="N189" s="86"/>
      <c r="O189" s="86"/>
      <c r="P189" s="86"/>
      <c r="Q189" s="86"/>
      <c r="R189" s="86"/>
      <c r="S189" s="86"/>
      <c r="T189" s="86"/>
    </row>
    <row r="190" ht="91.5" customHeight="1" outlineLevel="1">
      <c r="A190" s="70" t="str">
        <f t="shared" si="14"/>
        <v>TC_Creator_Dee_173</v>
      </c>
      <c r="B190" s="72" t="s">
        <v>605</v>
      </c>
      <c r="C190" s="73"/>
      <c r="D190" s="72"/>
      <c r="E190" s="78"/>
      <c r="F190" s="76" t="s">
        <v>56</v>
      </c>
      <c r="G190" s="76" t="s">
        <v>101</v>
      </c>
      <c r="H190" s="78"/>
      <c r="I190" s="77"/>
      <c r="J190" s="84"/>
      <c r="K190" s="80"/>
      <c r="L190" s="82" t="s">
        <v>12</v>
      </c>
      <c r="M190" s="84"/>
      <c r="N190" s="86"/>
      <c r="O190" s="86"/>
      <c r="P190" s="86"/>
      <c r="Q190" s="86"/>
      <c r="R190" s="86"/>
      <c r="S190" s="86"/>
      <c r="T190" s="86"/>
    </row>
    <row r="191" ht="91.5" customHeight="1" outlineLevel="1">
      <c r="A191" s="70" t="str">
        <f t="shared" si="14"/>
        <v>TC_Creator_Dee_174</v>
      </c>
      <c r="B191" s="72" t="s">
        <v>606</v>
      </c>
      <c r="C191" s="73"/>
      <c r="D191" s="72"/>
      <c r="E191" s="78"/>
      <c r="F191" s="76" t="s">
        <v>56</v>
      </c>
      <c r="G191" s="76" t="s">
        <v>101</v>
      </c>
      <c r="H191" s="78"/>
      <c r="I191" s="77"/>
      <c r="J191" s="84"/>
      <c r="K191" s="80"/>
      <c r="L191" s="82" t="s">
        <v>12</v>
      </c>
      <c r="M191" s="84"/>
      <c r="N191" s="86"/>
      <c r="O191" s="86"/>
      <c r="P191" s="86"/>
      <c r="Q191" s="86"/>
      <c r="R191" s="86"/>
      <c r="S191" s="86"/>
      <c r="T191" s="86"/>
    </row>
    <row r="192" ht="147.0" customHeight="1" outlineLevel="1">
      <c r="A192" s="70" t="str">
        <f t="shared" si="14"/>
        <v>TC_Creator_Dee_175</v>
      </c>
      <c r="B192" s="72" t="s">
        <v>607</v>
      </c>
      <c r="C192" s="73"/>
      <c r="D192" s="72"/>
      <c r="E192" s="78"/>
      <c r="F192" s="76" t="s">
        <v>56</v>
      </c>
      <c r="G192" s="76" t="s">
        <v>101</v>
      </c>
      <c r="H192" s="78"/>
      <c r="I192" s="77"/>
      <c r="J192" s="84"/>
      <c r="K192" s="80"/>
      <c r="L192" s="82" t="s">
        <v>12</v>
      </c>
      <c r="M192" s="84"/>
      <c r="N192" s="86"/>
      <c r="O192" s="86"/>
      <c r="P192" s="86"/>
      <c r="Q192" s="86"/>
      <c r="R192" s="86"/>
      <c r="S192" s="86"/>
      <c r="T192" s="86"/>
    </row>
    <row r="193" ht="147.0" customHeight="1" outlineLevel="1">
      <c r="A193" s="70" t="str">
        <f t="shared" si="14"/>
        <v>TC_Creator_Dee_176</v>
      </c>
      <c r="B193" s="72" t="s">
        <v>608</v>
      </c>
      <c r="C193" s="73"/>
      <c r="D193" s="72"/>
      <c r="E193" s="78"/>
      <c r="F193" s="76" t="s">
        <v>56</v>
      </c>
      <c r="G193" s="76" t="s">
        <v>101</v>
      </c>
      <c r="H193" s="78"/>
      <c r="I193" s="77"/>
      <c r="J193" s="84"/>
      <c r="K193" s="80"/>
      <c r="L193" s="82" t="s">
        <v>12</v>
      </c>
      <c r="M193" s="84"/>
      <c r="N193" s="86"/>
      <c r="O193" s="86"/>
      <c r="P193" s="86"/>
      <c r="Q193" s="86"/>
      <c r="R193" s="86"/>
      <c r="S193" s="86"/>
      <c r="T193" s="86"/>
    </row>
    <row r="194" ht="147.0" customHeight="1" outlineLevel="1">
      <c r="A194" s="70" t="str">
        <f t="shared" si="14"/>
        <v>TC_Creator_Dee_177</v>
      </c>
      <c r="B194" s="72" t="s">
        <v>609</v>
      </c>
      <c r="C194" s="73"/>
      <c r="D194" s="72"/>
      <c r="E194" s="78"/>
      <c r="F194" s="76"/>
      <c r="G194" s="76"/>
      <c r="H194" s="78"/>
      <c r="I194" s="77"/>
      <c r="J194" s="84"/>
      <c r="K194" s="80"/>
      <c r="L194" s="82" t="s">
        <v>12</v>
      </c>
      <c r="M194" s="84"/>
      <c r="N194" s="86"/>
      <c r="O194" s="86"/>
      <c r="P194" s="86"/>
      <c r="Q194" s="86"/>
      <c r="R194" s="86"/>
      <c r="S194" s="86"/>
      <c r="T194" s="86"/>
    </row>
    <row r="195" ht="30.0" customHeight="1" outlineLevel="1">
      <c r="A195" s="101" t="s">
        <v>534</v>
      </c>
      <c r="B195" s="10"/>
      <c r="C195" s="102"/>
      <c r="D195" s="103"/>
      <c r="E195" s="103"/>
      <c r="F195" s="103"/>
      <c r="G195" s="104"/>
      <c r="H195" s="104"/>
      <c r="I195" s="104"/>
      <c r="J195" s="104"/>
      <c r="K195" s="104"/>
      <c r="L195" s="104"/>
      <c r="M195" s="104"/>
      <c r="N195" s="86"/>
      <c r="O195" s="86"/>
      <c r="P195" s="86"/>
      <c r="Q195" s="86"/>
      <c r="R195" s="86"/>
      <c r="S195" s="86"/>
      <c r="T195" s="86"/>
    </row>
    <row r="196" ht="91.5" customHeight="1" outlineLevel="1">
      <c r="A196" s="70" t="str">
        <f t="shared" ref="A196:A206" si="15">"TC_Creator_Dee_"&amp;(ROW()-ROW($A$12)+1-6)</f>
        <v>TC_Creator_Dee_179</v>
      </c>
      <c r="B196" s="72" t="s">
        <v>610</v>
      </c>
      <c r="C196" s="73"/>
      <c r="D196" s="72"/>
      <c r="E196" s="78"/>
      <c r="F196" s="76" t="s">
        <v>56</v>
      </c>
      <c r="G196" s="76" t="s">
        <v>57</v>
      </c>
      <c r="H196" s="78"/>
      <c r="I196" s="77"/>
      <c r="J196" s="84"/>
      <c r="K196" s="80"/>
      <c r="L196" s="82" t="s">
        <v>12</v>
      </c>
      <c r="M196" s="84"/>
      <c r="N196" s="86"/>
      <c r="O196" s="86"/>
      <c r="P196" s="86"/>
      <c r="Q196" s="86"/>
      <c r="R196" s="86"/>
      <c r="S196" s="86"/>
      <c r="T196" s="86"/>
    </row>
    <row r="197" ht="91.5" customHeight="1" outlineLevel="1">
      <c r="A197" s="70" t="str">
        <f t="shared" si="15"/>
        <v>TC_Creator_Dee_180</v>
      </c>
      <c r="B197" s="72" t="s">
        <v>611</v>
      </c>
      <c r="C197" s="73"/>
      <c r="D197" s="72"/>
      <c r="E197" s="78"/>
      <c r="F197" s="76" t="s">
        <v>56</v>
      </c>
      <c r="G197" s="76" t="s">
        <v>214</v>
      </c>
      <c r="H197" s="78"/>
      <c r="I197" s="77"/>
      <c r="J197" s="84"/>
      <c r="K197" s="80"/>
      <c r="L197" s="82" t="s">
        <v>12</v>
      </c>
      <c r="M197" s="84"/>
      <c r="N197" s="86"/>
      <c r="O197" s="86"/>
      <c r="P197" s="86"/>
      <c r="Q197" s="86"/>
      <c r="R197" s="86"/>
      <c r="S197" s="86"/>
      <c r="T197" s="86"/>
    </row>
    <row r="198" ht="91.5" customHeight="1" outlineLevel="1">
      <c r="A198" s="70" t="str">
        <f t="shared" si="15"/>
        <v>TC_Creator_Dee_181</v>
      </c>
      <c r="B198" s="72" t="s">
        <v>612</v>
      </c>
      <c r="C198" s="73"/>
      <c r="D198" s="72"/>
      <c r="E198" s="78"/>
      <c r="F198" s="76" t="s">
        <v>56</v>
      </c>
      <c r="G198" s="76" t="s">
        <v>214</v>
      </c>
      <c r="H198" s="78"/>
      <c r="I198" s="77"/>
      <c r="J198" s="84"/>
      <c r="K198" s="80"/>
      <c r="L198" s="82" t="s">
        <v>12</v>
      </c>
      <c r="M198" s="84"/>
      <c r="N198" s="86"/>
      <c r="O198" s="86"/>
      <c r="P198" s="86"/>
      <c r="Q198" s="86"/>
      <c r="R198" s="86"/>
      <c r="S198" s="86"/>
      <c r="T198" s="86"/>
    </row>
    <row r="199" ht="91.5" customHeight="1" outlineLevel="1">
      <c r="A199" s="70" t="str">
        <f t="shared" si="15"/>
        <v>TC_Creator_Dee_182</v>
      </c>
      <c r="B199" s="72" t="s">
        <v>613</v>
      </c>
      <c r="C199" s="73"/>
      <c r="D199" s="72"/>
      <c r="E199" s="78"/>
      <c r="F199" s="76" t="s">
        <v>56</v>
      </c>
      <c r="G199" s="76" t="s">
        <v>57</v>
      </c>
      <c r="H199" s="78"/>
      <c r="I199" s="77"/>
      <c r="J199" s="84"/>
      <c r="K199" s="80"/>
      <c r="L199" s="82" t="s">
        <v>12</v>
      </c>
      <c r="M199" s="84"/>
      <c r="N199" s="86"/>
      <c r="O199" s="86"/>
      <c r="P199" s="86"/>
      <c r="Q199" s="86"/>
      <c r="R199" s="86"/>
      <c r="S199" s="86"/>
      <c r="T199" s="86"/>
    </row>
    <row r="200" ht="91.5" customHeight="1" outlineLevel="1">
      <c r="A200" s="70" t="str">
        <f t="shared" si="15"/>
        <v>TC_Creator_Dee_183</v>
      </c>
      <c r="B200" s="72" t="s">
        <v>615</v>
      </c>
      <c r="C200" s="73"/>
      <c r="D200" s="72"/>
      <c r="E200" s="78"/>
      <c r="F200" s="76" t="s">
        <v>56</v>
      </c>
      <c r="G200" s="76" t="s">
        <v>57</v>
      </c>
      <c r="H200" s="78"/>
      <c r="I200" s="77"/>
      <c r="J200" s="84"/>
      <c r="K200" s="80"/>
      <c r="L200" s="82" t="s">
        <v>12</v>
      </c>
      <c r="M200" s="84"/>
      <c r="N200" s="86"/>
      <c r="O200" s="86"/>
      <c r="P200" s="86"/>
      <c r="Q200" s="86"/>
      <c r="R200" s="86"/>
      <c r="S200" s="86"/>
      <c r="T200" s="86"/>
    </row>
    <row r="201" ht="91.5" customHeight="1" outlineLevel="1">
      <c r="A201" s="70" t="str">
        <f t="shared" si="15"/>
        <v>TC_Creator_Dee_184</v>
      </c>
      <c r="B201" s="72" t="s">
        <v>617</v>
      </c>
      <c r="C201" s="73"/>
      <c r="D201" s="72"/>
      <c r="E201" s="78"/>
      <c r="F201" s="76" t="s">
        <v>56</v>
      </c>
      <c r="G201" s="76" t="s">
        <v>57</v>
      </c>
      <c r="H201" s="78"/>
      <c r="I201" s="77"/>
      <c r="J201" s="84"/>
      <c r="K201" s="80"/>
      <c r="L201" s="82" t="s">
        <v>12</v>
      </c>
      <c r="M201" s="84"/>
      <c r="N201" s="86"/>
      <c r="O201" s="86"/>
      <c r="P201" s="86"/>
      <c r="Q201" s="86"/>
      <c r="R201" s="86"/>
      <c r="S201" s="86"/>
      <c r="T201" s="86"/>
    </row>
    <row r="202" ht="91.5" customHeight="1" outlineLevel="1">
      <c r="A202" s="70" t="str">
        <f t="shared" si="15"/>
        <v>TC_Creator_Dee_185</v>
      </c>
      <c r="B202" s="72" t="s">
        <v>619</v>
      </c>
      <c r="C202" s="73"/>
      <c r="D202" s="72"/>
      <c r="E202" s="78"/>
      <c r="F202" s="76" t="s">
        <v>56</v>
      </c>
      <c r="G202" s="76" t="s">
        <v>57</v>
      </c>
      <c r="H202" s="78"/>
      <c r="I202" s="77"/>
      <c r="J202" s="84"/>
      <c r="K202" s="80"/>
      <c r="L202" s="82" t="s">
        <v>12</v>
      </c>
      <c r="M202" s="84"/>
      <c r="N202" s="86"/>
      <c r="O202" s="86"/>
      <c r="P202" s="86"/>
      <c r="Q202" s="86"/>
      <c r="R202" s="86"/>
      <c r="S202" s="86"/>
      <c r="T202" s="86"/>
    </row>
    <row r="203" ht="91.5" customHeight="1" outlineLevel="1">
      <c r="A203" s="70" t="str">
        <f t="shared" si="15"/>
        <v>TC_Creator_Dee_186</v>
      </c>
      <c r="B203" s="72" t="s">
        <v>621</v>
      </c>
      <c r="C203" s="73"/>
      <c r="D203" s="72"/>
      <c r="E203" s="78"/>
      <c r="F203" s="76" t="s">
        <v>56</v>
      </c>
      <c r="G203" s="76" t="s">
        <v>57</v>
      </c>
      <c r="H203" s="78"/>
      <c r="I203" s="77"/>
      <c r="J203" s="84"/>
      <c r="K203" s="80"/>
      <c r="L203" s="82" t="s">
        <v>12</v>
      </c>
      <c r="M203" s="84"/>
      <c r="N203" s="86"/>
      <c r="O203" s="86"/>
      <c r="P203" s="86"/>
      <c r="Q203" s="86"/>
      <c r="R203" s="86"/>
      <c r="S203" s="86"/>
      <c r="T203" s="86"/>
    </row>
    <row r="204" ht="91.5" customHeight="1" outlineLevel="1">
      <c r="A204" s="70" t="str">
        <f t="shared" si="15"/>
        <v>TC_Creator_Dee_187</v>
      </c>
      <c r="B204" s="72" t="s">
        <v>622</v>
      </c>
      <c r="C204" s="73"/>
      <c r="D204" s="72"/>
      <c r="E204" s="78"/>
      <c r="F204" s="76" t="s">
        <v>56</v>
      </c>
      <c r="G204" s="76" t="s">
        <v>57</v>
      </c>
      <c r="H204" s="78"/>
      <c r="I204" s="77"/>
      <c r="J204" s="84"/>
      <c r="K204" s="80"/>
      <c r="L204" s="82" t="s">
        <v>12</v>
      </c>
      <c r="M204" s="84"/>
      <c r="N204" s="86"/>
      <c r="O204" s="86"/>
      <c r="P204" s="86"/>
      <c r="Q204" s="86"/>
      <c r="R204" s="86"/>
      <c r="S204" s="86"/>
      <c r="T204" s="86"/>
    </row>
    <row r="205" ht="91.5" customHeight="1" outlineLevel="1">
      <c r="A205" s="70" t="str">
        <f t="shared" si="15"/>
        <v>TC_Creator_Dee_188</v>
      </c>
      <c r="B205" s="72" t="s">
        <v>624</v>
      </c>
      <c r="C205" s="73"/>
      <c r="D205" s="72"/>
      <c r="E205" s="78"/>
      <c r="F205" s="76" t="s">
        <v>56</v>
      </c>
      <c r="G205" s="76" t="s">
        <v>57</v>
      </c>
      <c r="H205" s="78"/>
      <c r="I205" s="77"/>
      <c r="J205" s="84"/>
      <c r="K205" s="80"/>
      <c r="L205" s="82" t="s">
        <v>12</v>
      </c>
      <c r="M205" s="84"/>
      <c r="N205" s="86"/>
      <c r="O205" s="86"/>
      <c r="P205" s="86"/>
      <c r="Q205" s="86"/>
      <c r="R205" s="86"/>
      <c r="S205" s="86"/>
      <c r="T205" s="86"/>
    </row>
    <row r="206" ht="91.5" customHeight="1" outlineLevel="1">
      <c r="A206" s="70" t="str">
        <f t="shared" si="15"/>
        <v>TC_Creator_Dee_189</v>
      </c>
      <c r="B206" s="72" t="s">
        <v>626</v>
      </c>
      <c r="C206" s="73"/>
      <c r="D206" s="72"/>
      <c r="E206" s="78"/>
      <c r="F206" s="76" t="s">
        <v>56</v>
      </c>
      <c r="G206" s="76" t="s">
        <v>57</v>
      </c>
      <c r="H206" s="78"/>
      <c r="I206" s="77"/>
      <c r="J206" s="84"/>
      <c r="K206" s="80"/>
      <c r="L206" s="82" t="s">
        <v>12</v>
      </c>
      <c r="M206" s="84"/>
      <c r="N206" s="86"/>
      <c r="O206" s="86"/>
      <c r="P206" s="86"/>
      <c r="Q206" s="86"/>
      <c r="R206" s="86"/>
      <c r="S206" s="86"/>
      <c r="T206" s="86"/>
    </row>
    <row r="207" ht="30.0" customHeight="1" outlineLevel="1">
      <c r="A207" s="101" t="s">
        <v>560</v>
      </c>
      <c r="B207" s="10"/>
      <c r="C207" s="102"/>
      <c r="D207" s="103"/>
      <c r="E207" s="103"/>
      <c r="F207" s="103"/>
      <c r="G207" s="104"/>
      <c r="H207" s="104"/>
      <c r="I207" s="104"/>
      <c r="J207" s="104"/>
      <c r="K207" s="104"/>
      <c r="L207" s="104"/>
      <c r="M207" s="104"/>
      <c r="N207" s="86"/>
      <c r="O207" s="86"/>
      <c r="P207" s="86"/>
      <c r="Q207" s="86"/>
      <c r="R207" s="86"/>
      <c r="S207" s="86"/>
      <c r="T207" s="86"/>
    </row>
    <row r="208" ht="91.5" customHeight="1" outlineLevel="1">
      <c r="A208" s="70" t="str">
        <f t="shared" ref="A208:A217" si="16">"TC_Creator_Dee_"&amp;(ROW()-ROW($A$12)+1-6)</f>
        <v>TC_Creator_Dee_191</v>
      </c>
      <c r="B208" s="72" t="s">
        <v>630</v>
      </c>
      <c r="C208" s="73"/>
      <c r="D208" s="72"/>
      <c r="E208" s="78"/>
      <c r="F208" s="76" t="s">
        <v>56</v>
      </c>
      <c r="G208" s="76" t="s">
        <v>57</v>
      </c>
      <c r="H208" s="78"/>
      <c r="I208" s="77"/>
      <c r="J208" s="84"/>
      <c r="K208" s="80"/>
      <c r="L208" s="82" t="s">
        <v>12</v>
      </c>
      <c r="M208" s="84"/>
      <c r="N208" s="86"/>
      <c r="O208" s="86"/>
      <c r="P208" s="86"/>
      <c r="Q208" s="86"/>
      <c r="R208" s="86"/>
      <c r="S208" s="86"/>
      <c r="T208" s="86"/>
    </row>
    <row r="209" ht="91.5" customHeight="1" outlineLevel="1">
      <c r="A209" s="70" t="str">
        <f t="shared" si="16"/>
        <v>TC_Creator_Dee_192</v>
      </c>
      <c r="B209" s="72" t="s">
        <v>633</v>
      </c>
      <c r="C209" s="73"/>
      <c r="D209" s="72"/>
      <c r="E209" s="78"/>
      <c r="F209" s="76" t="s">
        <v>56</v>
      </c>
      <c r="G209" s="76" t="s">
        <v>214</v>
      </c>
      <c r="H209" s="78"/>
      <c r="I209" s="77"/>
      <c r="J209" s="84"/>
      <c r="K209" s="80"/>
      <c r="L209" s="82" t="s">
        <v>12</v>
      </c>
      <c r="M209" s="84"/>
      <c r="N209" s="86"/>
      <c r="O209" s="86"/>
      <c r="P209" s="86"/>
      <c r="Q209" s="86"/>
      <c r="R209" s="86"/>
      <c r="S209" s="86"/>
      <c r="T209" s="86"/>
    </row>
    <row r="210" ht="91.5" customHeight="1" outlineLevel="1">
      <c r="A210" s="70" t="str">
        <f t="shared" si="16"/>
        <v>TC_Creator_Dee_193</v>
      </c>
      <c r="B210" s="72" t="s">
        <v>636</v>
      </c>
      <c r="C210" s="73"/>
      <c r="D210" s="72"/>
      <c r="E210" s="78"/>
      <c r="F210" s="76" t="s">
        <v>56</v>
      </c>
      <c r="G210" s="76" t="s">
        <v>214</v>
      </c>
      <c r="H210" s="78"/>
      <c r="I210" s="77"/>
      <c r="J210" s="84"/>
      <c r="K210" s="80"/>
      <c r="L210" s="82" t="s">
        <v>12</v>
      </c>
      <c r="M210" s="84"/>
      <c r="N210" s="86"/>
      <c r="O210" s="86"/>
      <c r="P210" s="86"/>
      <c r="Q210" s="86"/>
      <c r="R210" s="86"/>
      <c r="S210" s="86"/>
      <c r="T210" s="86"/>
    </row>
    <row r="211" ht="91.5" customHeight="1" outlineLevel="1">
      <c r="A211" s="70" t="str">
        <f t="shared" si="16"/>
        <v>TC_Creator_Dee_194</v>
      </c>
      <c r="B211" s="72" t="s">
        <v>638</v>
      </c>
      <c r="C211" s="73"/>
      <c r="D211" s="72"/>
      <c r="E211" s="78"/>
      <c r="F211" s="76" t="s">
        <v>56</v>
      </c>
      <c r="G211" s="76" t="s">
        <v>57</v>
      </c>
      <c r="H211" s="78"/>
      <c r="I211" s="77"/>
      <c r="J211" s="84"/>
      <c r="K211" s="80"/>
      <c r="L211" s="82" t="s">
        <v>12</v>
      </c>
      <c r="M211" s="84"/>
      <c r="N211" s="86"/>
      <c r="O211" s="86"/>
      <c r="P211" s="86"/>
      <c r="Q211" s="86"/>
      <c r="R211" s="86"/>
      <c r="S211" s="86"/>
      <c r="T211" s="86"/>
    </row>
    <row r="212" ht="91.5" customHeight="1" outlineLevel="1">
      <c r="A212" s="70" t="str">
        <f t="shared" si="16"/>
        <v>TC_Creator_Dee_195</v>
      </c>
      <c r="B212" s="72" t="s">
        <v>639</v>
      </c>
      <c r="C212" s="73"/>
      <c r="D212" s="72"/>
      <c r="E212" s="78"/>
      <c r="F212" s="76" t="s">
        <v>56</v>
      </c>
      <c r="G212" s="76" t="s">
        <v>57</v>
      </c>
      <c r="H212" s="78"/>
      <c r="I212" s="77"/>
      <c r="J212" s="84"/>
      <c r="K212" s="80"/>
      <c r="L212" s="82" t="s">
        <v>12</v>
      </c>
      <c r="M212" s="84"/>
      <c r="N212" s="86"/>
      <c r="O212" s="86"/>
      <c r="P212" s="86"/>
      <c r="Q212" s="86"/>
      <c r="R212" s="86"/>
      <c r="S212" s="86"/>
      <c r="T212" s="86"/>
    </row>
    <row r="213" ht="91.5" customHeight="1" outlineLevel="1">
      <c r="A213" s="70" t="str">
        <f t="shared" si="16"/>
        <v>TC_Creator_Dee_196</v>
      </c>
      <c r="B213" s="72" t="s">
        <v>640</v>
      </c>
      <c r="C213" s="73"/>
      <c r="D213" s="72"/>
      <c r="E213" s="78"/>
      <c r="F213" s="76" t="s">
        <v>56</v>
      </c>
      <c r="G213" s="76" t="s">
        <v>57</v>
      </c>
      <c r="H213" s="78"/>
      <c r="I213" s="77"/>
      <c r="J213" s="84"/>
      <c r="K213" s="80"/>
      <c r="L213" s="82" t="s">
        <v>12</v>
      </c>
      <c r="M213" s="84"/>
      <c r="N213" s="86"/>
      <c r="O213" s="86"/>
      <c r="P213" s="86"/>
      <c r="Q213" s="86"/>
      <c r="R213" s="86"/>
      <c r="S213" s="86"/>
      <c r="T213" s="86"/>
    </row>
    <row r="214" ht="91.5" customHeight="1" outlineLevel="1">
      <c r="A214" s="70" t="str">
        <f t="shared" si="16"/>
        <v>TC_Creator_Dee_197</v>
      </c>
      <c r="B214" s="72" t="s">
        <v>641</v>
      </c>
      <c r="C214" s="73"/>
      <c r="D214" s="72"/>
      <c r="E214" s="78"/>
      <c r="F214" s="76" t="s">
        <v>56</v>
      </c>
      <c r="G214" s="76" t="s">
        <v>57</v>
      </c>
      <c r="H214" s="78"/>
      <c r="I214" s="77"/>
      <c r="J214" s="84"/>
      <c r="K214" s="80"/>
      <c r="L214" s="82" t="s">
        <v>12</v>
      </c>
      <c r="M214" s="84"/>
      <c r="N214" s="86"/>
      <c r="O214" s="86"/>
      <c r="P214" s="86"/>
      <c r="Q214" s="86"/>
      <c r="R214" s="86"/>
      <c r="S214" s="86"/>
      <c r="T214" s="86"/>
    </row>
    <row r="215" ht="91.5" customHeight="1" outlineLevel="1">
      <c r="A215" s="70" t="str">
        <f t="shared" si="16"/>
        <v>TC_Creator_Dee_198</v>
      </c>
      <c r="B215" s="72" t="s">
        <v>642</v>
      </c>
      <c r="C215" s="73"/>
      <c r="D215" s="72"/>
      <c r="E215" s="78"/>
      <c r="F215" s="76" t="s">
        <v>56</v>
      </c>
      <c r="G215" s="76" t="s">
        <v>57</v>
      </c>
      <c r="H215" s="78"/>
      <c r="I215" s="77"/>
      <c r="J215" s="84"/>
      <c r="K215" s="80"/>
      <c r="L215" s="82" t="s">
        <v>12</v>
      </c>
      <c r="M215" s="84"/>
      <c r="N215" s="86"/>
      <c r="O215" s="86"/>
      <c r="P215" s="86"/>
      <c r="Q215" s="86"/>
      <c r="R215" s="86"/>
      <c r="S215" s="86"/>
      <c r="T215" s="86"/>
    </row>
    <row r="216" ht="91.5" customHeight="1" outlineLevel="1">
      <c r="A216" s="70" t="str">
        <f t="shared" si="16"/>
        <v>TC_Creator_Dee_199</v>
      </c>
      <c r="B216" s="72" t="s">
        <v>643</v>
      </c>
      <c r="C216" s="73"/>
      <c r="D216" s="72"/>
      <c r="E216" s="78"/>
      <c r="F216" s="76" t="s">
        <v>56</v>
      </c>
      <c r="G216" s="76" t="s">
        <v>57</v>
      </c>
      <c r="H216" s="78"/>
      <c r="I216" s="77"/>
      <c r="J216" s="84"/>
      <c r="K216" s="80"/>
      <c r="L216" s="82" t="s">
        <v>12</v>
      </c>
      <c r="M216" s="84"/>
      <c r="N216" s="86"/>
      <c r="O216" s="86"/>
      <c r="P216" s="86"/>
      <c r="Q216" s="86"/>
      <c r="R216" s="86"/>
      <c r="S216" s="86"/>
      <c r="T216" s="86"/>
    </row>
    <row r="217" ht="91.5" customHeight="1" outlineLevel="1">
      <c r="A217" s="70" t="str">
        <f t="shared" si="16"/>
        <v>TC_Creator_Dee_200</v>
      </c>
      <c r="B217" s="72" t="s">
        <v>644</v>
      </c>
      <c r="C217" s="73"/>
      <c r="D217" s="72"/>
      <c r="E217" s="78"/>
      <c r="F217" s="76" t="s">
        <v>56</v>
      </c>
      <c r="G217" s="76" t="s">
        <v>57</v>
      </c>
      <c r="H217" s="78"/>
      <c r="I217" s="77"/>
      <c r="J217" s="84"/>
      <c r="K217" s="80"/>
      <c r="L217" s="82" t="s">
        <v>12</v>
      </c>
      <c r="M217" s="84"/>
      <c r="N217" s="86"/>
      <c r="O217" s="86"/>
      <c r="P217" s="86"/>
      <c r="Q217" s="86"/>
      <c r="R217" s="86"/>
      <c r="S217" s="86"/>
      <c r="T217" s="86"/>
    </row>
    <row r="218" ht="15.75" customHeight="1">
      <c r="I218" s="117"/>
      <c r="K218" s="117"/>
      <c r="L218" s="118"/>
    </row>
    <row r="219" ht="15.75" customHeight="1">
      <c r="I219" s="117"/>
      <c r="K219" s="117"/>
      <c r="L219" s="118"/>
    </row>
    <row r="220" ht="15.75" customHeight="1">
      <c r="I220" s="117"/>
      <c r="K220" s="117"/>
      <c r="L220" s="118"/>
    </row>
    <row r="221" ht="15.75" customHeight="1">
      <c r="I221" s="117"/>
      <c r="K221" s="117"/>
      <c r="L221" s="118"/>
    </row>
    <row r="222" ht="15.75" customHeight="1">
      <c r="I222" s="117"/>
      <c r="K222" s="117"/>
      <c r="L222" s="118"/>
    </row>
    <row r="223" ht="15.75" customHeight="1">
      <c r="I223" s="117"/>
      <c r="K223" s="117"/>
      <c r="L223" s="118"/>
    </row>
    <row r="224" ht="15.75" customHeight="1">
      <c r="I224" s="117"/>
      <c r="K224" s="117"/>
      <c r="L224" s="118"/>
    </row>
    <row r="225" ht="15.75" customHeight="1">
      <c r="I225" s="117"/>
      <c r="K225" s="117"/>
      <c r="L225" s="118"/>
    </row>
    <row r="226" ht="15.75" customHeight="1">
      <c r="I226" s="117"/>
      <c r="K226" s="117"/>
      <c r="L226" s="118"/>
    </row>
    <row r="227" ht="15.75" customHeight="1">
      <c r="I227" s="117"/>
      <c r="K227" s="117"/>
      <c r="L227" s="118"/>
    </row>
    <row r="228" ht="15.75" customHeight="1">
      <c r="I228" s="117"/>
      <c r="K228" s="117"/>
      <c r="L228" s="118"/>
    </row>
    <row r="229" ht="15.75" customHeight="1">
      <c r="I229" s="117"/>
      <c r="K229" s="117"/>
      <c r="L229" s="118"/>
    </row>
    <row r="230" ht="15.75" customHeight="1">
      <c r="I230" s="117"/>
      <c r="K230" s="117"/>
      <c r="L230" s="118"/>
    </row>
    <row r="231" ht="15.75" customHeight="1">
      <c r="I231" s="117"/>
      <c r="K231" s="117"/>
      <c r="L231" s="118"/>
    </row>
    <row r="232" ht="15.75" customHeight="1">
      <c r="I232" s="117"/>
      <c r="K232" s="117"/>
      <c r="L232" s="118"/>
    </row>
    <row r="233" ht="15.75" customHeight="1">
      <c r="I233" s="117"/>
      <c r="K233" s="117"/>
      <c r="L233" s="118"/>
    </row>
    <row r="234" ht="15.75" customHeight="1">
      <c r="I234" s="117"/>
      <c r="K234" s="117"/>
      <c r="L234" s="118"/>
    </row>
    <row r="235" ht="15.75" customHeight="1">
      <c r="I235" s="117"/>
      <c r="K235" s="117"/>
      <c r="L235" s="118"/>
    </row>
    <row r="236" ht="15.75" customHeight="1">
      <c r="I236" s="117"/>
      <c r="K236" s="117"/>
      <c r="L236" s="118"/>
    </row>
    <row r="237" ht="15.75" customHeight="1">
      <c r="I237" s="117"/>
      <c r="K237" s="117"/>
      <c r="L237" s="118"/>
    </row>
    <row r="238" ht="15.75" customHeight="1">
      <c r="I238" s="117"/>
      <c r="K238" s="117"/>
      <c r="L238" s="118"/>
    </row>
    <row r="239" ht="15.75" customHeight="1">
      <c r="I239" s="117"/>
      <c r="K239" s="117"/>
      <c r="L239" s="118"/>
    </row>
    <row r="240" ht="15.75" customHeight="1">
      <c r="I240" s="117"/>
      <c r="K240" s="117"/>
      <c r="L240" s="118"/>
    </row>
    <row r="241" ht="15.75" customHeight="1">
      <c r="I241" s="117"/>
      <c r="K241" s="117"/>
      <c r="L241" s="118"/>
    </row>
    <row r="242" ht="15.75" customHeight="1">
      <c r="I242" s="117"/>
      <c r="K242" s="117"/>
      <c r="L242" s="118"/>
    </row>
    <row r="243" ht="15.75" customHeight="1">
      <c r="E243" s="124" t="s">
        <v>462</v>
      </c>
      <c r="F243" s="125">
        <f>COUNTIF(L12:L159,"Pass")</f>
        <v>0</v>
      </c>
      <c r="G243" s="126">
        <f>(F243/F249)*100</f>
        <v>0</v>
      </c>
      <c r="H243" s="127" t="s">
        <v>465</v>
      </c>
      <c r="I243" s="117"/>
      <c r="K243" s="117"/>
      <c r="L243" s="118"/>
    </row>
    <row r="244" ht="15.75" customHeight="1">
      <c r="E244" s="124" t="s">
        <v>467</v>
      </c>
      <c r="F244" s="125">
        <f>COUNTIF(L12:L159,"Fail")</f>
        <v>0</v>
      </c>
      <c r="G244" s="126">
        <f>(F244/F249)*100</f>
        <v>0</v>
      </c>
      <c r="H244" s="127" t="s">
        <v>465</v>
      </c>
      <c r="I244" s="117"/>
      <c r="K244" s="117"/>
      <c r="L244" s="118"/>
    </row>
    <row r="245" ht="15.75" customHeight="1">
      <c r="E245" s="124" t="s">
        <v>12</v>
      </c>
      <c r="F245" s="125">
        <f>COUNTIF(L12:L159,"Not Start")</f>
        <v>136</v>
      </c>
      <c r="G245" s="126">
        <f>(F245/F249)*100</f>
        <v>100</v>
      </c>
      <c r="H245" s="127" t="s">
        <v>465</v>
      </c>
      <c r="I245" s="117"/>
      <c r="K245" s="117"/>
      <c r="L245" s="118"/>
    </row>
    <row r="246" ht="15.75" customHeight="1">
      <c r="E246" s="124" t="s">
        <v>474</v>
      </c>
      <c r="F246" s="125">
        <f>COUNTIF(L156:L217,"Pending")</f>
        <v>0</v>
      </c>
      <c r="G246" s="126">
        <f>(F246/F249)*100</f>
        <v>0</v>
      </c>
      <c r="H246" s="127" t="s">
        <v>465</v>
      </c>
      <c r="I246" s="117"/>
      <c r="K246" s="117"/>
      <c r="L246" s="118"/>
    </row>
    <row r="247" ht="15.75" customHeight="1">
      <c r="E247" s="124" t="s">
        <v>44</v>
      </c>
      <c r="F247" s="125">
        <f>COUNTIF(L12:L159,"Deferred")</f>
        <v>0</v>
      </c>
      <c r="G247" s="126">
        <f>(F247/F249)*100</f>
        <v>0</v>
      </c>
      <c r="H247" s="127" t="s">
        <v>465</v>
      </c>
      <c r="I247" s="117"/>
      <c r="K247" s="117"/>
      <c r="L247" s="118"/>
    </row>
    <row r="248" ht="15.75" customHeight="1">
      <c r="E248" s="124" t="s">
        <v>479</v>
      </c>
      <c r="F248" s="125">
        <f>COUNTIF(L12:L159,"Not Applicable")</f>
        <v>0</v>
      </c>
      <c r="G248" s="126">
        <f>(F248/F249)*100</f>
        <v>0</v>
      </c>
      <c r="H248" s="127" t="s">
        <v>465</v>
      </c>
      <c r="I248" s="117"/>
      <c r="K248" s="117"/>
      <c r="L248" s="118"/>
    </row>
    <row r="249" ht="15.75" customHeight="1">
      <c r="E249" s="128" t="s">
        <v>49</v>
      </c>
      <c r="F249" s="129">
        <f t="shared" ref="F249:G249" si="17">SUM(F243:F248)</f>
        <v>136</v>
      </c>
      <c r="G249" s="130">
        <f t="shared" si="17"/>
        <v>100</v>
      </c>
      <c r="H249" s="131" t="s">
        <v>465</v>
      </c>
      <c r="I249" s="117"/>
      <c r="K249" s="117"/>
      <c r="L249" s="118"/>
    </row>
    <row r="250" ht="15.75" customHeight="1">
      <c r="E250" s="132" t="s">
        <v>484</v>
      </c>
      <c r="F250" s="133"/>
      <c r="G250" s="134">
        <f>G243+G244+G246+G248</f>
        <v>0</v>
      </c>
      <c r="H250" s="135"/>
      <c r="I250" s="117"/>
      <c r="K250" s="117"/>
      <c r="L250" s="118"/>
    </row>
    <row r="251" ht="15.75" customHeight="1">
      <c r="E251" s="132" t="s">
        <v>485</v>
      </c>
      <c r="F251" s="36"/>
      <c r="G251" s="136">
        <f>F243/(F249-F248-F246)</f>
        <v>0</v>
      </c>
      <c r="H251" s="137"/>
      <c r="I251" s="117"/>
      <c r="K251" s="117"/>
      <c r="L251" s="118"/>
    </row>
    <row r="252" ht="15.75" customHeight="1">
      <c r="I252" s="117"/>
      <c r="K252" s="117"/>
      <c r="L252" s="118"/>
    </row>
    <row r="253" ht="15.75" customHeight="1">
      <c r="I253" s="117"/>
      <c r="K253" s="117"/>
      <c r="L253" s="118"/>
    </row>
    <row r="254" ht="15.75" customHeight="1">
      <c r="I254" s="117"/>
      <c r="K254" s="117"/>
      <c r="L254" s="118"/>
    </row>
    <row r="255" ht="15.75" customHeight="1">
      <c r="I255" s="117"/>
      <c r="K255" s="117"/>
      <c r="L255" s="118"/>
    </row>
    <row r="256" ht="15.75" customHeight="1">
      <c r="I256" s="117"/>
      <c r="K256" s="117"/>
      <c r="L256" s="118"/>
    </row>
    <row r="257" ht="15.75" customHeight="1">
      <c r="I257" s="117"/>
      <c r="K257" s="117"/>
      <c r="L257" s="118"/>
    </row>
    <row r="258" ht="15.75" customHeight="1">
      <c r="I258" s="117"/>
      <c r="K258" s="117"/>
      <c r="L258" s="118"/>
    </row>
    <row r="259" ht="15.75" customHeight="1">
      <c r="I259" s="117"/>
      <c r="K259" s="117"/>
      <c r="L259" s="118"/>
    </row>
    <row r="260" ht="15.75" customHeight="1">
      <c r="I260" s="117"/>
      <c r="K260" s="117"/>
      <c r="L260" s="118"/>
    </row>
    <row r="261" ht="15.75" customHeight="1">
      <c r="I261" s="117"/>
      <c r="K261" s="117"/>
      <c r="L261" s="118"/>
    </row>
    <row r="262" ht="15.75" customHeight="1">
      <c r="I262" s="117"/>
      <c r="K262" s="117"/>
      <c r="L262" s="118"/>
    </row>
    <row r="263" ht="15.75" customHeight="1">
      <c r="I263" s="117"/>
      <c r="K263" s="117"/>
      <c r="L263" s="118"/>
    </row>
    <row r="264" ht="15.75" customHeight="1">
      <c r="I264" s="117"/>
      <c r="K264" s="117"/>
      <c r="L264" s="118"/>
    </row>
    <row r="265" ht="15.75" customHeight="1">
      <c r="I265" s="117"/>
      <c r="K265" s="117"/>
      <c r="L265" s="118"/>
    </row>
    <row r="266" ht="15.75" customHeight="1">
      <c r="I266" s="117"/>
      <c r="K266" s="117"/>
      <c r="L266" s="118"/>
    </row>
    <row r="267" ht="15.75" customHeight="1">
      <c r="I267" s="117"/>
      <c r="K267" s="117"/>
      <c r="L267" s="118"/>
    </row>
    <row r="268" ht="15.75" customHeight="1">
      <c r="I268" s="117"/>
      <c r="K268" s="117"/>
      <c r="L268" s="118"/>
    </row>
    <row r="269" ht="15.75" customHeight="1">
      <c r="I269" s="117"/>
      <c r="K269" s="117"/>
      <c r="L269" s="118"/>
    </row>
    <row r="270" ht="15.75" customHeight="1">
      <c r="I270" s="117"/>
      <c r="K270" s="117"/>
      <c r="L270" s="118"/>
    </row>
    <row r="271" ht="15.75" customHeight="1">
      <c r="I271" s="117"/>
      <c r="K271" s="117"/>
      <c r="L271" s="118"/>
    </row>
    <row r="272" ht="15.75" customHeight="1">
      <c r="I272" s="117"/>
      <c r="K272" s="117"/>
      <c r="L272" s="118"/>
    </row>
    <row r="273" ht="15.75" customHeight="1">
      <c r="I273" s="117"/>
      <c r="K273" s="117"/>
      <c r="L273" s="118"/>
    </row>
    <row r="274" ht="15.75" customHeight="1">
      <c r="I274" s="117"/>
      <c r="K274" s="117"/>
      <c r="L274" s="118"/>
    </row>
    <row r="275" ht="15.75" customHeight="1">
      <c r="I275" s="117"/>
      <c r="K275" s="117"/>
      <c r="L275" s="118"/>
    </row>
    <row r="276" ht="15.75" customHeight="1">
      <c r="I276" s="117"/>
      <c r="K276" s="117"/>
      <c r="L276" s="118"/>
    </row>
    <row r="277" ht="15.75" customHeight="1">
      <c r="I277" s="117"/>
      <c r="K277" s="117"/>
      <c r="L277" s="118"/>
    </row>
    <row r="278" ht="15.75" customHeight="1">
      <c r="I278" s="117"/>
      <c r="K278" s="117"/>
      <c r="L278" s="118"/>
    </row>
    <row r="279" ht="15.75" customHeight="1">
      <c r="I279" s="117"/>
      <c r="K279" s="117"/>
      <c r="L279" s="118"/>
    </row>
    <row r="280" ht="15.75" customHeight="1">
      <c r="I280" s="117"/>
      <c r="K280" s="117"/>
      <c r="L280" s="118"/>
    </row>
    <row r="281" ht="15.75" customHeight="1">
      <c r="I281" s="117"/>
      <c r="K281" s="117"/>
      <c r="L281" s="118"/>
    </row>
    <row r="282" ht="15.75" customHeight="1">
      <c r="I282" s="117"/>
      <c r="K282" s="117"/>
      <c r="L282" s="118"/>
    </row>
    <row r="283" ht="15.75" customHeight="1">
      <c r="I283" s="117"/>
      <c r="K283" s="117"/>
      <c r="L283" s="118"/>
    </row>
    <row r="284" ht="15.75" customHeight="1">
      <c r="I284" s="117"/>
      <c r="K284" s="117"/>
      <c r="L284" s="118"/>
    </row>
    <row r="285" ht="15.75" customHeight="1">
      <c r="I285" s="117"/>
      <c r="K285" s="117"/>
      <c r="L285" s="118"/>
    </row>
    <row r="286" ht="15.75" customHeight="1">
      <c r="I286" s="117"/>
      <c r="K286" s="117"/>
      <c r="L286" s="118"/>
    </row>
    <row r="287" ht="15.75" customHeight="1">
      <c r="I287" s="117"/>
      <c r="K287" s="117"/>
      <c r="L287" s="118"/>
    </row>
    <row r="288" ht="15.75" customHeight="1">
      <c r="I288" s="117"/>
      <c r="K288" s="117"/>
      <c r="L288" s="118"/>
    </row>
    <row r="289" ht="15.75" customHeight="1">
      <c r="I289" s="117"/>
      <c r="K289" s="117"/>
      <c r="L289" s="118"/>
    </row>
    <row r="290" ht="15.75" customHeight="1">
      <c r="I290" s="117"/>
      <c r="K290" s="117"/>
      <c r="L290" s="118"/>
    </row>
    <row r="291" ht="15.75" customHeight="1">
      <c r="I291" s="117"/>
      <c r="K291" s="117"/>
      <c r="L291" s="118"/>
    </row>
    <row r="292" ht="15.75" customHeight="1">
      <c r="I292" s="117"/>
      <c r="K292" s="117"/>
      <c r="L292" s="118"/>
    </row>
    <row r="293" ht="15.75" customHeight="1">
      <c r="I293" s="117"/>
      <c r="K293" s="117"/>
      <c r="L293" s="118"/>
    </row>
    <row r="294" ht="15.75" customHeight="1">
      <c r="I294" s="117"/>
      <c r="K294" s="117"/>
      <c r="L294" s="118"/>
    </row>
    <row r="295" ht="15.75" customHeight="1">
      <c r="I295" s="117"/>
      <c r="K295" s="117"/>
      <c r="L295" s="118"/>
    </row>
    <row r="296" ht="15.75" customHeight="1">
      <c r="I296" s="117"/>
      <c r="K296" s="117"/>
      <c r="L296" s="118"/>
    </row>
    <row r="297" ht="15.75" customHeight="1">
      <c r="I297" s="117"/>
      <c r="K297" s="117"/>
      <c r="L297" s="118"/>
    </row>
    <row r="298" ht="15.75" customHeight="1">
      <c r="I298" s="117"/>
      <c r="K298" s="117"/>
      <c r="L298" s="118"/>
    </row>
    <row r="299" ht="15.75" customHeight="1">
      <c r="I299" s="117"/>
      <c r="K299" s="117"/>
      <c r="L299" s="118"/>
    </row>
    <row r="300" ht="15.75" customHeight="1">
      <c r="I300" s="117"/>
      <c r="K300" s="117"/>
      <c r="L300" s="118"/>
    </row>
    <row r="301" ht="15.75" customHeight="1">
      <c r="I301" s="117"/>
      <c r="K301" s="117"/>
      <c r="L301" s="118"/>
    </row>
    <row r="302" ht="15.75" customHeight="1">
      <c r="I302" s="117"/>
      <c r="K302" s="117"/>
      <c r="L302" s="118"/>
    </row>
    <row r="303" ht="15.75" customHeight="1">
      <c r="I303" s="117"/>
      <c r="K303" s="117"/>
      <c r="L303" s="118"/>
    </row>
    <row r="304" ht="15.75" customHeight="1">
      <c r="I304" s="117"/>
      <c r="K304" s="117"/>
      <c r="L304" s="118"/>
    </row>
    <row r="305" ht="15.75" customHeight="1">
      <c r="I305" s="117"/>
      <c r="K305" s="117"/>
      <c r="L305" s="118"/>
    </row>
    <row r="306" ht="15.75" customHeight="1">
      <c r="I306" s="117"/>
      <c r="K306" s="117"/>
      <c r="L306" s="118"/>
    </row>
    <row r="307" ht="15.75" customHeight="1">
      <c r="I307" s="117"/>
      <c r="K307" s="117"/>
      <c r="L307" s="118"/>
    </row>
    <row r="308" ht="15.75" customHeight="1">
      <c r="I308" s="117"/>
      <c r="K308" s="117"/>
      <c r="L308" s="118"/>
    </row>
    <row r="309" ht="15.75" customHeight="1">
      <c r="I309" s="117"/>
      <c r="K309" s="117"/>
      <c r="L309" s="118"/>
    </row>
    <row r="310" ht="15.75" customHeight="1">
      <c r="I310" s="117"/>
      <c r="K310" s="117"/>
      <c r="L310" s="118"/>
    </row>
    <row r="311" ht="15.75" customHeight="1">
      <c r="I311" s="117"/>
      <c r="K311" s="117"/>
      <c r="L311" s="118"/>
    </row>
    <row r="312" ht="15.75" customHeight="1">
      <c r="I312" s="117"/>
      <c r="K312" s="117"/>
      <c r="L312" s="118"/>
    </row>
    <row r="313" ht="15.75" customHeight="1">
      <c r="I313" s="117"/>
      <c r="K313" s="117"/>
      <c r="L313" s="118"/>
    </row>
    <row r="314" ht="15.75" customHeight="1">
      <c r="I314" s="117"/>
      <c r="K314" s="117"/>
      <c r="L314" s="118"/>
    </row>
    <row r="315" ht="15.75" customHeight="1">
      <c r="I315" s="117"/>
      <c r="K315" s="117"/>
      <c r="L315" s="118"/>
    </row>
    <row r="316" ht="15.75" customHeight="1">
      <c r="I316" s="117"/>
      <c r="K316" s="117"/>
      <c r="L316" s="118"/>
    </row>
    <row r="317" ht="15.75" customHeight="1">
      <c r="I317" s="117"/>
      <c r="K317" s="117"/>
      <c r="L317" s="118"/>
    </row>
    <row r="318" ht="15.75" customHeight="1">
      <c r="I318" s="117"/>
      <c r="K318" s="117"/>
      <c r="L318" s="118"/>
    </row>
    <row r="319" ht="15.75" customHeight="1">
      <c r="I319" s="117"/>
      <c r="K319" s="117"/>
      <c r="L319" s="118"/>
    </row>
    <row r="320" ht="15.75" customHeight="1">
      <c r="I320" s="117"/>
      <c r="K320" s="117"/>
      <c r="L320" s="118"/>
    </row>
    <row r="321" ht="15.75" customHeight="1">
      <c r="I321" s="117"/>
      <c r="K321" s="117"/>
      <c r="L321" s="118"/>
    </row>
    <row r="322" ht="15.75" customHeight="1">
      <c r="I322" s="117"/>
      <c r="K322" s="117"/>
      <c r="L322" s="118"/>
    </row>
    <row r="323" ht="15.75" customHeight="1">
      <c r="I323" s="117"/>
      <c r="K323" s="117"/>
      <c r="L323" s="118"/>
    </row>
    <row r="324" ht="15.75" customHeight="1">
      <c r="I324" s="117"/>
      <c r="K324" s="117"/>
      <c r="L324" s="118"/>
    </row>
    <row r="325" ht="15.75" customHeight="1">
      <c r="I325" s="117"/>
      <c r="K325" s="117"/>
      <c r="L325" s="118"/>
    </row>
    <row r="326" ht="15.75" customHeight="1">
      <c r="I326" s="117"/>
      <c r="K326" s="117"/>
      <c r="L326" s="118"/>
    </row>
    <row r="327" ht="15.75" customHeight="1">
      <c r="I327" s="117"/>
      <c r="K327" s="117"/>
      <c r="L327" s="118"/>
    </row>
    <row r="328" ht="15.75" customHeight="1">
      <c r="I328" s="117"/>
      <c r="K328" s="117"/>
      <c r="L328" s="118"/>
    </row>
    <row r="329" ht="15.75" customHeight="1">
      <c r="I329" s="117"/>
      <c r="K329" s="117"/>
      <c r="L329" s="118"/>
    </row>
    <row r="330" ht="15.75" customHeight="1">
      <c r="I330" s="117"/>
      <c r="K330" s="117"/>
      <c r="L330" s="118"/>
    </row>
    <row r="331" ht="15.75" customHeight="1">
      <c r="I331" s="117"/>
      <c r="K331" s="117"/>
      <c r="L331" s="118"/>
    </row>
    <row r="332" ht="15.75" customHeight="1">
      <c r="I332" s="117"/>
      <c r="K332" s="117"/>
      <c r="L332" s="118"/>
    </row>
    <row r="333" ht="15.75" customHeight="1">
      <c r="I333" s="117"/>
      <c r="K333" s="117"/>
      <c r="L333" s="118"/>
    </row>
    <row r="334" ht="15.75" customHeight="1">
      <c r="I334" s="117"/>
      <c r="K334" s="117"/>
      <c r="L334" s="118"/>
    </row>
    <row r="335" ht="15.75" customHeight="1">
      <c r="I335" s="117"/>
      <c r="K335" s="117"/>
      <c r="L335" s="118"/>
    </row>
    <row r="336" ht="15.75" customHeight="1">
      <c r="I336" s="117"/>
      <c r="K336" s="117"/>
      <c r="L336" s="118"/>
    </row>
    <row r="337" ht="15.75" customHeight="1">
      <c r="I337" s="117"/>
      <c r="K337" s="117"/>
      <c r="L337" s="118"/>
    </row>
    <row r="338" ht="15.75" customHeight="1">
      <c r="I338" s="117"/>
      <c r="K338" s="117"/>
      <c r="L338" s="118"/>
    </row>
    <row r="339" ht="15.75" customHeight="1">
      <c r="I339" s="117"/>
      <c r="K339" s="117"/>
      <c r="L339" s="118"/>
    </row>
    <row r="340" ht="15.75" customHeight="1">
      <c r="I340" s="117"/>
      <c r="K340" s="117"/>
      <c r="L340" s="118"/>
    </row>
    <row r="341" ht="15.75" customHeight="1">
      <c r="I341" s="117"/>
      <c r="K341" s="117"/>
      <c r="L341" s="118"/>
    </row>
    <row r="342" ht="15.75" customHeight="1">
      <c r="I342" s="117"/>
      <c r="K342" s="117"/>
      <c r="L342" s="118"/>
    </row>
    <row r="343" ht="15.75" customHeight="1">
      <c r="I343" s="117"/>
      <c r="K343" s="117"/>
      <c r="L343" s="118"/>
    </row>
    <row r="344" ht="15.75" customHeight="1">
      <c r="I344" s="117"/>
      <c r="K344" s="117"/>
      <c r="L344" s="118"/>
    </row>
    <row r="345" ht="15.75" customHeight="1">
      <c r="I345" s="117"/>
      <c r="K345" s="117"/>
      <c r="L345" s="118"/>
    </row>
    <row r="346" ht="15.75" customHeight="1">
      <c r="I346" s="117"/>
      <c r="K346" s="117"/>
      <c r="L346" s="118"/>
    </row>
    <row r="347" ht="15.75" customHeight="1">
      <c r="I347" s="117"/>
      <c r="K347" s="117"/>
      <c r="L347" s="118"/>
    </row>
    <row r="348" ht="15.75" customHeight="1">
      <c r="I348" s="117"/>
      <c r="K348" s="117"/>
      <c r="L348" s="118"/>
    </row>
    <row r="349" ht="15.75" customHeight="1">
      <c r="I349" s="117"/>
      <c r="K349" s="117"/>
      <c r="L349" s="118"/>
    </row>
    <row r="350" ht="15.75" customHeight="1">
      <c r="I350" s="117"/>
      <c r="K350" s="117"/>
      <c r="L350" s="118"/>
    </row>
    <row r="351" ht="15.75" customHeight="1">
      <c r="I351" s="117"/>
      <c r="K351" s="117"/>
      <c r="L351" s="118"/>
    </row>
    <row r="352" ht="15.75" customHeight="1">
      <c r="I352" s="117"/>
      <c r="K352" s="117"/>
      <c r="L352" s="118"/>
    </row>
    <row r="353" ht="15.75" customHeight="1">
      <c r="I353" s="117"/>
      <c r="K353" s="117"/>
      <c r="L353" s="118"/>
    </row>
    <row r="354" ht="15.75" customHeight="1">
      <c r="I354" s="117"/>
      <c r="K354" s="117"/>
      <c r="L354" s="118"/>
    </row>
    <row r="355" ht="15.75" customHeight="1">
      <c r="I355" s="117"/>
      <c r="K355" s="117"/>
      <c r="L355" s="118"/>
    </row>
    <row r="356" ht="15.75" customHeight="1">
      <c r="I356" s="117"/>
      <c r="K356" s="117"/>
      <c r="L356" s="118"/>
    </row>
    <row r="357" ht="15.75" customHeight="1">
      <c r="I357" s="117"/>
      <c r="K357" s="117"/>
      <c r="L357" s="118"/>
    </row>
    <row r="358" ht="15.75" customHeight="1">
      <c r="I358" s="117"/>
      <c r="K358" s="117"/>
      <c r="L358" s="118"/>
    </row>
    <row r="359" ht="15.75" customHeight="1">
      <c r="I359" s="117"/>
      <c r="K359" s="117"/>
      <c r="L359" s="118"/>
    </row>
    <row r="360" ht="15.75" customHeight="1">
      <c r="I360" s="117"/>
      <c r="K360" s="117"/>
      <c r="L360" s="118"/>
    </row>
    <row r="361" ht="15.75" customHeight="1">
      <c r="I361" s="117"/>
      <c r="K361" s="117"/>
      <c r="L361" s="118"/>
    </row>
    <row r="362" ht="15.75" customHeight="1">
      <c r="I362" s="117"/>
      <c r="K362" s="117"/>
      <c r="L362" s="118"/>
    </row>
    <row r="363" ht="15.75" customHeight="1">
      <c r="I363" s="117"/>
      <c r="K363" s="117"/>
      <c r="L363" s="118"/>
    </row>
    <row r="364" ht="15.75" customHeight="1">
      <c r="I364" s="117"/>
      <c r="K364" s="117"/>
      <c r="L364" s="118"/>
    </row>
    <row r="365" ht="15.75" customHeight="1">
      <c r="I365" s="117"/>
      <c r="K365" s="117"/>
      <c r="L365" s="118"/>
    </row>
    <row r="366" ht="15.75" customHeight="1">
      <c r="I366" s="117"/>
      <c r="K366" s="117"/>
      <c r="L366" s="118"/>
    </row>
    <row r="367" ht="15.75" customHeight="1">
      <c r="I367" s="117"/>
      <c r="K367" s="117"/>
      <c r="L367" s="118"/>
    </row>
    <row r="368" ht="15.75" customHeight="1">
      <c r="I368" s="117"/>
      <c r="K368" s="117"/>
      <c r="L368" s="118"/>
    </row>
    <row r="369" ht="15.75" customHeight="1">
      <c r="I369" s="117"/>
      <c r="K369" s="117"/>
      <c r="L369" s="118"/>
    </row>
    <row r="370" ht="15.75" customHeight="1">
      <c r="I370" s="117"/>
      <c r="K370" s="117"/>
      <c r="L370" s="118"/>
    </row>
    <row r="371" ht="15.75" customHeight="1">
      <c r="I371" s="117"/>
      <c r="K371" s="117"/>
      <c r="L371" s="118"/>
    </row>
    <row r="372" ht="15.75" customHeight="1">
      <c r="I372" s="117"/>
      <c r="K372" s="117"/>
      <c r="L372" s="118"/>
    </row>
    <row r="373" ht="15.75" customHeight="1">
      <c r="I373" s="117"/>
      <c r="K373" s="117"/>
      <c r="L373" s="118"/>
    </row>
    <row r="374" ht="15.75" customHeight="1">
      <c r="I374" s="117"/>
      <c r="K374" s="117"/>
      <c r="L374" s="118"/>
    </row>
    <row r="375" ht="15.75" customHeight="1">
      <c r="I375" s="117"/>
      <c r="K375" s="117"/>
      <c r="L375" s="118"/>
    </row>
    <row r="376" ht="15.75" customHeight="1">
      <c r="I376" s="117"/>
      <c r="K376" s="117"/>
      <c r="L376" s="118"/>
    </row>
    <row r="377" ht="15.75" customHeight="1">
      <c r="I377" s="117"/>
      <c r="K377" s="117"/>
      <c r="L377" s="118"/>
    </row>
    <row r="378" ht="15.75" customHeight="1">
      <c r="I378" s="117"/>
      <c r="K378" s="117"/>
      <c r="L378" s="118"/>
    </row>
    <row r="379" ht="15.75" customHeight="1">
      <c r="I379" s="117"/>
      <c r="K379" s="117"/>
      <c r="L379" s="118"/>
    </row>
    <row r="380" ht="15.75" customHeight="1">
      <c r="I380" s="117"/>
      <c r="K380" s="117"/>
      <c r="L380" s="118"/>
    </row>
    <row r="381" ht="15.75" customHeight="1">
      <c r="I381" s="117"/>
      <c r="K381" s="117"/>
      <c r="L381" s="118"/>
    </row>
    <row r="382" ht="15.75" customHeight="1">
      <c r="I382" s="117"/>
      <c r="K382" s="117"/>
      <c r="L382" s="118"/>
    </row>
    <row r="383" ht="15.75" customHeight="1">
      <c r="I383" s="117"/>
      <c r="K383" s="117"/>
      <c r="L383" s="118"/>
    </row>
    <row r="384" ht="15.75" customHeight="1">
      <c r="I384" s="117"/>
      <c r="K384" s="117"/>
      <c r="L384" s="118"/>
    </row>
    <row r="385" ht="15.75" customHeight="1">
      <c r="I385" s="117"/>
      <c r="K385" s="117"/>
      <c r="L385" s="118"/>
    </row>
    <row r="386" ht="15.75" customHeight="1">
      <c r="I386" s="117"/>
      <c r="K386" s="117"/>
      <c r="L386" s="118"/>
    </row>
    <row r="387" ht="15.75" customHeight="1">
      <c r="I387" s="117"/>
      <c r="K387" s="117"/>
      <c r="L387" s="118"/>
    </row>
    <row r="388" ht="15.75" customHeight="1">
      <c r="I388" s="117"/>
      <c r="K388" s="117"/>
      <c r="L388" s="118"/>
    </row>
    <row r="389" ht="15.75" customHeight="1">
      <c r="I389" s="117"/>
      <c r="K389" s="117"/>
      <c r="L389" s="118"/>
    </row>
    <row r="390" ht="15.75" customHeight="1">
      <c r="I390" s="117"/>
      <c r="K390" s="117"/>
      <c r="L390" s="118"/>
    </row>
    <row r="391" ht="15.75" customHeight="1">
      <c r="I391" s="117"/>
      <c r="K391" s="117"/>
      <c r="L391" s="118"/>
    </row>
    <row r="392" ht="15.75" customHeight="1">
      <c r="I392" s="117"/>
      <c r="K392" s="117"/>
      <c r="L392" s="118"/>
    </row>
    <row r="393" ht="15.75" customHeight="1">
      <c r="I393" s="117"/>
      <c r="K393" s="117"/>
      <c r="L393" s="118"/>
    </row>
    <row r="394" ht="15.75" customHeight="1">
      <c r="I394" s="117"/>
      <c r="K394" s="117"/>
      <c r="L394" s="118"/>
    </row>
    <row r="395" ht="15.75" customHeight="1">
      <c r="I395" s="117"/>
      <c r="K395" s="117"/>
      <c r="L395" s="118"/>
    </row>
    <row r="396" ht="15.75" customHeight="1">
      <c r="I396" s="117"/>
      <c r="K396" s="117"/>
      <c r="L396" s="118"/>
    </row>
    <row r="397" ht="15.75" customHeight="1">
      <c r="I397" s="117"/>
      <c r="K397" s="117"/>
      <c r="L397" s="118"/>
    </row>
    <row r="398" ht="15.75" customHeight="1">
      <c r="I398" s="117"/>
      <c r="K398" s="117"/>
      <c r="L398" s="118"/>
    </row>
    <row r="399" ht="15.75" customHeight="1">
      <c r="I399" s="117"/>
      <c r="K399" s="117"/>
      <c r="L399" s="118"/>
    </row>
    <row r="400" ht="15.75" customHeight="1">
      <c r="I400" s="117"/>
      <c r="K400" s="117"/>
      <c r="L400" s="118"/>
    </row>
    <row r="401" ht="15.75" customHeight="1">
      <c r="I401" s="117"/>
      <c r="K401" s="117"/>
      <c r="L401" s="118"/>
    </row>
    <row r="402" ht="15.75" customHeight="1">
      <c r="I402" s="117"/>
      <c r="K402" s="117"/>
      <c r="L402" s="118"/>
    </row>
    <row r="403" ht="15.75" customHeight="1">
      <c r="I403" s="117"/>
      <c r="K403" s="117"/>
      <c r="L403" s="118"/>
    </row>
    <row r="404" ht="15.75" customHeight="1">
      <c r="I404" s="117"/>
      <c r="K404" s="117"/>
      <c r="L404" s="118"/>
    </row>
    <row r="405" ht="15.75" customHeight="1">
      <c r="I405" s="117"/>
      <c r="K405" s="117"/>
      <c r="L405" s="118"/>
    </row>
    <row r="406" ht="15.75" customHeight="1">
      <c r="I406" s="117"/>
      <c r="K406" s="117"/>
      <c r="L406" s="118"/>
    </row>
    <row r="407" ht="15.75" customHeight="1">
      <c r="I407" s="117"/>
      <c r="K407" s="117"/>
      <c r="L407" s="118"/>
    </row>
    <row r="408" ht="15.75" customHeight="1">
      <c r="I408" s="117"/>
      <c r="K408" s="117"/>
      <c r="L408" s="118"/>
    </row>
    <row r="409" ht="15.75" customHeight="1">
      <c r="I409" s="117"/>
      <c r="K409" s="117"/>
      <c r="L409" s="118"/>
    </row>
    <row r="410" ht="15.75" customHeight="1">
      <c r="I410" s="117"/>
      <c r="K410" s="117"/>
      <c r="L410" s="118"/>
    </row>
    <row r="411" ht="15.75" customHeight="1">
      <c r="I411" s="117"/>
      <c r="K411" s="117"/>
      <c r="L411" s="118"/>
    </row>
    <row r="412" ht="15.75" customHeight="1">
      <c r="I412" s="117"/>
      <c r="K412" s="117"/>
      <c r="L412" s="118"/>
    </row>
    <row r="413" ht="15.75" customHeight="1">
      <c r="I413" s="117"/>
      <c r="K413" s="117"/>
      <c r="L413" s="118"/>
    </row>
    <row r="414" ht="15.75" customHeight="1">
      <c r="I414" s="117"/>
      <c r="K414" s="117"/>
      <c r="L414" s="118"/>
    </row>
    <row r="415" ht="15.75" customHeight="1">
      <c r="I415" s="117"/>
      <c r="K415" s="117"/>
      <c r="L415" s="118"/>
    </row>
    <row r="416" ht="15.75" customHeight="1">
      <c r="I416" s="117"/>
      <c r="K416" s="117"/>
      <c r="L416" s="118"/>
    </row>
    <row r="417" ht="15.75" customHeight="1">
      <c r="I417" s="117"/>
      <c r="K417" s="117"/>
      <c r="L417" s="118"/>
    </row>
    <row r="418" ht="15.75" customHeight="1">
      <c r="I418" s="117"/>
      <c r="K418" s="117"/>
      <c r="L418" s="118"/>
    </row>
    <row r="419" ht="15.75" customHeight="1">
      <c r="I419" s="117"/>
      <c r="K419" s="117"/>
      <c r="L419" s="118"/>
    </row>
    <row r="420" ht="15.75" customHeight="1">
      <c r="I420" s="117"/>
      <c r="K420" s="117"/>
      <c r="L420" s="118"/>
    </row>
    <row r="421" ht="15.75" customHeight="1">
      <c r="I421" s="117"/>
      <c r="K421" s="117"/>
      <c r="L421" s="118"/>
    </row>
    <row r="422" ht="15.75" customHeight="1">
      <c r="I422" s="117"/>
      <c r="K422" s="117"/>
      <c r="L422" s="118"/>
    </row>
    <row r="423" ht="15.75" customHeight="1">
      <c r="I423" s="117"/>
      <c r="K423" s="117"/>
      <c r="L423" s="118"/>
    </row>
    <row r="424" ht="15.75" customHeight="1">
      <c r="I424" s="117"/>
      <c r="K424" s="117"/>
      <c r="L424" s="118"/>
    </row>
    <row r="425" ht="15.75" customHeight="1">
      <c r="I425" s="117"/>
      <c r="K425" s="117"/>
      <c r="L425" s="118"/>
    </row>
    <row r="426" ht="15.75" customHeight="1">
      <c r="I426" s="117"/>
      <c r="K426" s="117"/>
      <c r="L426" s="118"/>
    </row>
    <row r="427" ht="15.75" customHeight="1">
      <c r="I427" s="117"/>
      <c r="K427" s="117"/>
      <c r="L427" s="118"/>
    </row>
    <row r="428" ht="15.75" customHeight="1">
      <c r="I428" s="117"/>
      <c r="K428" s="117"/>
      <c r="L428" s="118"/>
    </row>
    <row r="429" ht="15.75" customHeight="1">
      <c r="I429" s="117"/>
      <c r="K429" s="117"/>
      <c r="L429" s="118"/>
    </row>
    <row r="430" ht="15.75" customHeight="1">
      <c r="I430" s="117"/>
      <c r="K430" s="117"/>
      <c r="L430" s="118"/>
    </row>
    <row r="431" ht="15.75" customHeight="1">
      <c r="I431" s="117"/>
      <c r="K431" s="117"/>
      <c r="L431" s="118"/>
    </row>
    <row r="432" ht="15.75" customHeight="1">
      <c r="I432" s="117"/>
      <c r="K432" s="117"/>
      <c r="L432" s="118"/>
    </row>
    <row r="433" ht="15.75" customHeight="1">
      <c r="I433" s="117"/>
      <c r="K433" s="117"/>
      <c r="L433" s="118"/>
    </row>
    <row r="434" ht="15.75" customHeight="1">
      <c r="I434" s="117"/>
      <c r="K434" s="117"/>
      <c r="L434" s="118"/>
    </row>
    <row r="435" ht="15.75" customHeight="1">
      <c r="I435" s="117"/>
      <c r="K435" s="117"/>
      <c r="L435" s="118"/>
    </row>
    <row r="436" ht="15.75" customHeight="1">
      <c r="I436" s="117"/>
      <c r="K436" s="117"/>
      <c r="L436" s="118"/>
    </row>
    <row r="437" ht="15.75" customHeight="1">
      <c r="I437" s="117"/>
      <c r="K437" s="117"/>
      <c r="L437" s="118"/>
    </row>
    <row r="438" ht="15.75" customHeight="1">
      <c r="I438" s="117"/>
      <c r="K438" s="117"/>
      <c r="L438" s="118"/>
    </row>
    <row r="439" ht="15.75" customHeight="1">
      <c r="I439" s="117"/>
      <c r="K439" s="117"/>
      <c r="L439" s="118"/>
    </row>
    <row r="440" ht="15.75" customHeight="1">
      <c r="I440" s="117"/>
      <c r="K440" s="117"/>
      <c r="L440" s="118"/>
    </row>
    <row r="441" ht="15.75" customHeight="1">
      <c r="I441" s="117"/>
      <c r="K441" s="117"/>
      <c r="L441" s="118"/>
    </row>
    <row r="442" ht="15.75" customHeight="1">
      <c r="I442" s="117"/>
      <c r="K442" s="117"/>
      <c r="L442" s="118"/>
    </row>
    <row r="443" ht="15.75" customHeight="1">
      <c r="I443" s="117"/>
      <c r="K443" s="117"/>
      <c r="L443" s="118"/>
    </row>
    <row r="444" ht="15.75" customHeight="1">
      <c r="I444" s="117"/>
      <c r="K444" s="117"/>
      <c r="L444" s="118"/>
    </row>
    <row r="445" ht="15.75" customHeight="1">
      <c r="I445" s="117"/>
      <c r="K445" s="117"/>
      <c r="L445" s="118"/>
    </row>
    <row r="446" ht="15.75" customHeight="1">
      <c r="I446" s="117"/>
      <c r="K446" s="117"/>
      <c r="L446" s="118"/>
    </row>
    <row r="447" ht="15.75" customHeight="1">
      <c r="I447" s="117"/>
      <c r="K447" s="117"/>
      <c r="L447" s="118"/>
    </row>
    <row r="448" ht="15.75" customHeight="1">
      <c r="I448" s="117"/>
      <c r="K448" s="117"/>
      <c r="L448" s="118"/>
    </row>
    <row r="449" ht="15.75" customHeight="1">
      <c r="I449" s="117"/>
      <c r="K449" s="117"/>
      <c r="L449" s="118"/>
    </row>
    <row r="450" ht="15.75" customHeight="1">
      <c r="I450" s="117"/>
      <c r="K450" s="117"/>
      <c r="L450" s="118"/>
    </row>
    <row r="451" ht="15.75" customHeight="1">
      <c r="I451" s="117"/>
      <c r="K451" s="117"/>
      <c r="L451" s="118"/>
    </row>
    <row r="452" ht="15.75" customHeight="1">
      <c r="I452" s="117"/>
      <c r="K452" s="117"/>
      <c r="L452" s="118"/>
    </row>
    <row r="453" ht="15.75" customHeight="1">
      <c r="I453" s="117"/>
      <c r="K453" s="117"/>
      <c r="L453" s="118"/>
    </row>
    <row r="454" ht="15.75" customHeight="1">
      <c r="I454" s="117"/>
      <c r="K454" s="117"/>
      <c r="L454" s="118"/>
    </row>
    <row r="455" ht="15.75" customHeight="1">
      <c r="I455" s="117"/>
      <c r="K455" s="117"/>
      <c r="L455" s="118"/>
    </row>
    <row r="456" ht="15.75" customHeight="1">
      <c r="I456" s="117"/>
      <c r="K456" s="117"/>
      <c r="L456" s="118"/>
    </row>
    <row r="457" ht="15.75" customHeight="1">
      <c r="I457" s="117"/>
      <c r="K457" s="117"/>
      <c r="L457" s="118"/>
    </row>
    <row r="458" ht="15.75" customHeight="1">
      <c r="I458" s="117"/>
      <c r="K458" s="117"/>
      <c r="L458" s="118"/>
    </row>
    <row r="459" ht="15.75" customHeight="1">
      <c r="I459" s="117"/>
      <c r="K459" s="117"/>
      <c r="L459" s="118"/>
    </row>
    <row r="460" ht="15.75" customHeight="1">
      <c r="I460" s="117"/>
      <c r="K460" s="117"/>
      <c r="L460" s="118"/>
    </row>
    <row r="461" ht="15.75" customHeight="1">
      <c r="I461" s="117"/>
      <c r="K461" s="117"/>
      <c r="L461" s="118"/>
    </row>
    <row r="462" ht="15.75" customHeight="1">
      <c r="I462" s="117"/>
      <c r="K462" s="117"/>
      <c r="L462" s="118"/>
    </row>
    <row r="463" ht="15.75" customHeight="1">
      <c r="I463" s="117"/>
      <c r="K463" s="117"/>
      <c r="L463" s="118"/>
    </row>
    <row r="464" ht="15.75" customHeight="1">
      <c r="I464" s="117"/>
      <c r="K464" s="117"/>
      <c r="L464" s="118"/>
    </row>
    <row r="465" ht="15.75" customHeight="1">
      <c r="I465" s="117"/>
      <c r="K465" s="117"/>
      <c r="L465" s="118"/>
    </row>
    <row r="466" ht="15.75" customHeight="1">
      <c r="I466" s="117"/>
      <c r="K466" s="117"/>
      <c r="L466" s="118"/>
    </row>
    <row r="467" ht="15.75" customHeight="1">
      <c r="I467" s="117"/>
      <c r="K467" s="117"/>
      <c r="L467" s="118"/>
    </row>
    <row r="468" ht="15.75" customHeight="1">
      <c r="I468" s="117"/>
      <c r="K468" s="117"/>
      <c r="L468" s="118"/>
    </row>
    <row r="469" ht="15.75" customHeight="1">
      <c r="I469" s="117"/>
      <c r="K469" s="117"/>
      <c r="L469" s="118"/>
    </row>
    <row r="470" ht="15.75" customHeight="1">
      <c r="I470" s="117"/>
      <c r="K470" s="117"/>
      <c r="L470" s="118"/>
    </row>
    <row r="471" ht="15.75" customHeight="1">
      <c r="I471" s="117"/>
      <c r="K471" s="117"/>
      <c r="L471" s="118"/>
    </row>
    <row r="472" ht="15.75" customHeight="1">
      <c r="I472" s="117"/>
      <c r="K472" s="117"/>
      <c r="L472" s="118"/>
    </row>
    <row r="473" ht="15.75" customHeight="1">
      <c r="I473" s="117"/>
      <c r="K473" s="117"/>
      <c r="L473" s="118"/>
    </row>
    <row r="474" ht="15.75" customHeight="1">
      <c r="I474" s="117"/>
      <c r="K474" s="117"/>
      <c r="L474" s="118"/>
    </row>
    <row r="475" ht="15.75" customHeight="1">
      <c r="I475" s="117"/>
      <c r="K475" s="117"/>
      <c r="L475" s="118"/>
    </row>
    <row r="476" ht="15.75" customHeight="1">
      <c r="I476" s="117"/>
      <c r="K476" s="117"/>
      <c r="L476" s="118"/>
    </row>
    <row r="477" ht="15.75" customHeight="1">
      <c r="I477" s="117"/>
      <c r="K477" s="117"/>
      <c r="L477" s="118"/>
    </row>
    <row r="478" ht="15.75" customHeight="1">
      <c r="I478" s="117"/>
      <c r="K478" s="117"/>
      <c r="L478" s="118"/>
    </row>
    <row r="479" ht="15.75" customHeight="1">
      <c r="I479" s="117"/>
      <c r="K479" s="117"/>
      <c r="L479" s="118"/>
    </row>
    <row r="480" ht="15.75" customHeight="1">
      <c r="I480" s="117"/>
      <c r="K480" s="117"/>
      <c r="L480" s="118"/>
    </row>
    <row r="481" ht="15.75" customHeight="1">
      <c r="I481" s="117"/>
      <c r="K481" s="117"/>
      <c r="L481" s="118"/>
    </row>
    <row r="482" ht="15.75" customHeight="1">
      <c r="I482" s="117"/>
      <c r="K482" s="117"/>
      <c r="L482" s="118"/>
    </row>
    <row r="483" ht="15.75" customHeight="1">
      <c r="I483" s="117"/>
      <c r="K483" s="117"/>
      <c r="L483" s="118"/>
    </row>
    <row r="484" ht="15.75" customHeight="1">
      <c r="I484" s="117"/>
      <c r="K484" s="117"/>
      <c r="L484" s="118"/>
    </row>
    <row r="485" ht="15.75" customHeight="1">
      <c r="I485" s="117"/>
      <c r="K485" s="117"/>
      <c r="L485" s="118"/>
    </row>
    <row r="486" ht="15.75" customHeight="1">
      <c r="I486" s="117"/>
      <c r="K486" s="117"/>
      <c r="L486" s="118"/>
    </row>
    <row r="487" ht="15.75" customHeight="1">
      <c r="I487" s="117"/>
      <c r="K487" s="117"/>
      <c r="L487" s="118"/>
    </row>
    <row r="488" ht="15.75" customHeight="1">
      <c r="I488" s="117"/>
      <c r="K488" s="117"/>
      <c r="L488" s="118"/>
    </row>
    <row r="489" ht="15.75" customHeight="1">
      <c r="I489" s="117"/>
      <c r="K489" s="117"/>
      <c r="L489" s="118"/>
    </row>
    <row r="490" ht="15.75" customHeight="1">
      <c r="I490" s="117"/>
      <c r="K490" s="117"/>
      <c r="L490" s="118"/>
    </row>
    <row r="491" ht="15.75" customHeight="1">
      <c r="I491" s="117"/>
      <c r="K491" s="117"/>
      <c r="L491" s="118"/>
    </row>
    <row r="492" ht="15.75" customHeight="1">
      <c r="I492" s="117"/>
      <c r="K492" s="117"/>
      <c r="L492" s="118"/>
    </row>
    <row r="493" ht="15.75" customHeight="1">
      <c r="I493" s="117"/>
      <c r="K493" s="117"/>
      <c r="L493" s="118"/>
    </row>
    <row r="494" ht="15.75" customHeight="1">
      <c r="I494" s="117"/>
      <c r="K494" s="117"/>
      <c r="L494" s="118"/>
    </row>
    <row r="495" ht="15.75" customHeight="1">
      <c r="I495" s="117"/>
      <c r="K495" s="117"/>
      <c r="L495" s="118"/>
    </row>
    <row r="496" ht="15.75" customHeight="1">
      <c r="I496" s="117"/>
      <c r="K496" s="117"/>
      <c r="L496" s="118"/>
    </row>
    <row r="497" ht="15.75" customHeight="1">
      <c r="I497" s="117"/>
      <c r="K497" s="117"/>
      <c r="L497" s="118"/>
    </row>
    <row r="498" ht="15.75" customHeight="1">
      <c r="I498" s="117"/>
      <c r="K498" s="117"/>
      <c r="L498" s="118"/>
    </row>
    <row r="499" ht="15.75" customHeight="1">
      <c r="I499" s="117"/>
      <c r="K499" s="117"/>
      <c r="L499" s="118"/>
    </row>
    <row r="500" ht="15.75" customHeight="1">
      <c r="I500" s="117"/>
      <c r="K500" s="117"/>
      <c r="L500" s="118"/>
    </row>
    <row r="501" ht="15.75" customHeight="1">
      <c r="I501" s="117"/>
      <c r="K501" s="117"/>
      <c r="L501" s="118"/>
    </row>
    <row r="502" ht="15.75" customHeight="1">
      <c r="I502" s="117"/>
      <c r="K502" s="117"/>
      <c r="L502" s="118"/>
    </row>
    <row r="503" ht="15.75" customHeight="1">
      <c r="I503" s="117"/>
      <c r="K503" s="117"/>
      <c r="L503" s="118"/>
    </row>
    <row r="504" ht="15.75" customHeight="1">
      <c r="I504" s="117"/>
      <c r="K504" s="117"/>
      <c r="L504" s="118"/>
    </row>
    <row r="505" ht="15.75" customHeight="1">
      <c r="I505" s="117"/>
      <c r="K505" s="117"/>
      <c r="L505" s="118"/>
    </row>
    <row r="506" ht="15.75" customHeight="1">
      <c r="I506" s="117"/>
      <c r="K506" s="117"/>
      <c r="L506" s="118"/>
    </row>
    <row r="507" ht="15.75" customHeight="1">
      <c r="I507" s="117"/>
      <c r="K507" s="117"/>
      <c r="L507" s="118"/>
    </row>
    <row r="508" ht="15.75" customHeight="1">
      <c r="I508" s="117"/>
      <c r="K508" s="117"/>
      <c r="L508" s="118"/>
    </row>
    <row r="509" ht="15.75" customHeight="1">
      <c r="I509" s="117"/>
      <c r="K509" s="117"/>
      <c r="L509" s="118"/>
    </row>
    <row r="510" ht="15.75" customHeight="1">
      <c r="I510" s="117"/>
      <c r="K510" s="117"/>
      <c r="L510" s="118"/>
    </row>
    <row r="511" ht="15.75" customHeight="1">
      <c r="I511" s="117"/>
      <c r="K511" s="117"/>
      <c r="L511" s="118"/>
    </row>
    <row r="512" ht="15.75" customHeight="1">
      <c r="I512" s="117"/>
      <c r="K512" s="117"/>
      <c r="L512" s="118"/>
    </row>
    <row r="513" ht="15.75" customHeight="1">
      <c r="I513" s="117"/>
      <c r="K513" s="117"/>
      <c r="L513" s="118"/>
    </row>
    <row r="514" ht="15.75" customHeight="1">
      <c r="I514" s="117"/>
      <c r="K514" s="117"/>
      <c r="L514" s="118"/>
    </row>
    <row r="515" ht="15.75" customHeight="1">
      <c r="I515" s="117"/>
      <c r="K515" s="117"/>
      <c r="L515" s="118"/>
    </row>
    <row r="516" ht="15.75" customHeight="1">
      <c r="I516" s="117"/>
      <c r="K516" s="117"/>
      <c r="L516" s="118"/>
    </row>
    <row r="517" ht="15.75" customHeight="1">
      <c r="I517" s="117"/>
      <c r="K517" s="117"/>
      <c r="L517" s="118"/>
    </row>
    <row r="518" ht="15.75" customHeight="1">
      <c r="I518" s="117"/>
      <c r="K518" s="117"/>
      <c r="L518" s="118"/>
    </row>
    <row r="519" ht="15.75" customHeight="1">
      <c r="I519" s="117"/>
      <c r="K519" s="117"/>
      <c r="L519" s="118"/>
    </row>
    <row r="520" ht="15.75" customHeight="1">
      <c r="I520" s="117"/>
      <c r="K520" s="117"/>
      <c r="L520" s="118"/>
    </row>
    <row r="521" ht="15.75" customHeight="1">
      <c r="I521" s="117"/>
      <c r="K521" s="117"/>
      <c r="L521" s="118"/>
    </row>
    <row r="522" ht="15.75" customHeight="1">
      <c r="I522" s="117"/>
      <c r="K522" s="117"/>
      <c r="L522" s="118"/>
    </row>
    <row r="523" ht="15.75" customHeight="1">
      <c r="I523" s="117"/>
      <c r="K523" s="117"/>
      <c r="L523" s="118"/>
    </row>
    <row r="524" ht="15.75" customHeight="1">
      <c r="I524" s="117"/>
      <c r="K524" s="117"/>
      <c r="L524" s="118"/>
    </row>
    <row r="525" ht="15.75" customHeight="1">
      <c r="I525" s="117"/>
      <c r="K525" s="117"/>
      <c r="L525" s="118"/>
    </row>
    <row r="526" ht="15.75" customHeight="1">
      <c r="I526" s="117"/>
      <c r="K526" s="117"/>
      <c r="L526" s="118"/>
    </row>
    <row r="527" ht="15.75" customHeight="1">
      <c r="I527" s="117"/>
      <c r="K527" s="117"/>
      <c r="L527" s="118"/>
    </row>
    <row r="528" ht="15.75" customHeight="1">
      <c r="I528" s="117"/>
      <c r="K528" s="117"/>
      <c r="L528" s="118"/>
    </row>
    <row r="529" ht="15.75" customHeight="1">
      <c r="I529" s="117"/>
      <c r="K529" s="117"/>
      <c r="L529" s="118"/>
    </row>
    <row r="530" ht="15.75" customHeight="1">
      <c r="I530" s="117"/>
      <c r="K530" s="117"/>
      <c r="L530" s="118"/>
    </row>
    <row r="531" ht="15.75" customHeight="1">
      <c r="I531" s="117"/>
      <c r="K531" s="117"/>
      <c r="L531" s="118"/>
    </row>
    <row r="532" ht="15.75" customHeight="1">
      <c r="I532" s="117"/>
      <c r="K532" s="117"/>
      <c r="L532" s="118"/>
    </row>
    <row r="533" ht="15.75" customHeight="1">
      <c r="I533" s="117"/>
      <c r="K533" s="117"/>
      <c r="L533" s="118"/>
    </row>
    <row r="534" ht="15.75" customHeight="1">
      <c r="I534" s="117"/>
      <c r="K534" s="117"/>
      <c r="L534" s="118"/>
    </row>
    <row r="535" ht="15.75" customHeight="1">
      <c r="I535" s="117"/>
      <c r="K535" s="117"/>
      <c r="L535" s="118"/>
    </row>
    <row r="536" ht="15.75" customHeight="1">
      <c r="I536" s="117"/>
      <c r="K536" s="117"/>
      <c r="L536" s="118"/>
    </row>
    <row r="537" ht="15.75" customHeight="1">
      <c r="I537" s="117"/>
      <c r="K537" s="117"/>
      <c r="L537" s="118"/>
    </row>
    <row r="538" ht="15.75" customHeight="1">
      <c r="I538" s="117"/>
      <c r="K538" s="117"/>
      <c r="L538" s="118"/>
    </row>
    <row r="539" ht="15.75" customHeight="1">
      <c r="I539" s="117"/>
      <c r="K539" s="117"/>
      <c r="L539" s="118"/>
    </row>
    <row r="540" ht="15.75" customHeight="1">
      <c r="I540" s="117"/>
      <c r="K540" s="117"/>
      <c r="L540" s="118"/>
    </row>
    <row r="541" ht="15.75" customHeight="1">
      <c r="I541" s="117"/>
      <c r="K541" s="117"/>
      <c r="L541" s="118"/>
    </row>
    <row r="542" ht="15.75" customHeight="1">
      <c r="I542" s="117"/>
      <c r="K542" s="117"/>
      <c r="L542" s="118"/>
    </row>
    <row r="543" ht="15.75" customHeight="1">
      <c r="I543" s="117"/>
      <c r="K543" s="117"/>
      <c r="L543" s="118"/>
    </row>
    <row r="544" ht="15.75" customHeight="1">
      <c r="I544" s="117"/>
      <c r="K544" s="117"/>
      <c r="L544" s="118"/>
    </row>
    <row r="545" ht="15.75" customHeight="1">
      <c r="I545" s="117"/>
      <c r="K545" s="117"/>
      <c r="L545" s="118"/>
    </row>
    <row r="546" ht="15.75" customHeight="1">
      <c r="I546" s="117"/>
      <c r="K546" s="117"/>
      <c r="L546" s="118"/>
    </row>
    <row r="547" ht="15.75" customHeight="1">
      <c r="I547" s="117"/>
      <c r="K547" s="117"/>
      <c r="L547" s="118"/>
    </row>
    <row r="548" ht="15.75" customHeight="1">
      <c r="I548" s="117"/>
      <c r="K548" s="117"/>
      <c r="L548" s="118"/>
    </row>
    <row r="549" ht="15.75" customHeight="1">
      <c r="I549" s="117"/>
      <c r="K549" s="117"/>
      <c r="L549" s="118"/>
    </row>
    <row r="550" ht="15.75" customHeight="1">
      <c r="I550" s="117"/>
      <c r="K550" s="117"/>
      <c r="L550" s="118"/>
    </row>
    <row r="551" ht="15.75" customHeight="1">
      <c r="I551" s="117"/>
      <c r="K551" s="117"/>
      <c r="L551" s="118"/>
    </row>
    <row r="552" ht="15.75" customHeight="1">
      <c r="I552" s="117"/>
      <c r="K552" s="117"/>
      <c r="L552" s="118"/>
    </row>
    <row r="553" ht="15.75" customHeight="1">
      <c r="I553" s="117"/>
      <c r="K553" s="117"/>
      <c r="L553" s="118"/>
    </row>
    <row r="554" ht="15.75" customHeight="1">
      <c r="I554" s="117"/>
      <c r="K554" s="117"/>
      <c r="L554" s="118"/>
    </row>
    <row r="555" ht="15.75" customHeight="1">
      <c r="I555" s="117"/>
      <c r="K555" s="117"/>
      <c r="L555" s="118"/>
    </row>
    <row r="556" ht="15.75" customHeight="1">
      <c r="I556" s="117"/>
      <c r="K556" s="117"/>
      <c r="L556" s="118"/>
    </row>
    <row r="557" ht="15.75" customHeight="1">
      <c r="I557" s="117"/>
      <c r="K557" s="117"/>
      <c r="L557" s="118"/>
    </row>
    <row r="558" ht="15.75" customHeight="1">
      <c r="I558" s="117"/>
      <c r="K558" s="117"/>
      <c r="L558" s="118"/>
    </row>
    <row r="559" ht="15.75" customHeight="1">
      <c r="I559" s="117"/>
      <c r="K559" s="117"/>
      <c r="L559" s="118"/>
    </row>
    <row r="560" ht="15.75" customHeight="1">
      <c r="I560" s="117"/>
      <c r="K560" s="117"/>
      <c r="L560" s="118"/>
    </row>
    <row r="561" ht="15.75" customHeight="1">
      <c r="I561" s="117"/>
      <c r="K561" s="117"/>
      <c r="L561" s="118"/>
    </row>
    <row r="562" ht="15.75" customHeight="1">
      <c r="I562" s="117"/>
      <c r="K562" s="117"/>
      <c r="L562" s="118"/>
    </row>
    <row r="563" ht="15.75" customHeight="1">
      <c r="I563" s="117"/>
      <c r="K563" s="117"/>
      <c r="L563" s="118"/>
    </row>
    <row r="564" ht="15.75" customHeight="1">
      <c r="I564" s="117"/>
      <c r="K564" s="117"/>
      <c r="L564" s="118"/>
    </row>
    <row r="565" ht="15.75" customHeight="1">
      <c r="I565" s="117"/>
      <c r="K565" s="117"/>
      <c r="L565" s="118"/>
    </row>
    <row r="566" ht="15.75" customHeight="1">
      <c r="I566" s="117"/>
      <c r="K566" s="117"/>
      <c r="L566" s="118"/>
    </row>
    <row r="567" ht="15.75" customHeight="1">
      <c r="I567" s="117"/>
      <c r="K567" s="117"/>
      <c r="L567" s="118"/>
    </row>
    <row r="568" ht="15.75" customHeight="1">
      <c r="I568" s="117"/>
      <c r="K568" s="117"/>
      <c r="L568" s="118"/>
    </row>
    <row r="569" ht="15.75" customHeight="1">
      <c r="I569" s="117"/>
      <c r="K569" s="117"/>
      <c r="L569" s="118"/>
    </row>
    <row r="570" ht="15.75" customHeight="1">
      <c r="I570" s="117"/>
      <c r="K570" s="117"/>
      <c r="L570" s="118"/>
    </row>
    <row r="571" ht="15.75" customHeight="1">
      <c r="I571" s="117"/>
      <c r="K571" s="117"/>
      <c r="L571" s="118"/>
    </row>
    <row r="572" ht="15.75" customHeight="1">
      <c r="I572" s="117"/>
      <c r="K572" s="117"/>
      <c r="L572" s="118"/>
    </row>
    <row r="573" ht="15.75" customHeight="1">
      <c r="I573" s="117"/>
      <c r="K573" s="117"/>
      <c r="L573" s="118"/>
    </row>
    <row r="574" ht="15.75" customHeight="1">
      <c r="I574" s="117"/>
      <c r="K574" s="117"/>
      <c r="L574" s="118"/>
    </row>
    <row r="575" ht="15.75" customHeight="1">
      <c r="I575" s="117"/>
      <c r="K575" s="117"/>
      <c r="L575" s="118"/>
    </row>
    <row r="576" ht="15.75" customHeight="1">
      <c r="I576" s="117"/>
      <c r="K576" s="117"/>
      <c r="L576" s="118"/>
    </row>
    <row r="577" ht="15.75" customHeight="1">
      <c r="I577" s="117"/>
      <c r="K577" s="117"/>
      <c r="L577" s="118"/>
    </row>
    <row r="578" ht="15.75" customHeight="1">
      <c r="I578" s="117"/>
      <c r="K578" s="117"/>
      <c r="L578" s="118"/>
    </row>
    <row r="579" ht="15.75" customHeight="1">
      <c r="I579" s="117"/>
      <c r="K579" s="117"/>
      <c r="L579" s="118"/>
    </row>
    <row r="580" ht="15.75" customHeight="1">
      <c r="I580" s="117"/>
      <c r="K580" s="117"/>
      <c r="L580" s="118"/>
    </row>
    <row r="581" ht="15.75" customHeight="1">
      <c r="I581" s="117"/>
      <c r="K581" s="117"/>
      <c r="L581" s="118"/>
    </row>
    <row r="582" ht="15.75" customHeight="1">
      <c r="I582" s="117"/>
      <c r="K582" s="117"/>
      <c r="L582" s="118"/>
    </row>
    <row r="583" ht="15.75" customHeight="1">
      <c r="I583" s="117"/>
      <c r="K583" s="117"/>
      <c r="L583" s="118"/>
    </row>
    <row r="584" ht="15.75" customHeight="1">
      <c r="I584" s="117"/>
      <c r="K584" s="117"/>
      <c r="L584" s="118"/>
    </row>
    <row r="585" ht="15.75" customHeight="1">
      <c r="I585" s="117"/>
      <c r="K585" s="117"/>
      <c r="L585" s="118"/>
    </row>
    <row r="586" ht="15.75" customHeight="1">
      <c r="I586" s="117"/>
      <c r="K586" s="117"/>
      <c r="L586" s="118"/>
    </row>
    <row r="587" ht="15.75" customHeight="1">
      <c r="I587" s="117"/>
      <c r="K587" s="117"/>
      <c r="L587" s="118"/>
    </row>
    <row r="588" ht="15.75" customHeight="1">
      <c r="I588" s="117"/>
      <c r="K588" s="117"/>
      <c r="L588" s="118"/>
    </row>
    <row r="589" ht="15.75" customHeight="1">
      <c r="I589" s="117"/>
      <c r="K589" s="117"/>
      <c r="L589" s="118"/>
    </row>
    <row r="590" ht="15.75" customHeight="1">
      <c r="I590" s="117"/>
      <c r="K590" s="117"/>
      <c r="L590" s="118"/>
    </row>
    <row r="591" ht="15.75" customHeight="1">
      <c r="I591" s="117"/>
      <c r="K591" s="117"/>
      <c r="L591" s="118"/>
    </row>
    <row r="592" ht="15.75" customHeight="1">
      <c r="I592" s="117"/>
      <c r="K592" s="117"/>
      <c r="L592" s="118"/>
    </row>
    <row r="593" ht="15.75" customHeight="1">
      <c r="I593" s="117"/>
      <c r="K593" s="117"/>
      <c r="L593" s="118"/>
    </row>
    <row r="594" ht="15.75" customHeight="1">
      <c r="I594" s="117"/>
      <c r="K594" s="117"/>
      <c r="L594" s="118"/>
    </row>
    <row r="595" ht="15.75" customHeight="1">
      <c r="I595" s="117"/>
      <c r="K595" s="117"/>
      <c r="L595" s="118"/>
    </row>
    <row r="596" ht="15.75" customHeight="1">
      <c r="I596" s="117"/>
      <c r="K596" s="117"/>
      <c r="L596" s="118"/>
    </row>
    <row r="597" ht="15.75" customHeight="1">
      <c r="I597" s="117"/>
      <c r="K597" s="117"/>
      <c r="L597" s="118"/>
    </row>
    <row r="598" ht="15.75" customHeight="1">
      <c r="I598" s="117"/>
      <c r="K598" s="117"/>
      <c r="L598" s="118"/>
    </row>
    <row r="599" ht="15.75" customHeight="1">
      <c r="I599" s="117"/>
      <c r="K599" s="117"/>
      <c r="L599" s="118"/>
    </row>
    <row r="600" ht="15.75" customHeight="1">
      <c r="I600" s="117"/>
      <c r="K600" s="117"/>
      <c r="L600" s="118"/>
    </row>
    <row r="601" ht="15.75" customHeight="1">
      <c r="I601" s="117"/>
      <c r="K601" s="117"/>
      <c r="L601" s="118"/>
    </row>
    <row r="602" ht="15.75" customHeight="1">
      <c r="I602" s="117"/>
      <c r="K602" s="117"/>
      <c r="L602" s="118"/>
    </row>
    <row r="603" ht="15.75" customHeight="1">
      <c r="I603" s="117"/>
      <c r="K603" s="117"/>
      <c r="L603" s="118"/>
    </row>
    <row r="604" ht="15.75" customHeight="1">
      <c r="I604" s="117"/>
      <c r="K604" s="117"/>
      <c r="L604" s="118"/>
    </row>
    <row r="605" ht="15.75" customHeight="1">
      <c r="I605" s="117"/>
      <c r="K605" s="117"/>
      <c r="L605" s="118"/>
    </row>
    <row r="606" ht="15.75" customHeight="1">
      <c r="I606" s="117"/>
      <c r="K606" s="117"/>
      <c r="L606" s="118"/>
    </row>
    <row r="607" ht="15.75" customHeight="1">
      <c r="I607" s="117"/>
      <c r="K607" s="117"/>
      <c r="L607" s="118"/>
    </row>
    <row r="608" ht="15.75" customHeight="1">
      <c r="I608" s="117"/>
      <c r="K608" s="117"/>
      <c r="L608" s="118"/>
    </row>
    <row r="609" ht="15.75" customHeight="1">
      <c r="I609" s="117"/>
      <c r="K609" s="117"/>
      <c r="L609" s="118"/>
    </row>
    <row r="610" ht="15.75" customHeight="1">
      <c r="I610" s="117"/>
      <c r="K610" s="117"/>
      <c r="L610" s="118"/>
    </row>
    <row r="611" ht="15.75" customHeight="1">
      <c r="I611" s="117"/>
      <c r="K611" s="117"/>
      <c r="L611" s="118"/>
    </row>
    <row r="612" ht="15.75" customHeight="1">
      <c r="I612" s="117"/>
      <c r="K612" s="117"/>
      <c r="L612" s="118"/>
    </row>
    <row r="613" ht="15.75" customHeight="1">
      <c r="I613" s="117"/>
      <c r="K613" s="117"/>
      <c r="L613" s="118"/>
    </row>
    <row r="614" ht="15.75" customHeight="1">
      <c r="I614" s="117"/>
      <c r="K614" s="117"/>
      <c r="L614" s="118"/>
    </row>
    <row r="615" ht="15.75" customHeight="1">
      <c r="I615" s="117"/>
      <c r="K615" s="117"/>
      <c r="L615" s="118"/>
    </row>
    <row r="616" ht="15.75" customHeight="1">
      <c r="I616" s="117"/>
      <c r="K616" s="117"/>
      <c r="L616" s="118"/>
    </row>
    <row r="617" ht="15.75" customHeight="1">
      <c r="I617" s="117"/>
      <c r="K617" s="117"/>
      <c r="L617" s="118"/>
    </row>
    <row r="618" ht="15.75" customHeight="1">
      <c r="I618" s="117"/>
      <c r="K618" s="117"/>
      <c r="L618" s="118"/>
    </row>
    <row r="619" ht="15.75" customHeight="1">
      <c r="I619" s="117"/>
      <c r="K619" s="117"/>
      <c r="L619" s="118"/>
    </row>
    <row r="620" ht="15.75" customHeight="1">
      <c r="I620" s="117"/>
      <c r="K620" s="117"/>
      <c r="L620" s="118"/>
    </row>
    <row r="621" ht="15.75" customHeight="1">
      <c r="I621" s="117"/>
      <c r="K621" s="117"/>
      <c r="L621" s="118"/>
    </row>
    <row r="622" ht="15.75" customHeight="1">
      <c r="I622" s="117"/>
      <c r="K622" s="117"/>
      <c r="L622" s="118"/>
    </row>
    <row r="623" ht="15.75" customHeight="1">
      <c r="I623" s="117"/>
      <c r="K623" s="117"/>
      <c r="L623" s="118"/>
    </row>
    <row r="624" ht="15.75" customHeight="1">
      <c r="I624" s="117"/>
      <c r="K624" s="117"/>
      <c r="L624" s="118"/>
    </row>
    <row r="625" ht="15.75" customHeight="1">
      <c r="I625" s="117"/>
      <c r="K625" s="117"/>
      <c r="L625" s="118"/>
    </row>
    <row r="626" ht="15.75" customHeight="1">
      <c r="I626" s="117"/>
      <c r="K626" s="117"/>
      <c r="L626" s="118"/>
    </row>
    <row r="627" ht="15.75" customHeight="1">
      <c r="I627" s="117"/>
      <c r="K627" s="117"/>
      <c r="L627" s="118"/>
    </row>
    <row r="628" ht="15.75" customHeight="1">
      <c r="I628" s="117"/>
      <c r="K628" s="117"/>
      <c r="L628" s="118"/>
    </row>
    <row r="629" ht="15.75" customHeight="1">
      <c r="I629" s="117"/>
      <c r="K629" s="117"/>
      <c r="L629" s="118"/>
    </row>
    <row r="630" ht="15.75" customHeight="1">
      <c r="I630" s="117"/>
      <c r="K630" s="117"/>
      <c r="L630" s="118"/>
    </row>
    <row r="631" ht="15.75" customHeight="1">
      <c r="I631" s="117"/>
      <c r="K631" s="117"/>
      <c r="L631" s="118"/>
    </row>
    <row r="632" ht="15.75" customHeight="1">
      <c r="I632" s="117"/>
      <c r="K632" s="117"/>
      <c r="L632" s="118"/>
    </row>
    <row r="633" ht="15.75" customHeight="1">
      <c r="I633" s="117"/>
      <c r="K633" s="117"/>
      <c r="L633" s="118"/>
    </row>
    <row r="634" ht="15.75" customHeight="1">
      <c r="I634" s="117"/>
      <c r="K634" s="117"/>
      <c r="L634" s="118"/>
    </row>
    <row r="635" ht="15.75" customHeight="1">
      <c r="I635" s="117"/>
      <c r="K635" s="117"/>
      <c r="L635" s="118"/>
    </row>
    <row r="636" ht="15.75" customHeight="1">
      <c r="I636" s="117"/>
      <c r="K636" s="117"/>
      <c r="L636" s="118"/>
    </row>
    <row r="637" ht="15.75" customHeight="1">
      <c r="I637" s="117"/>
      <c r="K637" s="117"/>
      <c r="L637" s="118"/>
    </row>
    <row r="638" ht="15.75" customHeight="1">
      <c r="I638" s="117"/>
      <c r="K638" s="117"/>
      <c r="L638" s="118"/>
    </row>
    <row r="639" ht="15.75" customHeight="1">
      <c r="I639" s="117"/>
      <c r="K639" s="117"/>
      <c r="L639" s="118"/>
    </row>
    <row r="640" ht="15.75" customHeight="1">
      <c r="I640" s="117"/>
      <c r="K640" s="117"/>
      <c r="L640" s="118"/>
    </row>
    <row r="641" ht="15.75" customHeight="1">
      <c r="I641" s="117"/>
      <c r="K641" s="117"/>
      <c r="L641" s="118"/>
    </row>
    <row r="642" ht="15.75" customHeight="1">
      <c r="I642" s="117"/>
      <c r="K642" s="117"/>
      <c r="L642" s="118"/>
    </row>
    <row r="643" ht="15.75" customHeight="1">
      <c r="I643" s="117"/>
      <c r="K643" s="117"/>
      <c r="L643" s="118"/>
    </row>
    <row r="644" ht="15.75" customHeight="1">
      <c r="I644" s="117"/>
      <c r="K644" s="117"/>
      <c r="L644" s="118"/>
    </row>
    <row r="645" ht="15.75" customHeight="1">
      <c r="I645" s="117"/>
      <c r="K645" s="117"/>
      <c r="L645" s="118"/>
    </row>
    <row r="646" ht="15.75" customHeight="1">
      <c r="I646" s="117"/>
      <c r="K646" s="117"/>
      <c r="L646" s="118"/>
    </row>
    <row r="647" ht="15.75" customHeight="1">
      <c r="I647" s="117"/>
      <c r="K647" s="117"/>
      <c r="L647" s="118"/>
    </row>
    <row r="648" ht="15.75" customHeight="1">
      <c r="I648" s="117"/>
      <c r="K648" s="117"/>
      <c r="L648" s="118"/>
    </row>
    <row r="649" ht="15.75" customHeight="1">
      <c r="I649" s="117"/>
      <c r="K649" s="117"/>
      <c r="L649" s="118"/>
    </row>
    <row r="650" ht="15.75" customHeight="1">
      <c r="I650" s="117"/>
      <c r="K650" s="117"/>
      <c r="L650" s="118"/>
    </row>
    <row r="651" ht="15.75" customHeight="1">
      <c r="I651" s="117"/>
      <c r="K651" s="117"/>
      <c r="L651" s="118"/>
    </row>
    <row r="652" ht="15.75" customHeight="1">
      <c r="I652" s="117"/>
      <c r="K652" s="117"/>
      <c r="L652" s="118"/>
    </row>
    <row r="653" ht="15.75" customHeight="1">
      <c r="I653" s="117"/>
      <c r="K653" s="117"/>
      <c r="L653" s="118"/>
    </row>
    <row r="654" ht="15.75" customHeight="1">
      <c r="I654" s="117"/>
      <c r="K654" s="117"/>
      <c r="L654" s="118"/>
    </row>
    <row r="655" ht="15.75" customHeight="1">
      <c r="I655" s="117"/>
      <c r="K655" s="117"/>
      <c r="L655" s="118"/>
    </row>
    <row r="656" ht="15.75" customHeight="1">
      <c r="I656" s="117"/>
      <c r="K656" s="117"/>
      <c r="L656" s="118"/>
    </row>
    <row r="657" ht="15.75" customHeight="1">
      <c r="I657" s="117"/>
      <c r="K657" s="117"/>
      <c r="L657" s="118"/>
    </row>
    <row r="658" ht="15.75" customHeight="1">
      <c r="I658" s="117"/>
      <c r="K658" s="117"/>
      <c r="L658" s="118"/>
    </row>
    <row r="659" ht="15.75" customHeight="1">
      <c r="I659" s="117"/>
      <c r="K659" s="117"/>
      <c r="L659" s="118"/>
    </row>
    <row r="660" ht="15.75" customHeight="1">
      <c r="I660" s="117"/>
      <c r="K660" s="117"/>
      <c r="L660" s="118"/>
    </row>
    <row r="661" ht="15.75" customHeight="1">
      <c r="I661" s="117"/>
      <c r="K661" s="117"/>
      <c r="L661" s="118"/>
    </row>
    <row r="662" ht="15.75" customHeight="1">
      <c r="I662" s="117"/>
      <c r="K662" s="117"/>
      <c r="L662" s="118"/>
    </row>
    <row r="663" ht="15.75" customHeight="1">
      <c r="I663" s="117"/>
      <c r="K663" s="117"/>
      <c r="L663" s="118"/>
    </row>
    <row r="664" ht="15.75" customHeight="1">
      <c r="I664" s="117"/>
      <c r="K664" s="117"/>
      <c r="L664" s="118"/>
    </row>
    <row r="665" ht="15.75" customHeight="1">
      <c r="I665" s="117"/>
      <c r="K665" s="117"/>
      <c r="L665" s="118"/>
    </row>
    <row r="666" ht="15.75" customHeight="1">
      <c r="I666" s="117"/>
      <c r="K666" s="117"/>
      <c r="L666" s="118"/>
    </row>
    <row r="667" ht="15.75" customHeight="1">
      <c r="I667" s="117"/>
      <c r="K667" s="117"/>
      <c r="L667" s="118"/>
    </row>
    <row r="668" ht="15.75" customHeight="1">
      <c r="I668" s="117"/>
      <c r="K668" s="117"/>
      <c r="L668" s="118"/>
    </row>
    <row r="669" ht="15.75" customHeight="1">
      <c r="I669" s="117"/>
      <c r="K669" s="117"/>
      <c r="L669" s="118"/>
    </row>
    <row r="670" ht="15.75" customHeight="1">
      <c r="I670" s="117"/>
      <c r="K670" s="117"/>
      <c r="L670" s="118"/>
    </row>
    <row r="671" ht="15.75" customHeight="1">
      <c r="I671" s="117"/>
      <c r="K671" s="117"/>
      <c r="L671" s="118"/>
    </row>
    <row r="672" ht="15.75" customHeight="1">
      <c r="I672" s="117"/>
      <c r="K672" s="117"/>
      <c r="L672" s="118"/>
    </row>
    <row r="673" ht="15.75" customHeight="1">
      <c r="I673" s="117"/>
      <c r="K673" s="117"/>
      <c r="L673" s="118"/>
    </row>
    <row r="674" ht="15.75" customHeight="1">
      <c r="I674" s="117"/>
      <c r="K674" s="117"/>
      <c r="L674" s="118"/>
    </row>
    <row r="675" ht="15.75" customHeight="1">
      <c r="I675" s="117"/>
      <c r="K675" s="117"/>
      <c r="L675" s="118"/>
    </row>
    <row r="676" ht="15.75" customHeight="1">
      <c r="I676" s="117"/>
      <c r="K676" s="117"/>
      <c r="L676" s="118"/>
    </row>
    <row r="677" ht="15.75" customHeight="1">
      <c r="I677" s="117"/>
      <c r="K677" s="117"/>
      <c r="L677" s="118"/>
    </row>
    <row r="678" ht="15.75" customHeight="1">
      <c r="I678" s="117"/>
      <c r="K678" s="117"/>
      <c r="L678" s="118"/>
    </row>
    <row r="679" ht="15.75" customHeight="1">
      <c r="I679" s="117"/>
      <c r="K679" s="117"/>
      <c r="L679" s="118"/>
    </row>
    <row r="680" ht="15.75" customHeight="1">
      <c r="I680" s="117"/>
      <c r="K680" s="117"/>
      <c r="L680" s="118"/>
    </row>
    <row r="681" ht="15.75" customHeight="1">
      <c r="I681" s="117"/>
      <c r="K681" s="117"/>
      <c r="L681" s="118"/>
    </row>
    <row r="682" ht="15.75" customHeight="1">
      <c r="I682" s="117"/>
      <c r="K682" s="117"/>
      <c r="L682" s="118"/>
    </row>
    <row r="683" ht="15.75" customHeight="1">
      <c r="I683" s="117"/>
      <c r="K683" s="117"/>
      <c r="L683" s="118"/>
    </row>
    <row r="684" ht="15.75" customHeight="1">
      <c r="I684" s="117"/>
      <c r="K684" s="117"/>
      <c r="L684" s="118"/>
    </row>
    <row r="685" ht="15.75" customHeight="1">
      <c r="I685" s="117"/>
      <c r="K685" s="117"/>
      <c r="L685" s="118"/>
    </row>
    <row r="686" ht="15.75" customHeight="1">
      <c r="I686" s="117"/>
      <c r="K686" s="117"/>
      <c r="L686" s="118"/>
    </row>
    <row r="687" ht="15.75" customHeight="1">
      <c r="I687" s="117"/>
      <c r="K687" s="117"/>
      <c r="L687" s="118"/>
    </row>
    <row r="688" ht="15.75" customHeight="1">
      <c r="I688" s="117"/>
      <c r="K688" s="117"/>
      <c r="L688" s="118"/>
    </row>
    <row r="689" ht="15.75" customHeight="1">
      <c r="I689" s="117"/>
      <c r="K689" s="117"/>
      <c r="L689" s="118"/>
    </row>
    <row r="690" ht="15.75" customHeight="1">
      <c r="I690" s="117"/>
      <c r="K690" s="117"/>
      <c r="L690" s="118"/>
    </row>
    <row r="691" ht="15.75" customHeight="1">
      <c r="I691" s="117"/>
      <c r="K691" s="117"/>
      <c r="L691" s="118"/>
    </row>
    <row r="692" ht="15.75" customHeight="1">
      <c r="I692" s="117"/>
      <c r="K692" s="117"/>
      <c r="L692" s="118"/>
    </row>
    <row r="693" ht="15.75" customHeight="1">
      <c r="I693" s="117"/>
      <c r="K693" s="117"/>
      <c r="L693" s="118"/>
    </row>
    <row r="694" ht="15.75" customHeight="1">
      <c r="I694" s="117"/>
      <c r="K694" s="117"/>
      <c r="L694" s="118"/>
    </row>
    <row r="695" ht="15.75" customHeight="1">
      <c r="I695" s="117"/>
      <c r="K695" s="117"/>
      <c r="L695" s="118"/>
    </row>
    <row r="696" ht="15.75" customHeight="1">
      <c r="I696" s="117"/>
      <c r="K696" s="117"/>
      <c r="L696" s="118"/>
    </row>
    <row r="697" ht="15.75" customHeight="1">
      <c r="I697" s="117"/>
      <c r="K697" s="117"/>
      <c r="L697" s="118"/>
    </row>
    <row r="698" ht="15.75" customHeight="1">
      <c r="I698" s="117"/>
      <c r="K698" s="117"/>
      <c r="L698" s="118"/>
    </row>
    <row r="699" ht="15.75" customHeight="1">
      <c r="I699" s="117"/>
      <c r="K699" s="117"/>
      <c r="L699" s="118"/>
    </row>
    <row r="700" ht="15.75" customHeight="1">
      <c r="I700" s="117"/>
      <c r="K700" s="117"/>
      <c r="L700" s="118"/>
    </row>
    <row r="701" ht="15.75" customHeight="1">
      <c r="I701" s="117"/>
      <c r="K701" s="117"/>
      <c r="L701" s="118"/>
    </row>
    <row r="702" ht="15.75" customHeight="1">
      <c r="I702" s="117"/>
      <c r="K702" s="117"/>
      <c r="L702" s="118"/>
    </row>
    <row r="703" ht="15.75" customHeight="1">
      <c r="I703" s="117"/>
      <c r="K703" s="117"/>
      <c r="L703" s="118"/>
    </row>
    <row r="704" ht="15.75" customHeight="1">
      <c r="I704" s="117"/>
      <c r="K704" s="117"/>
      <c r="L704" s="118"/>
    </row>
    <row r="705" ht="15.75" customHeight="1">
      <c r="I705" s="117"/>
      <c r="K705" s="117"/>
      <c r="L705" s="118"/>
    </row>
    <row r="706" ht="15.75" customHeight="1">
      <c r="I706" s="117"/>
      <c r="K706" s="117"/>
      <c r="L706" s="118"/>
    </row>
    <row r="707" ht="15.75" customHeight="1">
      <c r="I707" s="117"/>
      <c r="K707" s="117"/>
      <c r="L707" s="118"/>
    </row>
    <row r="708" ht="15.75" customHeight="1">
      <c r="I708" s="117"/>
      <c r="K708" s="117"/>
      <c r="L708" s="118"/>
    </row>
    <row r="709" ht="15.75" customHeight="1">
      <c r="I709" s="117"/>
      <c r="K709" s="117"/>
      <c r="L709" s="118"/>
    </row>
    <row r="710" ht="15.75" customHeight="1">
      <c r="I710" s="117"/>
      <c r="K710" s="117"/>
      <c r="L710" s="118"/>
    </row>
    <row r="711" ht="15.75" customHeight="1">
      <c r="I711" s="117"/>
      <c r="K711" s="117"/>
      <c r="L711" s="118"/>
    </row>
    <row r="712" ht="15.75" customHeight="1">
      <c r="I712" s="117"/>
      <c r="K712" s="117"/>
      <c r="L712" s="118"/>
    </row>
    <row r="713" ht="15.75" customHeight="1">
      <c r="I713" s="117"/>
      <c r="K713" s="117"/>
      <c r="L713" s="118"/>
    </row>
    <row r="714" ht="15.75" customHeight="1">
      <c r="I714" s="117"/>
      <c r="K714" s="117"/>
      <c r="L714" s="118"/>
    </row>
    <row r="715" ht="15.75" customHeight="1">
      <c r="I715" s="117"/>
      <c r="K715" s="117"/>
      <c r="L715" s="118"/>
    </row>
    <row r="716" ht="15.75" customHeight="1">
      <c r="I716" s="117"/>
      <c r="K716" s="117"/>
      <c r="L716" s="118"/>
    </row>
    <row r="717" ht="15.75" customHeight="1">
      <c r="I717" s="117"/>
      <c r="K717" s="117"/>
      <c r="L717" s="118"/>
    </row>
    <row r="718" ht="15.75" customHeight="1">
      <c r="I718" s="117"/>
      <c r="K718" s="117"/>
      <c r="L718" s="118"/>
    </row>
    <row r="719" ht="15.75" customHeight="1">
      <c r="I719" s="117"/>
      <c r="K719" s="117"/>
      <c r="L719" s="118"/>
    </row>
    <row r="720" ht="15.75" customHeight="1">
      <c r="I720" s="117"/>
      <c r="K720" s="117"/>
      <c r="L720" s="118"/>
    </row>
    <row r="721" ht="15.75" customHeight="1">
      <c r="I721" s="117"/>
      <c r="K721" s="117"/>
      <c r="L721" s="118"/>
    </row>
    <row r="722" ht="15.75" customHeight="1">
      <c r="I722" s="117"/>
      <c r="K722" s="117"/>
      <c r="L722" s="118"/>
    </row>
    <row r="723" ht="15.75" customHeight="1">
      <c r="I723" s="117"/>
      <c r="K723" s="117"/>
      <c r="L723" s="118"/>
    </row>
    <row r="724" ht="15.75" customHeight="1">
      <c r="I724" s="117"/>
      <c r="K724" s="117"/>
      <c r="L724" s="118"/>
    </row>
    <row r="725" ht="15.75" customHeight="1">
      <c r="I725" s="117"/>
      <c r="K725" s="117"/>
      <c r="L725" s="118"/>
    </row>
    <row r="726" ht="15.75" customHeight="1">
      <c r="I726" s="117"/>
      <c r="K726" s="117"/>
      <c r="L726" s="118"/>
    </row>
    <row r="727" ht="15.75" customHeight="1">
      <c r="I727" s="117"/>
      <c r="K727" s="117"/>
      <c r="L727" s="118"/>
    </row>
    <row r="728" ht="15.75" customHeight="1">
      <c r="I728" s="117"/>
      <c r="K728" s="117"/>
      <c r="L728" s="118"/>
    </row>
    <row r="729" ht="15.75" customHeight="1">
      <c r="I729" s="117"/>
      <c r="K729" s="117"/>
      <c r="L729" s="118"/>
    </row>
    <row r="730" ht="15.75" customHeight="1">
      <c r="I730" s="117"/>
      <c r="K730" s="117"/>
      <c r="L730" s="118"/>
    </row>
    <row r="731" ht="15.75" customHeight="1">
      <c r="I731" s="117"/>
      <c r="K731" s="117"/>
      <c r="L731" s="118"/>
    </row>
    <row r="732" ht="15.75" customHeight="1">
      <c r="I732" s="117"/>
      <c r="K732" s="117"/>
      <c r="L732" s="118"/>
    </row>
    <row r="733" ht="15.75" customHeight="1">
      <c r="I733" s="117"/>
      <c r="K733" s="117"/>
      <c r="L733" s="118"/>
    </row>
    <row r="734" ht="15.75" customHeight="1">
      <c r="I734" s="117"/>
      <c r="K734" s="117"/>
      <c r="L734" s="118"/>
    </row>
    <row r="735" ht="15.75" customHeight="1">
      <c r="I735" s="117"/>
      <c r="K735" s="117"/>
      <c r="L735" s="118"/>
    </row>
    <row r="736" ht="15.75" customHeight="1">
      <c r="I736" s="117"/>
      <c r="K736" s="117"/>
      <c r="L736" s="118"/>
    </row>
    <row r="737" ht="15.75" customHeight="1">
      <c r="I737" s="117"/>
      <c r="K737" s="117"/>
      <c r="L737" s="118"/>
    </row>
    <row r="738" ht="15.75" customHeight="1">
      <c r="I738" s="117"/>
      <c r="K738" s="117"/>
      <c r="L738" s="118"/>
    </row>
    <row r="739" ht="15.75" customHeight="1">
      <c r="I739" s="117"/>
      <c r="K739" s="117"/>
      <c r="L739" s="118"/>
    </row>
    <row r="740" ht="15.75" customHeight="1">
      <c r="I740" s="117"/>
      <c r="K740" s="117"/>
      <c r="L740" s="118"/>
    </row>
    <row r="741" ht="15.75" customHeight="1">
      <c r="I741" s="117"/>
      <c r="K741" s="117"/>
      <c r="L741" s="118"/>
    </row>
    <row r="742" ht="15.75" customHeight="1">
      <c r="I742" s="117"/>
      <c r="K742" s="117"/>
      <c r="L742" s="118"/>
    </row>
    <row r="743" ht="15.75" customHeight="1">
      <c r="I743" s="117"/>
      <c r="K743" s="117"/>
      <c r="L743" s="118"/>
    </row>
    <row r="744" ht="15.75" customHeight="1">
      <c r="I744" s="117"/>
      <c r="K744" s="117"/>
      <c r="L744" s="118"/>
    </row>
    <row r="745" ht="15.75" customHeight="1">
      <c r="I745" s="117"/>
      <c r="K745" s="117"/>
      <c r="L745" s="118"/>
    </row>
    <row r="746" ht="15.75" customHeight="1">
      <c r="I746" s="117"/>
      <c r="K746" s="117"/>
      <c r="L746" s="118"/>
    </row>
    <row r="747" ht="15.75" customHeight="1">
      <c r="I747" s="117"/>
      <c r="K747" s="117"/>
      <c r="L747" s="118"/>
    </row>
    <row r="748" ht="15.75" customHeight="1">
      <c r="I748" s="117"/>
      <c r="K748" s="117"/>
      <c r="L748" s="118"/>
    </row>
    <row r="749" ht="15.75" customHeight="1">
      <c r="I749" s="117"/>
      <c r="K749" s="117"/>
      <c r="L749" s="118"/>
    </row>
    <row r="750" ht="15.75" customHeight="1">
      <c r="I750" s="117"/>
      <c r="K750" s="117"/>
      <c r="L750" s="118"/>
    </row>
    <row r="751" ht="15.75" customHeight="1">
      <c r="I751" s="117"/>
      <c r="K751" s="117"/>
      <c r="L751" s="118"/>
    </row>
    <row r="752" ht="15.75" customHeight="1">
      <c r="I752" s="117"/>
      <c r="K752" s="117"/>
      <c r="L752" s="118"/>
    </row>
    <row r="753" ht="15.75" customHeight="1">
      <c r="I753" s="117"/>
      <c r="K753" s="117"/>
      <c r="L753" s="118"/>
    </row>
    <row r="754" ht="15.75" customHeight="1">
      <c r="I754" s="117"/>
      <c r="K754" s="117"/>
      <c r="L754" s="118"/>
    </row>
    <row r="755" ht="15.75" customHeight="1">
      <c r="I755" s="117"/>
      <c r="K755" s="117"/>
      <c r="L755" s="118"/>
    </row>
    <row r="756" ht="15.75" customHeight="1">
      <c r="I756" s="117"/>
      <c r="K756" s="117"/>
      <c r="L756" s="118"/>
    </row>
    <row r="757" ht="15.75" customHeight="1">
      <c r="I757" s="117"/>
      <c r="K757" s="117"/>
      <c r="L757" s="118"/>
    </row>
    <row r="758" ht="15.75" customHeight="1">
      <c r="I758" s="117"/>
      <c r="K758" s="117"/>
      <c r="L758" s="118"/>
    </row>
    <row r="759" ht="15.75" customHeight="1">
      <c r="I759" s="117"/>
      <c r="K759" s="117"/>
      <c r="L759" s="118"/>
    </row>
    <row r="760" ht="15.75" customHeight="1">
      <c r="I760" s="117"/>
      <c r="K760" s="117"/>
      <c r="L760" s="118"/>
    </row>
    <row r="761" ht="15.75" customHeight="1">
      <c r="I761" s="117"/>
      <c r="K761" s="117"/>
      <c r="L761" s="118"/>
    </row>
    <row r="762" ht="15.75" customHeight="1">
      <c r="I762" s="117"/>
      <c r="K762" s="117"/>
      <c r="L762" s="118"/>
    </row>
    <row r="763" ht="15.75" customHeight="1">
      <c r="I763" s="117"/>
      <c r="K763" s="117"/>
      <c r="L763" s="118"/>
    </row>
    <row r="764" ht="15.75" customHeight="1">
      <c r="I764" s="117"/>
      <c r="K764" s="117"/>
      <c r="L764" s="118"/>
    </row>
    <row r="765" ht="15.75" customHeight="1">
      <c r="I765" s="117"/>
      <c r="K765" s="117"/>
      <c r="L765" s="118"/>
    </row>
    <row r="766" ht="15.75" customHeight="1">
      <c r="I766" s="117"/>
      <c r="K766" s="117"/>
      <c r="L766" s="118"/>
    </row>
    <row r="767" ht="15.75" customHeight="1">
      <c r="I767" s="117"/>
      <c r="K767" s="117"/>
      <c r="L767" s="118"/>
    </row>
    <row r="768" ht="15.75" customHeight="1">
      <c r="I768" s="117"/>
      <c r="K768" s="117"/>
      <c r="L768" s="118"/>
    </row>
    <row r="769" ht="15.75" customHeight="1">
      <c r="I769" s="117"/>
      <c r="K769" s="117"/>
      <c r="L769" s="118"/>
    </row>
    <row r="770" ht="15.75" customHeight="1">
      <c r="I770" s="117"/>
      <c r="K770" s="117"/>
      <c r="L770" s="118"/>
    </row>
    <row r="771" ht="15.75" customHeight="1">
      <c r="I771" s="117"/>
      <c r="K771" s="117"/>
      <c r="L771" s="118"/>
    </row>
    <row r="772" ht="15.75" customHeight="1">
      <c r="I772" s="117"/>
      <c r="K772" s="117"/>
      <c r="L772" s="118"/>
    </row>
    <row r="773" ht="15.75" customHeight="1">
      <c r="I773" s="117"/>
      <c r="K773" s="117"/>
      <c r="L773" s="118"/>
    </row>
    <row r="774" ht="15.75" customHeight="1">
      <c r="I774" s="117"/>
      <c r="K774" s="117"/>
      <c r="L774" s="118"/>
    </row>
    <row r="775" ht="15.75" customHeight="1">
      <c r="I775" s="117"/>
      <c r="K775" s="117"/>
      <c r="L775" s="118"/>
    </row>
    <row r="776" ht="15.75" customHeight="1">
      <c r="I776" s="117"/>
      <c r="K776" s="117"/>
      <c r="L776" s="118"/>
    </row>
    <row r="777" ht="15.75" customHeight="1">
      <c r="I777" s="117"/>
      <c r="K777" s="117"/>
      <c r="L777" s="118"/>
    </row>
    <row r="778" ht="15.75" customHeight="1">
      <c r="I778" s="117"/>
      <c r="K778" s="117"/>
      <c r="L778" s="118"/>
    </row>
    <row r="779" ht="15.75" customHeight="1">
      <c r="I779" s="117"/>
      <c r="K779" s="117"/>
      <c r="L779" s="118"/>
    </row>
    <row r="780" ht="15.75" customHeight="1">
      <c r="I780" s="117"/>
      <c r="K780" s="117"/>
      <c r="L780" s="118"/>
    </row>
    <row r="781" ht="15.75" customHeight="1">
      <c r="I781" s="117"/>
      <c r="K781" s="117"/>
      <c r="L781" s="118"/>
    </row>
    <row r="782" ht="15.75" customHeight="1">
      <c r="I782" s="117"/>
      <c r="K782" s="117"/>
      <c r="L782" s="118"/>
    </row>
    <row r="783" ht="15.75" customHeight="1">
      <c r="I783" s="117"/>
      <c r="K783" s="117"/>
      <c r="L783" s="118"/>
    </row>
    <row r="784" ht="15.75" customHeight="1">
      <c r="I784" s="117"/>
      <c r="K784" s="117"/>
      <c r="L784" s="118"/>
    </row>
    <row r="785" ht="15.75" customHeight="1">
      <c r="I785" s="117"/>
      <c r="K785" s="117"/>
      <c r="L785" s="118"/>
    </row>
    <row r="786" ht="15.75" customHeight="1">
      <c r="I786" s="117"/>
      <c r="K786" s="117"/>
      <c r="L786" s="118"/>
    </row>
    <row r="787" ht="15.75" customHeight="1">
      <c r="I787" s="117"/>
      <c r="K787" s="117"/>
      <c r="L787" s="118"/>
    </row>
    <row r="788" ht="15.75" customHeight="1">
      <c r="I788" s="117"/>
      <c r="K788" s="117"/>
      <c r="L788" s="118"/>
    </row>
    <row r="789" ht="15.75" customHeight="1">
      <c r="I789" s="117"/>
      <c r="K789" s="117"/>
      <c r="L789" s="118"/>
    </row>
    <row r="790" ht="15.75" customHeight="1">
      <c r="I790" s="117"/>
      <c r="K790" s="117"/>
      <c r="L790" s="118"/>
    </row>
    <row r="791" ht="15.75" customHeight="1">
      <c r="I791" s="117"/>
      <c r="K791" s="117"/>
      <c r="L791" s="118"/>
    </row>
    <row r="792" ht="15.75" customHeight="1">
      <c r="I792" s="117"/>
      <c r="K792" s="117"/>
      <c r="L792" s="118"/>
    </row>
    <row r="793" ht="15.75" customHeight="1">
      <c r="I793" s="117"/>
      <c r="K793" s="117"/>
      <c r="L793" s="118"/>
    </row>
    <row r="794" ht="15.75" customHeight="1">
      <c r="I794" s="117"/>
      <c r="K794" s="117"/>
      <c r="L794" s="118"/>
    </row>
    <row r="795" ht="15.75" customHeight="1">
      <c r="I795" s="117"/>
      <c r="K795" s="117"/>
      <c r="L795" s="118"/>
    </row>
    <row r="796" ht="15.75" customHeight="1">
      <c r="I796" s="117"/>
      <c r="K796" s="117"/>
      <c r="L796" s="118"/>
    </row>
    <row r="797" ht="15.75" customHeight="1">
      <c r="I797" s="117"/>
      <c r="K797" s="117"/>
      <c r="L797" s="118"/>
    </row>
    <row r="798" ht="15.75" customHeight="1">
      <c r="I798" s="117"/>
      <c r="K798" s="117"/>
      <c r="L798" s="118"/>
    </row>
    <row r="799" ht="15.75" customHeight="1">
      <c r="I799" s="117"/>
      <c r="K799" s="117"/>
      <c r="L799" s="118"/>
    </row>
    <row r="800" ht="15.75" customHeight="1">
      <c r="I800" s="117"/>
      <c r="K800" s="117"/>
      <c r="L800" s="118"/>
    </row>
    <row r="801" ht="15.75" customHeight="1">
      <c r="I801" s="117"/>
      <c r="K801" s="117"/>
      <c r="L801" s="118"/>
    </row>
    <row r="802" ht="15.75" customHeight="1">
      <c r="I802" s="117"/>
      <c r="K802" s="117"/>
      <c r="L802" s="118"/>
    </row>
    <row r="803" ht="15.75" customHeight="1">
      <c r="I803" s="117"/>
      <c r="K803" s="117"/>
      <c r="L803" s="118"/>
    </row>
    <row r="804" ht="15.75" customHeight="1">
      <c r="I804" s="117"/>
      <c r="K804" s="117"/>
      <c r="L804" s="118"/>
    </row>
    <row r="805" ht="15.75" customHeight="1">
      <c r="I805" s="117"/>
      <c r="K805" s="117"/>
      <c r="L805" s="118"/>
    </row>
    <row r="806" ht="15.75" customHeight="1">
      <c r="I806" s="117"/>
      <c r="K806" s="117"/>
      <c r="L806" s="118"/>
    </row>
    <row r="807" ht="15.75" customHeight="1">
      <c r="I807" s="117"/>
      <c r="K807" s="117"/>
      <c r="L807" s="118"/>
    </row>
    <row r="808" ht="15.75" customHeight="1">
      <c r="I808" s="117"/>
      <c r="K808" s="117"/>
      <c r="L808" s="118"/>
    </row>
    <row r="809" ht="15.75" customHeight="1">
      <c r="I809" s="117"/>
      <c r="K809" s="117"/>
      <c r="L809" s="118"/>
    </row>
    <row r="810" ht="15.75" customHeight="1">
      <c r="I810" s="117"/>
      <c r="K810" s="117"/>
      <c r="L810" s="118"/>
    </row>
    <row r="811" ht="15.75" customHeight="1">
      <c r="I811" s="117"/>
      <c r="K811" s="117"/>
      <c r="L811" s="118"/>
    </row>
    <row r="812" ht="15.75" customHeight="1">
      <c r="I812" s="117"/>
      <c r="K812" s="117"/>
      <c r="L812" s="118"/>
    </row>
    <row r="813" ht="15.75" customHeight="1">
      <c r="I813" s="117"/>
      <c r="K813" s="117"/>
      <c r="L813" s="118"/>
    </row>
    <row r="814" ht="15.75" customHeight="1">
      <c r="I814" s="117"/>
      <c r="K814" s="117"/>
      <c r="L814" s="118"/>
    </row>
    <row r="815" ht="15.75" customHeight="1">
      <c r="I815" s="117"/>
      <c r="K815" s="117"/>
      <c r="L815" s="118"/>
    </row>
    <row r="816" ht="15.75" customHeight="1">
      <c r="I816" s="117"/>
      <c r="K816" s="117"/>
      <c r="L816" s="118"/>
    </row>
    <row r="817" ht="15.75" customHeight="1">
      <c r="I817" s="117"/>
      <c r="K817" s="117"/>
      <c r="L817" s="118"/>
    </row>
    <row r="818" ht="15.75" customHeight="1">
      <c r="I818" s="117"/>
      <c r="K818" s="117"/>
      <c r="L818" s="118"/>
    </row>
    <row r="819" ht="15.75" customHeight="1">
      <c r="I819" s="117"/>
      <c r="K819" s="117"/>
      <c r="L819" s="118"/>
    </row>
    <row r="820" ht="15.75" customHeight="1">
      <c r="I820" s="117"/>
      <c r="K820" s="117"/>
      <c r="L820" s="118"/>
    </row>
    <row r="821" ht="15.75" customHeight="1">
      <c r="I821" s="117"/>
      <c r="K821" s="117"/>
      <c r="L821" s="118"/>
    </row>
    <row r="822" ht="15.75" customHeight="1">
      <c r="I822" s="117"/>
      <c r="K822" s="117"/>
      <c r="L822" s="118"/>
    </row>
    <row r="823" ht="15.75" customHeight="1">
      <c r="I823" s="117"/>
      <c r="K823" s="117"/>
      <c r="L823" s="118"/>
    </row>
    <row r="824" ht="15.75" customHeight="1">
      <c r="I824" s="117"/>
      <c r="K824" s="117"/>
      <c r="L824" s="118"/>
    </row>
    <row r="825" ht="15.75" customHeight="1">
      <c r="I825" s="117"/>
      <c r="K825" s="117"/>
      <c r="L825" s="118"/>
    </row>
    <row r="826" ht="15.75" customHeight="1">
      <c r="I826" s="117"/>
      <c r="K826" s="117"/>
      <c r="L826" s="118"/>
    </row>
    <row r="827" ht="15.75" customHeight="1">
      <c r="I827" s="117"/>
      <c r="K827" s="117"/>
      <c r="L827" s="118"/>
    </row>
    <row r="828" ht="15.75" customHeight="1">
      <c r="I828" s="117"/>
      <c r="K828" s="117"/>
      <c r="L828" s="118"/>
    </row>
    <row r="829" ht="15.75" customHeight="1">
      <c r="I829" s="117"/>
      <c r="K829" s="117"/>
      <c r="L829" s="118"/>
    </row>
    <row r="830" ht="15.75" customHeight="1">
      <c r="I830" s="117"/>
      <c r="K830" s="117"/>
      <c r="L830" s="118"/>
    </row>
    <row r="831" ht="15.75" customHeight="1">
      <c r="I831" s="117"/>
      <c r="K831" s="117"/>
      <c r="L831" s="118"/>
    </row>
    <row r="832" ht="15.75" customHeight="1">
      <c r="I832" s="117"/>
      <c r="K832" s="117"/>
      <c r="L832" s="118"/>
    </row>
    <row r="833" ht="15.75" customHeight="1">
      <c r="I833" s="117"/>
      <c r="K833" s="117"/>
      <c r="L833" s="118"/>
    </row>
    <row r="834" ht="15.75" customHeight="1">
      <c r="I834" s="117"/>
      <c r="K834" s="117"/>
      <c r="L834" s="118"/>
    </row>
    <row r="835" ht="15.75" customHeight="1">
      <c r="I835" s="117"/>
      <c r="K835" s="117"/>
      <c r="L835" s="118"/>
    </row>
    <row r="836" ht="15.75" customHeight="1">
      <c r="I836" s="117"/>
      <c r="K836" s="117"/>
      <c r="L836" s="118"/>
    </row>
    <row r="837" ht="15.75" customHeight="1">
      <c r="I837" s="117"/>
      <c r="K837" s="117"/>
      <c r="L837" s="118"/>
    </row>
    <row r="838" ht="15.75" customHeight="1">
      <c r="I838" s="117"/>
      <c r="K838" s="117"/>
      <c r="L838" s="118"/>
    </row>
    <row r="839" ht="15.75" customHeight="1">
      <c r="I839" s="117"/>
      <c r="K839" s="117"/>
      <c r="L839" s="118"/>
    </row>
    <row r="840" ht="15.75" customHeight="1">
      <c r="I840" s="117"/>
      <c r="K840" s="117"/>
      <c r="L840" s="118"/>
    </row>
    <row r="841" ht="15.75" customHeight="1">
      <c r="I841" s="117"/>
      <c r="K841" s="117"/>
      <c r="L841" s="118"/>
    </row>
    <row r="842" ht="15.75" customHeight="1">
      <c r="I842" s="117"/>
      <c r="K842" s="117"/>
      <c r="L842" s="118"/>
    </row>
    <row r="843" ht="15.75" customHeight="1">
      <c r="I843" s="117"/>
      <c r="K843" s="117"/>
      <c r="L843" s="118"/>
    </row>
    <row r="844" ht="15.75" customHeight="1">
      <c r="I844" s="117"/>
      <c r="K844" s="117"/>
      <c r="L844" s="118"/>
    </row>
    <row r="845" ht="15.75" customHeight="1">
      <c r="I845" s="117"/>
      <c r="K845" s="117"/>
      <c r="L845" s="118"/>
    </row>
    <row r="846" ht="15.75" customHeight="1">
      <c r="I846" s="117"/>
      <c r="K846" s="117"/>
      <c r="L846" s="118"/>
    </row>
    <row r="847" ht="15.75" customHeight="1">
      <c r="I847" s="117"/>
      <c r="K847" s="117"/>
      <c r="L847" s="118"/>
    </row>
    <row r="848" ht="15.75" customHeight="1">
      <c r="I848" s="117"/>
      <c r="K848" s="117"/>
      <c r="L848" s="118"/>
    </row>
    <row r="849" ht="15.75" customHeight="1">
      <c r="I849" s="117"/>
      <c r="K849" s="117"/>
      <c r="L849" s="118"/>
    </row>
    <row r="850" ht="15.75" customHeight="1">
      <c r="I850" s="117"/>
      <c r="K850" s="117"/>
      <c r="L850" s="118"/>
    </row>
    <row r="851" ht="15.75" customHeight="1">
      <c r="I851" s="117"/>
      <c r="K851" s="117"/>
      <c r="L851" s="118"/>
    </row>
    <row r="852" ht="15.75" customHeight="1">
      <c r="I852" s="117"/>
      <c r="K852" s="117"/>
      <c r="L852" s="118"/>
    </row>
    <row r="853" ht="15.75" customHeight="1">
      <c r="I853" s="117"/>
      <c r="K853" s="117"/>
      <c r="L853" s="118"/>
    </row>
    <row r="854" ht="15.75" customHeight="1">
      <c r="I854" s="117"/>
      <c r="K854" s="117"/>
      <c r="L854" s="118"/>
    </row>
    <row r="855" ht="15.75" customHeight="1">
      <c r="I855" s="117"/>
      <c r="K855" s="117"/>
      <c r="L855" s="118"/>
    </row>
    <row r="856" ht="15.75" customHeight="1">
      <c r="I856" s="117"/>
      <c r="K856" s="117"/>
      <c r="L856" s="118"/>
    </row>
    <row r="857" ht="15.75" customHeight="1">
      <c r="I857" s="117"/>
      <c r="K857" s="117"/>
      <c r="L857" s="118"/>
    </row>
    <row r="858" ht="15.75" customHeight="1">
      <c r="I858" s="117"/>
      <c r="K858" s="117"/>
      <c r="L858" s="118"/>
    </row>
    <row r="859" ht="15.75" customHeight="1">
      <c r="I859" s="117"/>
      <c r="K859" s="117"/>
      <c r="L859" s="118"/>
    </row>
    <row r="860" ht="15.75" customHeight="1">
      <c r="I860" s="117"/>
      <c r="K860" s="117"/>
      <c r="L860" s="118"/>
    </row>
    <row r="861" ht="15.75" customHeight="1">
      <c r="I861" s="117"/>
      <c r="K861" s="117"/>
      <c r="L861" s="118"/>
    </row>
    <row r="862" ht="15.75" customHeight="1">
      <c r="I862" s="117"/>
      <c r="K862" s="117"/>
      <c r="L862" s="118"/>
    </row>
    <row r="863" ht="15.75" customHeight="1">
      <c r="I863" s="117"/>
      <c r="K863" s="117"/>
      <c r="L863" s="118"/>
    </row>
    <row r="864" ht="15.75" customHeight="1">
      <c r="I864" s="117"/>
      <c r="K864" s="117"/>
      <c r="L864" s="118"/>
    </row>
    <row r="865" ht="15.75" customHeight="1">
      <c r="I865" s="117"/>
      <c r="K865" s="117"/>
      <c r="L865" s="118"/>
    </row>
    <row r="866" ht="15.75" customHeight="1">
      <c r="I866" s="117"/>
      <c r="K866" s="117"/>
      <c r="L866" s="118"/>
    </row>
    <row r="867" ht="15.75" customHeight="1">
      <c r="I867" s="117"/>
      <c r="K867" s="117"/>
      <c r="L867" s="118"/>
    </row>
    <row r="868" ht="15.75" customHeight="1">
      <c r="I868" s="117"/>
      <c r="K868" s="117"/>
      <c r="L868" s="118"/>
    </row>
    <row r="869" ht="15.75" customHeight="1">
      <c r="I869" s="117"/>
      <c r="K869" s="117"/>
      <c r="L869" s="118"/>
    </row>
    <row r="870" ht="15.75" customHeight="1">
      <c r="I870" s="117"/>
      <c r="K870" s="117"/>
      <c r="L870" s="118"/>
    </row>
    <row r="871" ht="15.75" customHeight="1">
      <c r="I871" s="117"/>
      <c r="K871" s="117"/>
      <c r="L871" s="118"/>
    </row>
    <row r="872" ht="15.75" customHeight="1">
      <c r="I872" s="117"/>
      <c r="K872" s="117"/>
      <c r="L872" s="118"/>
    </row>
    <row r="873" ht="15.75" customHeight="1">
      <c r="I873" s="117"/>
      <c r="K873" s="117"/>
      <c r="L873" s="118"/>
    </row>
    <row r="874" ht="15.75" customHeight="1">
      <c r="I874" s="117"/>
      <c r="K874" s="117"/>
      <c r="L874" s="118"/>
    </row>
    <row r="875" ht="15.75" customHeight="1">
      <c r="I875" s="117"/>
      <c r="K875" s="117"/>
      <c r="L875" s="118"/>
    </row>
    <row r="876" ht="15.75" customHeight="1">
      <c r="I876" s="117"/>
      <c r="K876" s="117"/>
      <c r="L876" s="118"/>
    </row>
    <row r="877" ht="15.75" customHeight="1">
      <c r="I877" s="117"/>
      <c r="K877" s="117"/>
      <c r="L877" s="118"/>
    </row>
    <row r="878" ht="15.75" customHeight="1">
      <c r="I878" s="117"/>
      <c r="K878" s="117"/>
      <c r="L878" s="118"/>
    </row>
    <row r="879" ht="15.75" customHeight="1">
      <c r="I879" s="117"/>
      <c r="K879" s="117"/>
      <c r="L879" s="118"/>
    </row>
    <row r="880" ht="15.75" customHeight="1">
      <c r="I880" s="117"/>
      <c r="K880" s="117"/>
      <c r="L880" s="118"/>
    </row>
    <row r="881" ht="15.75" customHeight="1">
      <c r="I881" s="117"/>
      <c r="K881" s="117"/>
      <c r="L881" s="118"/>
    </row>
    <row r="882" ht="15.75" customHeight="1">
      <c r="I882" s="117"/>
      <c r="K882" s="117"/>
      <c r="L882" s="118"/>
    </row>
    <row r="883" ht="15.75" customHeight="1">
      <c r="I883" s="117"/>
      <c r="K883" s="117"/>
      <c r="L883" s="118"/>
    </row>
    <row r="884" ht="15.75" customHeight="1">
      <c r="I884" s="117"/>
      <c r="K884" s="117"/>
      <c r="L884" s="118"/>
    </row>
    <row r="885" ht="15.75" customHeight="1">
      <c r="I885" s="117"/>
      <c r="K885" s="117"/>
      <c r="L885" s="118"/>
    </row>
    <row r="886" ht="15.75" customHeight="1">
      <c r="I886" s="117"/>
      <c r="K886" s="117"/>
      <c r="L886" s="118"/>
    </row>
    <row r="887" ht="15.75" customHeight="1">
      <c r="I887" s="117"/>
      <c r="K887" s="117"/>
      <c r="L887" s="118"/>
    </row>
    <row r="888" ht="15.75" customHeight="1">
      <c r="I888" s="117"/>
      <c r="K888" s="117"/>
      <c r="L888" s="118"/>
    </row>
    <row r="889" ht="15.75" customHeight="1">
      <c r="I889" s="117"/>
      <c r="K889" s="117"/>
      <c r="L889" s="118"/>
    </row>
    <row r="890" ht="15.75" customHeight="1">
      <c r="I890" s="117"/>
      <c r="K890" s="117"/>
      <c r="L890" s="118"/>
    </row>
    <row r="891" ht="15.75" customHeight="1">
      <c r="I891" s="117"/>
      <c r="K891" s="117"/>
      <c r="L891" s="118"/>
    </row>
    <row r="892" ht="15.75" customHeight="1">
      <c r="I892" s="117"/>
      <c r="K892" s="117"/>
      <c r="L892" s="118"/>
    </row>
    <row r="893" ht="15.75" customHeight="1">
      <c r="I893" s="117"/>
      <c r="K893" s="117"/>
      <c r="L893" s="118"/>
    </row>
    <row r="894" ht="15.75" customHeight="1">
      <c r="I894" s="117"/>
      <c r="K894" s="117"/>
      <c r="L894" s="118"/>
    </row>
    <row r="895" ht="15.75" customHeight="1">
      <c r="I895" s="117"/>
      <c r="K895" s="117"/>
      <c r="L895" s="118"/>
    </row>
    <row r="896" ht="15.75" customHeight="1">
      <c r="I896" s="117"/>
      <c r="K896" s="117"/>
      <c r="L896" s="118"/>
    </row>
    <row r="897" ht="15.75" customHeight="1">
      <c r="I897" s="117"/>
      <c r="K897" s="117"/>
      <c r="L897" s="118"/>
    </row>
    <row r="898" ht="15.75" customHeight="1">
      <c r="I898" s="117"/>
      <c r="K898" s="117"/>
      <c r="L898" s="118"/>
    </row>
    <row r="899" ht="15.75" customHeight="1">
      <c r="I899" s="117"/>
      <c r="K899" s="117"/>
      <c r="L899" s="118"/>
    </row>
    <row r="900" ht="15.75" customHeight="1">
      <c r="I900" s="117"/>
      <c r="K900" s="117"/>
      <c r="L900" s="118"/>
    </row>
    <row r="901" ht="15.75" customHeight="1">
      <c r="I901" s="117"/>
      <c r="K901" s="117"/>
      <c r="L901" s="118"/>
    </row>
    <row r="902" ht="15.75" customHeight="1">
      <c r="I902" s="117"/>
      <c r="K902" s="117"/>
      <c r="L902" s="118"/>
    </row>
    <row r="903" ht="15.75" customHeight="1">
      <c r="I903" s="117"/>
      <c r="K903" s="117"/>
      <c r="L903" s="118"/>
    </row>
    <row r="904" ht="15.75" customHeight="1">
      <c r="I904" s="117"/>
      <c r="K904" s="117"/>
      <c r="L904" s="118"/>
    </row>
    <row r="905" ht="15.75" customHeight="1">
      <c r="I905" s="117"/>
      <c r="K905" s="117"/>
      <c r="L905" s="118"/>
    </row>
    <row r="906" ht="15.75" customHeight="1">
      <c r="I906" s="117"/>
      <c r="K906" s="117"/>
      <c r="L906" s="118"/>
    </row>
    <row r="907" ht="15.75" customHeight="1">
      <c r="I907" s="117"/>
      <c r="K907" s="117"/>
      <c r="L907" s="118"/>
    </row>
    <row r="908" ht="15.75" customHeight="1">
      <c r="I908" s="117"/>
      <c r="K908" s="117"/>
      <c r="L908" s="118"/>
    </row>
    <row r="909" ht="15.75" customHeight="1">
      <c r="I909" s="117"/>
      <c r="K909" s="117"/>
      <c r="L909" s="118"/>
    </row>
    <row r="910" ht="15.75" customHeight="1">
      <c r="I910" s="117"/>
      <c r="K910" s="117"/>
      <c r="L910" s="118"/>
    </row>
    <row r="911" ht="15.75" customHeight="1">
      <c r="I911" s="117"/>
      <c r="K911" s="117"/>
      <c r="L911" s="118"/>
    </row>
    <row r="912" ht="15.75" customHeight="1">
      <c r="I912" s="117"/>
      <c r="K912" s="117"/>
      <c r="L912" s="118"/>
    </row>
    <row r="913" ht="15.75" customHeight="1">
      <c r="I913" s="117"/>
      <c r="K913" s="117"/>
      <c r="L913" s="118"/>
    </row>
    <row r="914" ht="15.75" customHeight="1">
      <c r="I914" s="117"/>
      <c r="K914" s="117"/>
      <c r="L914" s="118"/>
    </row>
    <row r="915" ht="15.75" customHeight="1">
      <c r="I915" s="117"/>
      <c r="K915" s="117"/>
      <c r="L915" s="118"/>
    </row>
    <row r="916" ht="15.75" customHeight="1">
      <c r="I916" s="117"/>
      <c r="K916" s="117"/>
      <c r="L916" s="118"/>
    </row>
    <row r="917" ht="15.75" customHeight="1">
      <c r="I917" s="117"/>
      <c r="K917" s="117"/>
      <c r="L917" s="118"/>
    </row>
    <row r="918" ht="15.75" customHeight="1">
      <c r="I918" s="117"/>
      <c r="K918" s="117"/>
      <c r="L918" s="118"/>
    </row>
    <row r="919" ht="15.75" customHeight="1">
      <c r="I919" s="117"/>
      <c r="K919" s="117"/>
      <c r="L919" s="118"/>
    </row>
    <row r="920" ht="15.75" customHeight="1">
      <c r="I920" s="117"/>
      <c r="K920" s="117"/>
      <c r="L920" s="118"/>
    </row>
    <row r="921" ht="15.75" customHeight="1">
      <c r="I921" s="117"/>
      <c r="K921" s="117"/>
      <c r="L921" s="118"/>
    </row>
    <row r="922" ht="15.75" customHeight="1">
      <c r="I922" s="117"/>
      <c r="K922" s="117"/>
      <c r="L922" s="118"/>
    </row>
    <row r="923" ht="15.75" customHeight="1">
      <c r="I923" s="117"/>
      <c r="K923" s="117"/>
      <c r="L923" s="118"/>
    </row>
    <row r="924" ht="15.75" customHeight="1">
      <c r="I924" s="117"/>
      <c r="K924" s="117"/>
      <c r="L924" s="118"/>
    </row>
    <row r="925" ht="15.75" customHeight="1">
      <c r="I925" s="117"/>
      <c r="K925" s="117"/>
      <c r="L925" s="118"/>
    </row>
    <row r="926" ht="15.75" customHeight="1">
      <c r="I926" s="117"/>
      <c r="K926" s="117"/>
      <c r="L926" s="118"/>
    </row>
    <row r="927" ht="15.75" customHeight="1">
      <c r="I927" s="117"/>
      <c r="K927" s="117"/>
      <c r="L927" s="118"/>
    </row>
    <row r="928" ht="15.75" customHeight="1">
      <c r="I928" s="117"/>
      <c r="K928" s="117"/>
      <c r="L928" s="118"/>
    </row>
    <row r="929" ht="15.75" customHeight="1">
      <c r="I929" s="117"/>
      <c r="K929" s="117"/>
      <c r="L929" s="118"/>
    </row>
    <row r="930" ht="15.75" customHeight="1">
      <c r="I930" s="117"/>
      <c r="K930" s="117"/>
      <c r="L930" s="118"/>
    </row>
    <row r="931" ht="15.75" customHeight="1">
      <c r="I931" s="117"/>
      <c r="K931" s="117"/>
      <c r="L931" s="118"/>
    </row>
    <row r="932" ht="15.75" customHeight="1">
      <c r="I932" s="117"/>
      <c r="K932" s="117"/>
      <c r="L932" s="118"/>
    </row>
    <row r="933" ht="15.75" customHeight="1">
      <c r="I933" s="117"/>
      <c r="K933" s="117"/>
      <c r="L933" s="118"/>
    </row>
    <row r="934" ht="15.75" customHeight="1">
      <c r="I934" s="117"/>
      <c r="K934" s="117"/>
      <c r="L934" s="118"/>
    </row>
    <row r="935" ht="15.75" customHeight="1">
      <c r="I935" s="117"/>
      <c r="K935" s="117"/>
      <c r="L935" s="118"/>
    </row>
    <row r="936" ht="15.75" customHeight="1">
      <c r="I936" s="117"/>
      <c r="K936" s="117"/>
      <c r="L936" s="118"/>
    </row>
    <row r="937" ht="15.75" customHeight="1">
      <c r="I937" s="117"/>
      <c r="K937" s="117"/>
      <c r="L937" s="118"/>
    </row>
    <row r="938" ht="15.75" customHeight="1">
      <c r="I938" s="117"/>
      <c r="K938" s="117"/>
      <c r="L938" s="118"/>
    </row>
    <row r="939" ht="15.75" customHeight="1">
      <c r="I939" s="117"/>
      <c r="K939" s="117"/>
      <c r="L939" s="118"/>
    </row>
    <row r="940" ht="15.75" customHeight="1">
      <c r="I940" s="117"/>
      <c r="K940" s="117"/>
      <c r="L940" s="118"/>
    </row>
    <row r="941" ht="15.75" customHeight="1">
      <c r="I941" s="117"/>
      <c r="K941" s="117"/>
      <c r="L941" s="118"/>
    </row>
    <row r="942" ht="15.75" customHeight="1">
      <c r="I942" s="117"/>
      <c r="K942" s="117"/>
      <c r="L942" s="118"/>
    </row>
    <row r="943" ht="15.75" customHeight="1">
      <c r="I943" s="117"/>
      <c r="K943" s="117"/>
      <c r="L943" s="118"/>
    </row>
    <row r="944" ht="15.75" customHeight="1">
      <c r="I944" s="117"/>
      <c r="K944" s="117"/>
      <c r="L944" s="118"/>
    </row>
    <row r="945" ht="15.75" customHeight="1">
      <c r="I945" s="117"/>
      <c r="K945" s="117"/>
      <c r="L945" s="118"/>
    </row>
    <row r="946" ht="15.75" customHeight="1">
      <c r="I946" s="117"/>
      <c r="K946" s="117"/>
      <c r="L946" s="118"/>
    </row>
    <row r="947" ht="15.75" customHeight="1">
      <c r="I947" s="117"/>
      <c r="K947" s="117"/>
      <c r="L947" s="118"/>
    </row>
    <row r="948" ht="15.75" customHeight="1">
      <c r="I948" s="117"/>
      <c r="K948" s="117"/>
      <c r="L948" s="118"/>
    </row>
    <row r="949" ht="15.75" customHeight="1">
      <c r="I949" s="117"/>
      <c r="K949" s="117"/>
      <c r="L949" s="118"/>
    </row>
    <row r="950" ht="15.75" customHeight="1">
      <c r="I950" s="117"/>
      <c r="K950" s="117"/>
      <c r="L950" s="118"/>
    </row>
    <row r="951" ht="15.75" customHeight="1">
      <c r="I951" s="117"/>
      <c r="K951" s="117"/>
      <c r="L951" s="118"/>
    </row>
    <row r="952" ht="15.75" customHeight="1">
      <c r="I952" s="117"/>
      <c r="K952" s="117"/>
      <c r="L952" s="118"/>
    </row>
    <row r="953" ht="15.75" customHeight="1">
      <c r="I953" s="117"/>
      <c r="K953" s="117"/>
      <c r="L953" s="118"/>
    </row>
    <row r="954" ht="15.75" customHeight="1">
      <c r="I954" s="117"/>
      <c r="K954" s="117"/>
      <c r="L954" s="118"/>
    </row>
    <row r="955" ht="15.75" customHeight="1">
      <c r="I955" s="117"/>
      <c r="K955" s="117"/>
      <c r="L955" s="118"/>
    </row>
    <row r="956" ht="15.75" customHeight="1">
      <c r="I956" s="117"/>
      <c r="K956" s="117"/>
      <c r="L956" s="118"/>
    </row>
    <row r="957" ht="15.75" customHeight="1">
      <c r="I957" s="117"/>
      <c r="K957" s="117"/>
      <c r="L957" s="118"/>
    </row>
    <row r="958" ht="15.75" customHeight="1">
      <c r="I958" s="117"/>
      <c r="K958" s="117"/>
      <c r="L958" s="118"/>
    </row>
    <row r="959" ht="15.75" customHeight="1">
      <c r="I959" s="117"/>
      <c r="K959" s="117"/>
      <c r="L959" s="118"/>
    </row>
    <row r="960" ht="15.75" customHeight="1">
      <c r="I960" s="117"/>
      <c r="K960" s="117"/>
      <c r="L960" s="118"/>
    </row>
    <row r="961" ht="15.75" customHeight="1">
      <c r="I961" s="117"/>
      <c r="K961" s="117"/>
      <c r="L961" s="118"/>
    </row>
    <row r="962" ht="15.75" customHeight="1">
      <c r="I962" s="117"/>
      <c r="K962" s="117"/>
      <c r="L962" s="118"/>
    </row>
    <row r="963" ht="15.75" customHeight="1">
      <c r="I963" s="117"/>
      <c r="K963" s="117"/>
      <c r="L963" s="118"/>
    </row>
    <row r="964" ht="15.75" customHeight="1">
      <c r="I964" s="117"/>
      <c r="K964" s="117"/>
      <c r="L964" s="118"/>
    </row>
    <row r="965" ht="15.75" customHeight="1">
      <c r="I965" s="117"/>
      <c r="K965" s="117"/>
      <c r="L965" s="118"/>
    </row>
    <row r="966" ht="15.75" customHeight="1">
      <c r="I966" s="117"/>
      <c r="K966" s="117"/>
      <c r="L966" s="118"/>
    </row>
    <row r="967" ht="15.75" customHeight="1">
      <c r="I967" s="117"/>
      <c r="K967" s="117"/>
      <c r="L967" s="118"/>
    </row>
    <row r="968" ht="15.75" customHeight="1">
      <c r="I968" s="117"/>
      <c r="K968" s="117"/>
      <c r="L968" s="118"/>
    </row>
    <row r="969" ht="15.75" customHeight="1">
      <c r="I969" s="117"/>
      <c r="K969" s="117"/>
      <c r="L969" s="118"/>
    </row>
    <row r="970" ht="15.75" customHeight="1">
      <c r="I970" s="117"/>
      <c r="K970" s="117"/>
      <c r="L970" s="118"/>
    </row>
    <row r="971" ht="15.75" customHeight="1">
      <c r="I971" s="117"/>
      <c r="K971" s="117"/>
      <c r="L971" s="118"/>
    </row>
    <row r="972" ht="15.75" customHeight="1">
      <c r="I972" s="117"/>
      <c r="K972" s="117"/>
      <c r="L972" s="118"/>
    </row>
    <row r="973" ht="15.75" customHeight="1">
      <c r="I973" s="117"/>
      <c r="K973" s="117"/>
      <c r="L973" s="118"/>
    </row>
    <row r="974" ht="15.75" customHeight="1">
      <c r="I974" s="117"/>
      <c r="K974" s="117"/>
      <c r="L974" s="118"/>
    </row>
    <row r="975" ht="15.75" customHeight="1">
      <c r="I975" s="117"/>
      <c r="K975" s="117"/>
      <c r="L975" s="118"/>
    </row>
    <row r="976" ht="15.75" customHeight="1">
      <c r="I976" s="117"/>
      <c r="K976" s="117"/>
      <c r="L976" s="118"/>
    </row>
    <row r="977" ht="15.75" customHeight="1">
      <c r="I977" s="117"/>
      <c r="K977" s="117"/>
      <c r="L977" s="118"/>
    </row>
    <row r="978" ht="15.75" customHeight="1">
      <c r="I978" s="117"/>
      <c r="K978" s="117"/>
      <c r="L978" s="118"/>
    </row>
    <row r="979" ht="15.75" customHeight="1">
      <c r="I979" s="117"/>
      <c r="K979" s="117"/>
      <c r="L979" s="118"/>
    </row>
    <row r="980" ht="15.75" customHeight="1">
      <c r="I980" s="117"/>
      <c r="K980" s="117"/>
      <c r="L980" s="118"/>
    </row>
    <row r="981" ht="15.75" customHeight="1">
      <c r="I981" s="117"/>
      <c r="K981" s="117"/>
      <c r="L981" s="118"/>
    </row>
    <row r="982" ht="15.75" customHeight="1">
      <c r="I982" s="117"/>
      <c r="K982" s="117"/>
      <c r="L982" s="118"/>
    </row>
    <row r="983" ht="15.75" customHeight="1">
      <c r="I983" s="117"/>
      <c r="K983" s="117"/>
      <c r="L983" s="118"/>
    </row>
    <row r="984" ht="15.75" customHeight="1">
      <c r="I984" s="117"/>
      <c r="K984" s="117"/>
      <c r="L984" s="118"/>
    </row>
    <row r="985" ht="15.75" customHeight="1">
      <c r="I985" s="117"/>
      <c r="K985" s="117"/>
      <c r="L985" s="118"/>
    </row>
    <row r="986" ht="15.75" customHeight="1">
      <c r="I986" s="117"/>
      <c r="K986" s="117"/>
      <c r="L986" s="118"/>
    </row>
    <row r="987" ht="15.75" customHeight="1">
      <c r="I987" s="117"/>
      <c r="K987" s="117"/>
      <c r="L987" s="118"/>
    </row>
    <row r="988" ht="15.75" customHeight="1">
      <c r="I988" s="117"/>
      <c r="K988" s="117"/>
      <c r="L988" s="118"/>
    </row>
    <row r="989" ht="15.75" customHeight="1">
      <c r="I989" s="117"/>
      <c r="K989" s="117"/>
      <c r="L989" s="118"/>
    </row>
    <row r="990" ht="15.75" customHeight="1">
      <c r="I990" s="117"/>
      <c r="K990" s="117"/>
      <c r="L990" s="118"/>
    </row>
    <row r="991" ht="15.75" customHeight="1">
      <c r="I991" s="117"/>
      <c r="K991" s="117"/>
      <c r="L991" s="118"/>
    </row>
    <row r="992" ht="15.75" customHeight="1">
      <c r="I992" s="117"/>
      <c r="K992" s="117"/>
      <c r="L992" s="118"/>
    </row>
    <row r="993" ht="15.75" customHeight="1">
      <c r="I993" s="117"/>
      <c r="K993" s="117"/>
      <c r="L993" s="118"/>
    </row>
    <row r="994" ht="15.75" customHeight="1">
      <c r="I994" s="117"/>
      <c r="K994" s="117"/>
      <c r="L994" s="118"/>
    </row>
    <row r="995" ht="15.75" customHeight="1">
      <c r="I995" s="117"/>
      <c r="K995" s="117"/>
      <c r="L995" s="118"/>
    </row>
    <row r="996" ht="15.75" customHeight="1">
      <c r="I996" s="117"/>
      <c r="K996" s="117"/>
      <c r="L996" s="118"/>
    </row>
    <row r="997" ht="15.75" customHeight="1">
      <c r="I997" s="117"/>
      <c r="K997" s="117"/>
      <c r="L997" s="118"/>
    </row>
    <row r="998" ht="15.75" customHeight="1">
      <c r="I998" s="117"/>
      <c r="K998" s="117"/>
      <c r="L998" s="118"/>
    </row>
    <row r="999" ht="15.75" customHeight="1">
      <c r="I999" s="117"/>
      <c r="K999" s="117"/>
      <c r="L999" s="118"/>
    </row>
    <row r="1000" ht="15.75" customHeight="1">
      <c r="I1000" s="117"/>
      <c r="K1000" s="117"/>
      <c r="L1000" s="118"/>
    </row>
    <row r="1001" ht="15.75" customHeight="1">
      <c r="I1001" s="117"/>
      <c r="K1001" s="117"/>
      <c r="L1001" s="118"/>
    </row>
    <row r="1002" ht="15.75" customHeight="1">
      <c r="I1002" s="117"/>
      <c r="K1002" s="117"/>
      <c r="L1002" s="118"/>
    </row>
    <row r="1003" ht="15.75" customHeight="1">
      <c r="I1003" s="117"/>
      <c r="K1003" s="117"/>
      <c r="L1003" s="118"/>
    </row>
    <row r="1004" ht="15.75" customHeight="1">
      <c r="I1004" s="117"/>
      <c r="K1004" s="117"/>
      <c r="L1004" s="118"/>
    </row>
    <row r="1005" ht="15.75" customHeight="1">
      <c r="I1005" s="117"/>
      <c r="K1005" s="117"/>
      <c r="L1005" s="118"/>
    </row>
    <row r="1006" ht="15.75" customHeight="1">
      <c r="I1006" s="117"/>
      <c r="K1006" s="117"/>
      <c r="L1006" s="118"/>
    </row>
    <row r="1007" ht="15.75" customHeight="1">
      <c r="I1007" s="117"/>
      <c r="K1007" s="117"/>
      <c r="L1007" s="118"/>
    </row>
    <row r="1008" ht="15.75" customHeight="1">
      <c r="I1008" s="117"/>
      <c r="K1008" s="117"/>
      <c r="L1008" s="118"/>
    </row>
    <row r="1009" ht="15.75" customHeight="1">
      <c r="I1009" s="117"/>
      <c r="K1009" s="117"/>
      <c r="L1009" s="118"/>
    </row>
    <row r="1010" ht="15.75" customHeight="1">
      <c r="I1010" s="117"/>
      <c r="K1010" s="117"/>
      <c r="L1010" s="118"/>
    </row>
    <row r="1011" ht="15.75" customHeight="1">
      <c r="I1011" s="117"/>
      <c r="K1011" s="117"/>
      <c r="L1011" s="118"/>
    </row>
    <row r="1012" ht="15.75" customHeight="1">
      <c r="I1012" s="117"/>
      <c r="K1012" s="117"/>
      <c r="L1012" s="118"/>
    </row>
    <row r="1013" ht="15.75" customHeight="1">
      <c r="I1013" s="117"/>
      <c r="K1013" s="117"/>
      <c r="L1013" s="118"/>
    </row>
    <row r="1014" ht="15.75" customHeight="1">
      <c r="I1014" s="117"/>
      <c r="K1014" s="117"/>
      <c r="L1014" s="118"/>
    </row>
    <row r="1015" ht="15.75" customHeight="1">
      <c r="I1015" s="117"/>
      <c r="K1015" s="117"/>
      <c r="L1015" s="118"/>
    </row>
    <row r="1016" ht="15.75" customHeight="1">
      <c r="I1016" s="117"/>
      <c r="K1016" s="117"/>
      <c r="L1016" s="118"/>
    </row>
    <row r="1017" ht="15.75" customHeight="1">
      <c r="I1017" s="117"/>
      <c r="K1017" s="117"/>
      <c r="L1017" s="118"/>
    </row>
    <row r="1018" ht="15.75" customHeight="1">
      <c r="I1018" s="117"/>
      <c r="K1018" s="117"/>
      <c r="L1018" s="118"/>
    </row>
    <row r="1019" ht="15.75" customHeight="1">
      <c r="I1019" s="117"/>
      <c r="K1019" s="117"/>
      <c r="L1019" s="118"/>
    </row>
    <row r="1020" ht="15.75" customHeight="1">
      <c r="I1020" s="117"/>
      <c r="K1020" s="117"/>
      <c r="L1020" s="118"/>
    </row>
    <row r="1021" ht="15.75" customHeight="1">
      <c r="I1021" s="117"/>
      <c r="K1021" s="117"/>
      <c r="L1021" s="118"/>
    </row>
    <row r="1022" ht="15.75" customHeight="1">
      <c r="I1022" s="117"/>
      <c r="K1022" s="117"/>
      <c r="L1022" s="118"/>
    </row>
    <row r="1023" ht="15.75" customHeight="1">
      <c r="I1023" s="117"/>
      <c r="K1023" s="117"/>
      <c r="L1023" s="118"/>
    </row>
    <row r="1024" ht="15.75" customHeight="1">
      <c r="I1024" s="117"/>
      <c r="K1024" s="117"/>
      <c r="L1024" s="118"/>
    </row>
    <row r="1025" ht="15.75" customHeight="1">
      <c r="I1025" s="117"/>
      <c r="K1025" s="117"/>
      <c r="L1025" s="118"/>
    </row>
    <row r="1026" ht="15.75" customHeight="1">
      <c r="I1026" s="117"/>
      <c r="K1026" s="117"/>
      <c r="L1026" s="118"/>
    </row>
    <row r="1027" ht="15.75" customHeight="1">
      <c r="I1027" s="117"/>
      <c r="K1027" s="117"/>
      <c r="L1027" s="118"/>
    </row>
    <row r="1028" ht="15.75" customHeight="1">
      <c r="I1028" s="117"/>
      <c r="K1028" s="117"/>
      <c r="L1028" s="118"/>
    </row>
    <row r="1029" ht="15.75" customHeight="1">
      <c r="I1029" s="117"/>
      <c r="K1029" s="117"/>
      <c r="L1029" s="118"/>
    </row>
    <row r="1030" ht="15.75" customHeight="1">
      <c r="I1030" s="117"/>
      <c r="K1030" s="117"/>
      <c r="L1030" s="118"/>
    </row>
    <row r="1031" ht="15.75" customHeight="1">
      <c r="I1031" s="117"/>
      <c r="K1031" s="117"/>
      <c r="L1031" s="118"/>
    </row>
    <row r="1032" ht="15.75" customHeight="1">
      <c r="I1032" s="117"/>
      <c r="K1032" s="117"/>
      <c r="L1032" s="118"/>
    </row>
    <row r="1033" ht="15.75" customHeight="1">
      <c r="I1033" s="117"/>
      <c r="K1033" s="117"/>
      <c r="L1033" s="118"/>
    </row>
    <row r="1034" ht="15.75" customHeight="1">
      <c r="I1034" s="117"/>
      <c r="K1034" s="117"/>
      <c r="L1034" s="118"/>
    </row>
    <row r="1035" ht="15.75" customHeight="1">
      <c r="I1035" s="117"/>
      <c r="K1035" s="117"/>
      <c r="L1035" s="118"/>
    </row>
    <row r="1036" ht="15.75" customHeight="1">
      <c r="I1036" s="117"/>
      <c r="K1036" s="117"/>
      <c r="L1036" s="118"/>
    </row>
    <row r="1037" ht="15.75" customHeight="1">
      <c r="I1037" s="117"/>
      <c r="K1037" s="117"/>
      <c r="L1037" s="118"/>
    </row>
    <row r="1038" ht="15.75" customHeight="1">
      <c r="I1038" s="117"/>
      <c r="K1038" s="117"/>
      <c r="L1038" s="118"/>
    </row>
    <row r="1039" ht="15.75" customHeight="1">
      <c r="I1039" s="117"/>
      <c r="K1039" s="117"/>
      <c r="L1039" s="118"/>
    </row>
    <row r="1040" ht="15.75" customHeight="1">
      <c r="I1040" s="117"/>
      <c r="K1040" s="117"/>
      <c r="L1040" s="118"/>
    </row>
    <row r="1041" ht="15.75" customHeight="1">
      <c r="I1041" s="117"/>
      <c r="K1041" s="117"/>
      <c r="L1041" s="118"/>
    </row>
    <row r="1042" ht="15.75" customHeight="1">
      <c r="I1042" s="117"/>
      <c r="K1042" s="117"/>
      <c r="L1042" s="118"/>
    </row>
    <row r="1043" ht="15.75" customHeight="1">
      <c r="I1043" s="117"/>
      <c r="K1043" s="117"/>
      <c r="L1043" s="118"/>
    </row>
    <row r="1044" ht="15.75" customHeight="1">
      <c r="I1044" s="117"/>
      <c r="K1044" s="117"/>
      <c r="L1044" s="118"/>
    </row>
    <row r="1045" ht="15.75" customHeight="1">
      <c r="I1045" s="117"/>
      <c r="K1045" s="117"/>
      <c r="L1045" s="118"/>
    </row>
    <row r="1046" ht="15.75" customHeight="1">
      <c r="I1046" s="117"/>
      <c r="K1046" s="117"/>
      <c r="L1046" s="118"/>
    </row>
    <row r="1047" ht="15.75" customHeight="1">
      <c r="I1047" s="117"/>
      <c r="K1047" s="117"/>
      <c r="L1047" s="118"/>
    </row>
    <row r="1048" ht="15.75" customHeight="1">
      <c r="I1048" s="117"/>
      <c r="K1048" s="117"/>
      <c r="L1048" s="118"/>
    </row>
    <row r="1049" ht="15.75" customHeight="1">
      <c r="I1049" s="117"/>
      <c r="K1049" s="117"/>
      <c r="L1049" s="118"/>
    </row>
    <row r="1050" ht="15.75" customHeight="1">
      <c r="I1050" s="117"/>
      <c r="K1050" s="117"/>
      <c r="L1050" s="118"/>
    </row>
    <row r="1051" ht="15.75" customHeight="1">
      <c r="I1051" s="117"/>
      <c r="K1051" s="117"/>
      <c r="L1051" s="118"/>
    </row>
    <row r="1052" ht="15.75" customHeight="1">
      <c r="I1052" s="117"/>
      <c r="K1052" s="117"/>
      <c r="L1052" s="118"/>
    </row>
    <row r="1053" ht="15.75" customHeight="1">
      <c r="I1053" s="117"/>
      <c r="K1053" s="117"/>
      <c r="L1053" s="118"/>
    </row>
    <row r="1054" ht="15.75" customHeight="1">
      <c r="I1054" s="117"/>
      <c r="K1054" s="117"/>
      <c r="L1054" s="118"/>
    </row>
    <row r="1055" ht="15.75" customHeight="1">
      <c r="I1055" s="117"/>
      <c r="K1055" s="117"/>
      <c r="L1055" s="118"/>
    </row>
    <row r="1056" ht="15.75" customHeight="1">
      <c r="I1056" s="117"/>
      <c r="K1056" s="117"/>
      <c r="L1056" s="118"/>
    </row>
    <row r="1057" ht="15.75" customHeight="1">
      <c r="I1057" s="117"/>
      <c r="K1057" s="117"/>
      <c r="L1057" s="118"/>
    </row>
    <row r="1058" ht="15.75" customHeight="1">
      <c r="I1058" s="117"/>
      <c r="K1058" s="117"/>
      <c r="L1058" s="118"/>
    </row>
    <row r="1059" ht="15.75" customHeight="1">
      <c r="I1059" s="117"/>
      <c r="K1059" s="117"/>
      <c r="L1059" s="118"/>
    </row>
    <row r="1060" ht="15.75" customHeight="1">
      <c r="I1060" s="117"/>
      <c r="K1060" s="117"/>
      <c r="L1060" s="118"/>
    </row>
    <row r="1061" ht="15.75" customHeight="1">
      <c r="I1061" s="117"/>
      <c r="K1061" s="117"/>
      <c r="L1061" s="118"/>
    </row>
    <row r="1062" ht="15.75" customHeight="1">
      <c r="I1062" s="117"/>
      <c r="K1062" s="117"/>
      <c r="L1062" s="118"/>
    </row>
    <row r="1063" ht="15.75" customHeight="1">
      <c r="I1063" s="117"/>
      <c r="K1063" s="117"/>
      <c r="L1063" s="118"/>
    </row>
    <row r="1064" ht="15.75" customHeight="1">
      <c r="I1064" s="117"/>
      <c r="K1064" s="117"/>
      <c r="L1064" s="118"/>
    </row>
    <row r="1065" ht="15.75" customHeight="1">
      <c r="I1065" s="117"/>
      <c r="K1065" s="117"/>
      <c r="L1065" s="118"/>
    </row>
    <row r="1066" ht="15.75" customHeight="1">
      <c r="I1066" s="117"/>
      <c r="K1066" s="117"/>
      <c r="L1066" s="118"/>
    </row>
    <row r="1067" ht="15.75" customHeight="1">
      <c r="I1067" s="117"/>
      <c r="K1067" s="117"/>
      <c r="L1067" s="118"/>
    </row>
    <row r="1068" ht="15.75" customHeight="1">
      <c r="I1068" s="117"/>
      <c r="K1068" s="117"/>
      <c r="L1068" s="118"/>
    </row>
    <row r="1069" ht="15.75" customHeight="1">
      <c r="I1069" s="117"/>
      <c r="K1069" s="117"/>
      <c r="L1069" s="118"/>
    </row>
    <row r="1070" ht="15.75" customHeight="1">
      <c r="I1070" s="117"/>
      <c r="K1070" s="117"/>
      <c r="L1070" s="118"/>
    </row>
    <row r="1071" ht="15.75" customHeight="1">
      <c r="I1071" s="117"/>
      <c r="K1071" s="117"/>
      <c r="L1071" s="118"/>
    </row>
    <row r="1072" ht="15.75" customHeight="1">
      <c r="I1072" s="117"/>
      <c r="K1072" s="117"/>
      <c r="L1072" s="118"/>
    </row>
    <row r="1073" ht="15.75" customHeight="1">
      <c r="I1073" s="117"/>
      <c r="K1073" s="117"/>
      <c r="L1073" s="118"/>
    </row>
    <row r="1074" ht="15.75" customHeight="1">
      <c r="I1074" s="117"/>
      <c r="K1074" s="117"/>
      <c r="L1074" s="118"/>
    </row>
    <row r="1075" ht="15.75" customHeight="1">
      <c r="I1075" s="117"/>
      <c r="K1075" s="117"/>
      <c r="L1075" s="118"/>
    </row>
    <row r="1076" ht="15.75" customHeight="1">
      <c r="I1076" s="117"/>
      <c r="K1076" s="117"/>
      <c r="L1076" s="118"/>
    </row>
    <row r="1077" ht="15.75" customHeight="1">
      <c r="I1077" s="117"/>
      <c r="K1077" s="117"/>
      <c r="L1077" s="118"/>
    </row>
    <row r="1078" ht="15.75" customHeight="1">
      <c r="I1078" s="117"/>
      <c r="K1078" s="117"/>
      <c r="L1078" s="118"/>
    </row>
    <row r="1079" ht="15.75" customHeight="1">
      <c r="I1079" s="117"/>
      <c r="K1079" s="117"/>
      <c r="L1079" s="118"/>
    </row>
    <row r="1080" ht="15.75" customHeight="1">
      <c r="I1080" s="117"/>
      <c r="K1080" s="117"/>
      <c r="L1080" s="118"/>
    </row>
    <row r="1081" ht="15.75" customHeight="1">
      <c r="I1081" s="117"/>
      <c r="K1081" s="117"/>
      <c r="L1081" s="118"/>
    </row>
    <row r="1082" ht="15.75" customHeight="1">
      <c r="I1082" s="117"/>
      <c r="K1082" s="117"/>
      <c r="L1082" s="118"/>
    </row>
    <row r="1083" ht="15.75" customHeight="1">
      <c r="I1083" s="117"/>
      <c r="K1083" s="117"/>
      <c r="L1083" s="118"/>
    </row>
    <row r="1084" ht="15.75" customHeight="1">
      <c r="I1084" s="117"/>
      <c r="K1084" s="117"/>
      <c r="L1084" s="118"/>
    </row>
    <row r="1085" ht="15.75" customHeight="1">
      <c r="I1085" s="117"/>
      <c r="K1085" s="117"/>
      <c r="L1085" s="118"/>
    </row>
    <row r="1086" ht="15.75" customHeight="1">
      <c r="I1086" s="117"/>
      <c r="K1086" s="117"/>
      <c r="L1086" s="118"/>
    </row>
    <row r="1087" ht="15.75" customHeight="1">
      <c r="I1087" s="117"/>
      <c r="K1087" s="117"/>
      <c r="L1087" s="118"/>
    </row>
  </sheetData>
  <mergeCells count="31">
    <mergeCell ref="H4:H9"/>
    <mergeCell ref="I4:I9"/>
    <mergeCell ref="J4:J9"/>
    <mergeCell ref="K4:K9"/>
    <mergeCell ref="L4:L9"/>
    <mergeCell ref="M4:M9"/>
    <mergeCell ref="A4:A9"/>
    <mergeCell ref="B4:B9"/>
    <mergeCell ref="C4:C9"/>
    <mergeCell ref="D4:D9"/>
    <mergeCell ref="E4:E9"/>
    <mergeCell ref="F4:F9"/>
    <mergeCell ref="G4:G9"/>
    <mergeCell ref="A10:B10"/>
    <mergeCell ref="A11:B11"/>
    <mergeCell ref="A22:B22"/>
    <mergeCell ref="A23:B23"/>
    <mergeCell ref="A51:B51"/>
    <mergeCell ref="A58:B58"/>
    <mergeCell ref="A67:B67"/>
    <mergeCell ref="A175:B175"/>
    <mergeCell ref="A185:B185"/>
    <mergeCell ref="A195:B195"/>
    <mergeCell ref="A207:B207"/>
    <mergeCell ref="A103:B103"/>
    <mergeCell ref="A110:B110"/>
    <mergeCell ref="A120:B120"/>
    <mergeCell ref="A130:B130"/>
    <mergeCell ref="A142:B142"/>
    <mergeCell ref="A153:B153"/>
    <mergeCell ref="A160:B160"/>
  </mergeCells>
  <conditionalFormatting sqref="F12:F217">
    <cfRule type="cellIs" dxfId="8" priority="1" operator="equal">
      <formula>"Positive"</formula>
    </cfRule>
  </conditionalFormatting>
  <conditionalFormatting sqref="F12:F217">
    <cfRule type="containsText" dxfId="9" priority="2" operator="containsText" text="Negative">
      <formula>NOT(ISERROR(SEARCH(("Negative"),(F12))))</formula>
    </cfRule>
  </conditionalFormatting>
  <conditionalFormatting sqref="G10:M11 G21:M23 G51:M58 G67:M67 G103:M103 G110:M153 G160:M160 G175:M217">
    <cfRule type="cellIs" dxfId="4" priority="3" operator="equal">
      <formula>"Positive"</formula>
    </cfRule>
  </conditionalFormatting>
  <conditionalFormatting sqref="G10:M11 G21:M23 G51:M58 G67:M67 G103:M103 G110:M153 G160:M160 G175:M217">
    <cfRule type="containsText" dxfId="5" priority="4" operator="containsText" text="Negative">
      <formula>NOT(ISERROR(SEARCH(("Negative"),(G10))))</formula>
    </cfRule>
  </conditionalFormatting>
  <conditionalFormatting sqref="G12:G217">
    <cfRule type="containsText" dxfId="10" priority="5" operator="containsText" text="High">
      <formula>NOT(ISERROR(SEARCH(("High"),(G12))))</formula>
    </cfRule>
  </conditionalFormatting>
  <conditionalFormatting sqref="G12:G217">
    <cfRule type="cellIs" dxfId="11" priority="6" operator="equal">
      <formula>"Medium"</formula>
    </cfRule>
  </conditionalFormatting>
  <conditionalFormatting sqref="G12:G217">
    <cfRule type="containsText" dxfId="12" priority="7" operator="containsText" text="Low">
      <formula>NOT(ISERROR(SEARCH(("Low"),(G12))))</formula>
    </cfRule>
  </conditionalFormatting>
  <conditionalFormatting sqref="L1:L217">
    <cfRule type="containsText" dxfId="13" priority="8" operator="containsText" text="Deferred">
      <formula>NOT(ISERROR(SEARCH(("Deferred"),(L1))))</formula>
    </cfRule>
  </conditionalFormatting>
  <conditionalFormatting sqref="L1:L217">
    <cfRule type="containsText" dxfId="14" priority="9" operator="containsText" text="Not Start">
      <formula>NOT(ISERROR(SEARCH(("Not Start"),(L1))))</formula>
    </cfRule>
  </conditionalFormatting>
  <conditionalFormatting sqref="L1:L217">
    <cfRule type="containsText" dxfId="15" priority="10" operator="containsText" text="Blocked">
      <formula>NOT(ISERROR(SEARCH(("Blocked"),(L1))))</formula>
    </cfRule>
  </conditionalFormatting>
  <conditionalFormatting sqref="L1:L217">
    <cfRule type="containsText" dxfId="6" priority="11" operator="containsText" text="FAIL">
      <formula>NOT(ISERROR(SEARCH(("FAIL"),(L1))))</formula>
    </cfRule>
  </conditionalFormatting>
  <conditionalFormatting sqref="L1:L217">
    <cfRule type="cellIs" dxfId="7" priority="12" operator="equal">
      <formula>"PASS"</formula>
    </cfRule>
  </conditionalFormatting>
  <conditionalFormatting sqref="L12:L217">
    <cfRule type="cellIs" dxfId="16" priority="13" operator="equal">
      <formula>"N/A"</formula>
    </cfRule>
  </conditionalFormatting>
  <conditionalFormatting sqref="L12:L217">
    <cfRule type="containsText" dxfId="17" priority="14" operator="containsText" text="N/A">
      <formula>NOT(ISERROR(SEARCH(("N/A"),(L12))))</formula>
    </cfRule>
  </conditionalFormatting>
  <conditionalFormatting sqref="L12:L217">
    <cfRule type="containsText" dxfId="18" priority="15" operator="containsText" text="In Progress">
      <formula>NOT(ISERROR(SEARCH(("In Progress"),(L12))))</formula>
    </cfRule>
  </conditionalFormatting>
  <conditionalFormatting sqref="M10:M11 M21:M23 M51:M58 M67 M103 M110:M153 M160 G175:M217">
    <cfRule type="expression" dxfId="6" priority="16" stopIfTrue="1">
      <formula>NOT(ISERROR(SEARCH("Negative",M10)))</formula>
    </cfRule>
  </conditionalFormatting>
  <conditionalFormatting sqref="M10:M11 M21:M23 M51:M58 M67 M103 M110:M153 M160 G175:M217">
    <cfRule type="expression" dxfId="7" priority="17" stopIfTrue="1">
      <formula>NOT(ISERROR(SEARCH("Positive",M10)))</formula>
    </cfRule>
  </conditionalFormatting>
  <conditionalFormatting sqref="L1:L1087">
    <cfRule type="cellIs" dxfId="19" priority="18" operator="equal">
      <formula>"In Progress"</formula>
    </cfRule>
  </conditionalFormatting>
  <conditionalFormatting sqref="G10:M11 G21:M23 G51:M58 G67:M67 G103:M103 G110:M153 G160:M160">
    <cfRule type="expression" dxfId="6" priority="19" stopIfTrue="1">
      <formula>NOT(ISERROR(SEARCH("Negative",G10)))</formula>
    </cfRule>
  </conditionalFormatting>
  <conditionalFormatting sqref="G10:M11 G21:M23 G51:M58 G67:M67 G103:M103 G110:M153 G160:M160">
    <cfRule type="expression" dxfId="7" priority="20" stopIfTrue="1">
      <formula>NOT(ISERROR(SEARCH("Positive",G10)))</formula>
    </cfRule>
  </conditionalFormatting>
  <dataValidations>
    <dataValidation type="list" allowBlank="1" sqref="L12:L21 L24:L50 L52:L57 L59:L66 L68:L102 L104:L109 L111:L119 L121:L129 L131:L141 L143:L152 L154:L159 L161:L174 L176:L184 L186:L194 L196:L206 L208:L217">
      <formula1>"PASS,FAIL,In Progress,Blocked,Not Start,N/A,Deferred"</formula1>
    </dataValidation>
    <dataValidation type="list" allowBlank="1" showErrorMessage="1" sqref="F12:F21 F24:F50 F52:F57 F59:F66 F68:F102 F104:F109 F111:F119 F121:F129 F131:F141 F143:F152 F154:F159 F161:F174 F176:F184 F186:F194 F196:F206 F208:F217">
      <formula1>"Positive,Negative"</formula1>
    </dataValidation>
    <dataValidation type="list" allowBlank="1" showErrorMessage="1" sqref="G12:G21 G24:G50 G52:G57 G59:G66 G68:G102 G104:G109 G111:G119 G121:G129 G131:G141 G143:G152 G154:G159 G161:G174 G176:G184 G186:G194 G196:G206 G208:G217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35.63"/>
    <col customWidth="1" min="2" max="2" width="62.13"/>
    <col customWidth="1" min="3" max="4" width="28.13"/>
  </cols>
  <sheetData>
    <row r="2">
      <c r="A2" s="109" t="s">
        <v>141</v>
      </c>
      <c r="B2" s="109" t="s">
        <v>142</v>
      </c>
      <c r="C2" s="109" t="s">
        <v>143</v>
      </c>
      <c r="D2" s="110" t="s">
        <v>144</v>
      </c>
      <c r="E2" s="110" t="s">
        <v>146</v>
      </c>
      <c r="F2" s="111"/>
    </row>
    <row r="3">
      <c r="A3" s="112" t="s">
        <v>148</v>
      </c>
      <c r="B3" s="111" t="s">
        <v>149</v>
      </c>
      <c r="C3" s="113" t="s">
        <v>151</v>
      </c>
      <c r="D3" s="111" t="s">
        <v>153</v>
      </c>
      <c r="E3" s="111" t="s">
        <v>154</v>
      </c>
      <c r="F3" s="111"/>
    </row>
    <row r="4">
      <c r="B4" s="112" t="s">
        <v>155</v>
      </c>
      <c r="C4" s="113" t="s">
        <v>156</v>
      </c>
      <c r="D4" s="111" t="s">
        <v>153</v>
      </c>
      <c r="E4" s="111" t="s">
        <v>154</v>
      </c>
    </row>
    <row r="5">
      <c r="B5" s="112" t="s">
        <v>157</v>
      </c>
      <c r="C5" s="111" t="s">
        <v>158</v>
      </c>
      <c r="D5" s="111" t="s">
        <v>159</v>
      </c>
      <c r="E5" s="111" t="s">
        <v>159</v>
      </c>
    </row>
    <row r="6">
      <c r="B6" s="112" t="s">
        <v>160</v>
      </c>
      <c r="C6" s="113" t="s">
        <v>162</v>
      </c>
      <c r="D6" s="111" t="s">
        <v>159</v>
      </c>
      <c r="E6" s="111" t="s">
        <v>154</v>
      </c>
    </row>
    <row r="9">
      <c r="B9" s="112"/>
      <c r="C9" s="111"/>
      <c r="D9" s="111"/>
      <c r="E9" s="111"/>
    </row>
    <row r="10">
      <c r="B10" s="112"/>
      <c r="C10" s="111"/>
      <c r="D10" s="111"/>
      <c r="E10" s="111"/>
    </row>
    <row r="11">
      <c r="A11" s="114" t="s">
        <v>164</v>
      </c>
      <c r="B11" s="115"/>
      <c r="C11" s="114" t="s">
        <v>166</v>
      </c>
    </row>
    <row r="12">
      <c r="A12" s="114" t="s">
        <v>167</v>
      </c>
      <c r="B12" s="115"/>
      <c r="C12" s="114" t="s">
        <v>166</v>
      </c>
    </row>
    <row r="13">
      <c r="A13" s="116" t="s">
        <v>169</v>
      </c>
      <c r="C13" s="111" t="s">
        <v>171</v>
      </c>
    </row>
    <row r="18" ht="15.75" customHeight="1">
      <c r="A18" s="111" t="s">
        <v>172</v>
      </c>
      <c r="I18" s="117"/>
      <c r="K18" s="117"/>
      <c r="L18" s="118"/>
    </row>
    <row r="19" ht="15.75" customHeight="1">
      <c r="A19" s="111" t="s">
        <v>174</v>
      </c>
      <c r="I19" s="117"/>
      <c r="K19" s="117"/>
      <c r="L19" s="118"/>
    </row>
    <row r="28" ht="149.25" customHeight="1" outlineLevel="1">
      <c r="A28" s="70" t="str">
        <f>"TC_Creator_Dee_"&amp;(ROW()-ROW($A$12)+1-4)</f>
        <v>TC_Creator_Dee_13</v>
      </c>
      <c r="B28" s="72" t="s">
        <v>178</v>
      </c>
      <c r="C28" s="73"/>
      <c r="D28" s="72"/>
      <c r="E28" s="92" t="s">
        <v>180</v>
      </c>
      <c r="F28" s="76" t="s">
        <v>56</v>
      </c>
      <c r="G28" s="76" t="s">
        <v>57</v>
      </c>
      <c r="H28" s="78"/>
      <c r="I28" s="77"/>
      <c r="J28" s="84"/>
      <c r="K28" s="80"/>
      <c r="L28" s="82" t="s">
        <v>12</v>
      </c>
      <c r="M28" s="84"/>
      <c r="N28" s="86"/>
      <c r="O28" s="86"/>
      <c r="P28" s="86"/>
      <c r="Q28" s="86"/>
      <c r="R28" s="86"/>
      <c r="S28" s="86"/>
      <c r="T28" s="86"/>
    </row>
    <row r="29" ht="139.5" customHeight="1" outlineLevel="1">
      <c r="A29" s="70" t="str">
        <f t="shared" ref="A29:A32" si="1">"TC_Creator_Dee_"&amp;(ROW()-ROW($A$12)+1-5)</f>
        <v>TC_Creator_Dee_13</v>
      </c>
      <c r="B29" s="72"/>
      <c r="C29" s="73"/>
      <c r="D29" s="72"/>
      <c r="E29" s="92" t="s">
        <v>184</v>
      </c>
      <c r="F29" s="76" t="s">
        <v>56</v>
      </c>
      <c r="G29" s="76" t="s">
        <v>101</v>
      </c>
      <c r="H29" s="78"/>
      <c r="I29" s="77"/>
      <c r="J29" s="84"/>
      <c r="K29" s="80"/>
      <c r="L29" s="82" t="s">
        <v>12</v>
      </c>
      <c r="M29" s="84"/>
      <c r="N29" s="86"/>
      <c r="O29" s="86"/>
      <c r="P29" s="86"/>
      <c r="Q29" s="86"/>
      <c r="R29" s="86"/>
      <c r="S29" s="86"/>
      <c r="T29" s="86"/>
    </row>
    <row r="30" ht="139.5" customHeight="1" outlineLevel="1">
      <c r="A30" s="70" t="str">
        <f t="shared" si="1"/>
        <v>TC_Creator_Dee_14</v>
      </c>
      <c r="B30" s="72" t="s">
        <v>189</v>
      </c>
      <c r="C30" s="73"/>
      <c r="D30" s="72"/>
      <c r="E30" s="92" t="s">
        <v>191</v>
      </c>
      <c r="F30" s="76" t="s">
        <v>56</v>
      </c>
      <c r="G30" s="76" t="s">
        <v>101</v>
      </c>
      <c r="H30" s="78"/>
      <c r="I30" s="77"/>
      <c r="J30" s="84"/>
      <c r="K30" s="80"/>
      <c r="L30" s="82" t="s">
        <v>12</v>
      </c>
      <c r="M30" s="84"/>
      <c r="N30" s="86"/>
      <c r="O30" s="86"/>
      <c r="P30" s="86"/>
      <c r="Q30" s="86"/>
      <c r="R30" s="86"/>
      <c r="S30" s="86"/>
      <c r="T30" s="86"/>
    </row>
    <row r="31" ht="123.75" customHeight="1" outlineLevel="1">
      <c r="A31" s="70" t="str">
        <f t="shared" si="1"/>
        <v>TC_Creator_Dee_15</v>
      </c>
      <c r="B31" s="72" t="s">
        <v>192</v>
      </c>
      <c r="C31" s="73"/>
      <c r="D31" s="72"/>
      <c r="E31" s="92" t="s">
        <v>195</v>
      </c>
      <c r="F31" s="76" t="s">
        <v>56</v>
      </c>
      <c r="G31" s="76" t="s">
        <v>101</v>
      </c>
      <c r="H31" s="78"/>
      <c r="I31" s="77"/>
      <c r="J31" s="84"/>
      <c r="K31" s="80"/>
      <c r="L31" s="82" t="s">
        <v>12</v>
      </c>
      <c r="M31" s="84"/>
      <c r="N31" s="86"/>
      <c r="O31" s="86"/>
      <c r="P31" s="86"/>
      <c r="Q31" s="86"/>
      <c r="R31" s="86"/>
      <c r="S31" s="86"/>
      <c r="T31" s="86"/>
    </row>
    <row r="32" ht="123.75" customHeight="1" outlineLevel="1">
      <c r="A32" s="70" t="str">
        <f t="shared" si="1"/>
        <v>TC_Creator_Dee_16</v>
      </c>
      <c r="B32" s="72" t="s">
        <v>197</v>
      </c>
      <c r="C32" s="73"/>
      <c r="D32" s="72"/>
      <c r="E32" s="92" t="s">
        <v>198</v>
      </c>
      <c r="F32" s="76" t="s">
        <v>56</v>
      </c>
      <c r="G32" s="76" t="s">
        <v>101</v>
      </c>
      <c r="H32" s="78"/>
      <c r="I32" s="77"/>
      <c r="J32" s="84"/>
      <c r="K32" s="80"/>
      <c r="L32" s="82" t="s">
        <v>12</v>
      </c>
      <c r="M32" s="84"/>
      <c r="N32" s="86"/>
      <c r="O32" s="86"/>
      <c r="P32" s="86"/>
      <c r="Q32" s="86"/>
      <c r="R32" s="86"/>
      <c r="S32" s="86"/>
      <c r="T32" s="86"/>
    </row>
  </sheetData>
  <conditionalFormatting sqref="G28:M28">
    <cfRule type="cellIs" dxfId="4" priority="1" operator="equal">
      <formula>"Positive"</formula>
    </cfRule>
  </conditionalFormatting>
  <conditionalFormatting sqref="G28:M28">
    <cfRule type="containsText" dxfId="5" priority="2" operator="containsText" text="Negative">
      <formula>NOT(ISERROR(SEARCH(("Negative"),(G28))))</formula>
    </cfRule>
  </conditionalFormatting>
  <conditionalFormatting sqref="M28">
    <cfRule type="expression" dxfId="6" priority="3" stopIfTrue="1">
      <formula>NOT(ISERROR(SEARCH("Negative",M28)))</formula>
    </cfRule>
  </conditionalFormatting>
  <conditionalFormatting sqref="M28">
    <cfRule type="expression" dxfId="7" priority="4" stopIfTrue="1">
      <formula>NOT(ISERROR(SEARCH("Positive",M28)))</formula>
    </cfRule>
  </conditionalFormatting>
  <conditionalFormatting sqref="G28:M28">
    <cfRule type="expression" dxfId="6" priority="5" stopIfTrue="1">
      <formula>NOT(ISERROR(SEARCH("Negative",G28)))</formula>
    </cfRule>
  </conditionalFormatting>
  <conditionalFormatting sqref="G28:M28">
    <cfRule type="expression" dxfId="7" priority="6" stopIfTrue="1">
      <formula>NOT(ISERROR(SEARCH("Positive",G28)))</formula>
    </cfRule>
  </conditionalFormatting>
  <conditionalFormatting sqref="F28:F32">
    <cfRule type="cellIs" dxfId="8" priority="7" operator="equal">
      <formula>"Positive"</formula>
    </cfRule>
  </conditionalFormatting>
  <conditionalFormatting sqref="F28:F32">
    <cfRule type="containsText" dxfId="9" priority="8" operator="containsText" text="Negative">
      <formula>NOT(ISERROR(SEARCH(("Negative"),(F28))))</formula>
    </cfRule>
  </conditionalFormatting>
  <conditionalFormatting sqref="G28:G32">
    <cfRule type="containsText" dxfId="10" priority="9" operator="containsText" text="High">
      <formula>NOT(ISERROR(SEARCH(("High"),(G28))))</formula>
    </cfRule>
  </conditionalFormatting>
  <conditionalFormatting sqref="G28:G32">
    <cfRule type="cellIs" dxfId="11" priority="10" operator="equal">
      <formula>"Medium"</formula>
    </cfRule>
  </conditionalFormatting>
  <conditionalFormatting sqref="G28:G32">
    <cfRule type="containsText" dxfId="12" priority="11" operator="containsText" text="Low">
      <formula>NOT(ISERROR(SEARCH(("Low"),(G28))))</formula>
    </cfRule>
  </conditionalFormatting>
  <conditionalFormatting sqref="L28:L32">
    <cfRule type="containsText" dxfId="13" priority="12" operator="containsText" text="Deferred">
      <formula>NOT(ISERROR(SEARCH(("Deferred"),(L28))))</formula>
    </cfRule>
  </conditionalFormatting>
  <conditionalFormatting sqref="L28:L32">
    <cfRule type="containsText" dxfId="14" priority="13" operator="containsText" text="Not Start">
      <formula>NOT(ISERROR(SEARCH(("Not Start"),(L28))))</formula>
    </cfRule>
  </conditionalFormatting>
  <conditionalFormatting sqref="L28:L32">
    <cfRule type="containsText" dxfId="15" priority="14" operator="containsText" text="Blocked">
      <formula>NOT(ISERROR(SEARCH(("Blocked"),(L28))))</formula>
    </cfRule>
  </conditionalFormatting>
  <conditionalFormatting sqref="L28:L32">
    <cfRule type="containsText" dxfId="6" priority="15" operator="containsText" text="FAIL">
      <formula>NOT(ISERROR(SEARCH(("FAIL"),(L28))))</formula>
    </cfRule>
  </conditionalFormatting>
  <conditionalFormatting sqref="L28:L32">
    <cfRule type="cellIs" dxfId="7" priority="16" operator="equal">
      <formula>"PASS"</formula>
    </cfRule>
  </conditionalFormatting>
  <conditionalFormatting sqref="L28:L32">
    <cfRule type="cellIs" dxfId="16" priority="17" operator="equal">
      <formula>"N/A"</formula>
    </cfRule>
  </conditionalFormatting>
  <conditionalFormatting sqref="L28:L32">
    <cfRule type="containsText" dxfId="17" priority="18" operator="containsText" text="N/A">
      <formula>NOT(ISERROR(SEARCH(("N/A"),(L28))))</formula>
    </cfRule>
  </conditionalFormatting>
  <conditionalFormatting sqref="L28:L32">
    <cfRule type="containsText" dxfId="18" priority="19" operator="containsText" text="In Progress">
      <formula>NOT(ISERROR(SEARCH(("In Progress"),(L28))))</formula>
    </cfRule>
  </conditionalFormatting>
  <conditionalFormatting sqref="L18:L19 L28:L32">
    <cfRule type="cellIs" dxfId="19" priority="20" operator="equal">
      <formula>"In Progress"</formula>
    </cfRule>
  </conditionalFormatting>
  <dataValidations>
    <dataValidation type="list" allowBlank="1" sqref="L28:L32">
      <formula1>"PASS,FAIL,In Progress,Blocked,Not Start,N/A,Deferred"</formula1>
    </dataValidation>
    <dataValidation type="list" allowBlank="1" showErrorMessage="1" sqref="F28:F32">
      <formula1>"Positive,Negative"</formula1>
    </dataValidation>
    <dataValidation type="list" allowBlank="1" showErrorMessage="1" sqref="G28:G32">
      <formula1>"High,Medium,Low"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7.0"/>
    <col customWidth="1" min="2" max="2" width="74.63"/>
    <col customWidth="1" hidden="1" min="3" max="3" width="47.38"/>
    <col customWidth="1" hidden="1" min="4" max="4" width="55.0"/>
    <col customWidth="1" min="5" max="5" width="66.0"/>
    <col customWidth="1" min="6" max="6" width="9.88"/>
    <col customWidth="1" min="7" max="7" width="10.88"/>
    <col customWidth="1" min="8" max="11" width="30.13"/>
    <col customWidth="1" min="12" max="12" width="31.25"/>
    <col customWidth="1" min="13" max="13" width="30.13"/>
    <col customWidth="1" min="14" max="20" width="8.63"/>
  </cols>
  <sheetData>
    <row r="1" ht="12.75" customHeight="1">
      <c r="B1" s="7" t="str">
        <f>HYPERLINK("#Document!A1", "Refer to sheet Document")</f>
        <v>Refer to sheet Document</v>
      </c>
      <c r="C1" s="9"/>
      <c r="D1" s="9"/>
      <c r="E1" s="9"/>
      <c r="F1" s="12"/>
      <c r="G1" s="13"/>
      <c r="H1" s="13"/>
      <c r="I1" s="13"/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</row>
    <row r="2">
      <c r="A2" s="17"/>
      <c r="B2" s="9"/>
      <c r="C2" s="19"/>
      <c r="D2" s="9"/>
      <c r="E2" s="9"/>
      <c r="F2" s="12"/>
      <c r="G2" s="13"/>
      <c r="H2" s="13"/>
      <c r="I2" s="13"/>
      <c r="J2" s="13"/>
      <c r="K2" s="13"/>
      <c r="L2" s="13"/>
      <c r="M2" s="16"/>
      <c r="N2" s="13"/>
      <c r="O2" s="13"/>
      <c r="P2" s="13"/>
      <c r="Q2" s="13"/>
      <c r="R2" s="13"/>
      <c r="S2" s="13"/>
      <c r="T2" s="13"/>
    </row>
    <row r="3">
      <c r="A3" s="23" t="s">
        <v>17</v>
      </c>
      <c r="B3" s="23">
        <f>COUNTIF(A11:A117,"TC_*")</f>
        <v>47</v>
      </c>
      <c r="C3" s="27"/>
      <c r="D3" s="27"/>
      <c r="E3" s="27"/>
      <c r="F3" s="28"/>
      <c r="G3" s="30"/>
      <c r="H3" s="30"/>
      <c r="I3" s="30"/>
      <c r="J3" s="30"/>
      <c r="K3" s="30"/>
      <c r="L3" s="30"/>
      <c r="M3" s="32"/>
      <c r="N3" s="13"/>
      <c r="O3" s="13"/>
      <c r="P3" s="13"/>
      <c r="Q3" s="13"/>
      <c r="R3" s="13"/>
      <c r="S3" s="13"/>
      <c r="T3" s="13"/>
    </row>
    <row r="4" ht="26.25" customHeight="1">
      <c r="A4" s="35" t="s">
        <v>26</v>
      </c>
      <c r="B4" s="35" t="s">
        <v>27</v>
      </c>
      <c r="C4" s="40" t="s">
        <v>28</v>
      </c>
      <c r="D4" s="35" t="s">
        <v>30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35" t="s">
        <v>38</v>
      </c>
      <c r="K4" s="35" t="s">
        <v>39</v>
      </c>
      <c r="L4" s="35" t="s">
        <v>40</v>
      </c>
      <c r="M4" s="35" t="s">
        <v>25</v>
      </c>
      <c r="N4" s="13"/>
      <c r="O4" s="13"/>
      <c r="P4" s="13"/>
      <c r="Q4" s="13"/>
      <c r="R4" s="13"/>
      <c r="S4" s="13"/>
      <c r="T4" s="13"/>
    </row>
    <row r="5" ht="39.0" customHeight="1">
      <c r="A5" s="46"/>
      <c r="B5" s="46"/>
      <c r="C5" s="48"/>
      <c r="D5" s="46"/>
      <c r="E5" s="46"/>
      <c r="F5" s="46"/>
      <c r="G5" s="46"/>
      <c r="H5" s="46"/>
      <c r="I5" s="46"/>
      <c r="J5" s="46"/>
      <c r="K5" s="46"/>
      <c r="L5" s="46"/>
      <c r="M5" s="46"/>
      <c r="N5" s="49"/>
      <c r="O5" s="49"/>
      <c r="P5" s="49"/>
      <c r="Q5" s="49"/>
      <c r="R5" s="49"/>
      <c r="S5" s="49"/>
      <c r="T5" s="49"/>
    </row>
    <row r="6" ht="42.0" customHeight="1">
      <c r="A6" s="46"/>
      <c r="B6" s="46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51"/>
      <c r="O6" s="51"/>
      <c r="P6" s="51"/>
      <c r="Q6" s="51"/>
      <c r="R6" s="51"/>
      <c r="S6" s="51"/>
      <c r="T6" s="51"/>
    </row>
    <row r="7" ht="58.5" customHeight="1">
      <c r="A7" s="46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51"/>
      <c r="O7" s="51"/>
      <c r="P7" s="51"/>
      <c r="Q7" s="51"/>
      <c r="R7" s="51"/>
      <c r="S7" s="51"/>
      <c r="T7" s="51"/>
    </row>
    <row r="8" ht="45.0" customHeight="1">
      <c r="A8" s="46"/>
      <c r="B8" s="46"/>
      <c r="C8" s="48"/>
      <c r="D8" s="46"/>
      <c r="E8" s="46"/>
      <c r="F8" s="46"/>
      <c r="G8" s="46"/>
      <c r="H8" s="46"/>
      <c r="I8" s="46"/>
      <c r="J8" s="46"/>
      <c r="K8" s="46"/>
      <c r="L8" s="46"/>
      <c r="M8" s="46"/>
      <c r="N8" s="51"/>
      <c r="O8" s="51"/>
      <c r="P8" s="51"/>
      <c r="Q8" s="51"/>
      <c r="R8" s="51"/>
      <c r="S8" s="51"/>
      <c r="T8" s="51"/>
    </row>
    <row r="9" ht="84.0" customHeight="1">
      <c r="A9" s="38"/>
      <c r="B9" s="38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1"/>
      <c r="O9" s="51"/>
      <c r="P9" s="51"/>
      <c r="Q9" s="51"/>
      <c r="R9" s="51"/>
      <c r="S9" s="51"/>
      <c r="T9" s="51"/>
    </row>
    <row r="10" ht="42.0" customHeight="1">
      <c r="A10" s="55" t="s">
        <v>46</v>
      </c>
      <c r="B10" s="10"/>
      <c r="C10" s="57"/>
      <c r="D10" s="58"/>
      <c r="E10" s="58"/>
      <c r="F10" s="58"/>
      <c r="G10" s="60"/>
      <c r="H10" s="60"/>
      <c r="I10" s="60"/>
      <c r="J10" s="60"/>
      <c r="K10" s="60"/>
      <c r="L10" s="60"/>
      <c r="M10" s="60"/>
      <c r="N10" s="49"/>
      <c r="O10" s="49"/>
      <c r="P10" s="49"/>
      <c r="Q10" s="49"/>
      <c r="R10" s="49"/>
      <c r="S10" s="49"/>
      <c r="T10" s="49"/>
    </row>
    <row r="11" ht="39.0" customHeight="1" outlineLevel="1">
      <c r="A11" s="55" t="s">
        <v>242</v>
      </c>
      <c r="B11" s="10"/>
      <c r="C11" s="73"/>
      <c r="D11" s="58"/>
      <c r="E11" s="58"/>
      <c r="F11" s="58"/>
      <c r="G11" s="60"/>
      <c r="H11" s="60"/>
      <c r="I11" s="60"/>
      <c r="J11" s="60"/>
      <c r="K11" s="60"/>
      <c r="L11" s="60"/>
      <c r="M11" s="60"/>
      <c r="N11" s="86"/>
      <c r="O11" s="86"/>
      <c r="P11" s="86"/>
      <c r="Q11" s="86"/>
      <c r="R11" s="86"/>
      <c r="S11" s="86"/>
      <c r="T11" s="86"/>
    </row>
    <row r="12" ht="145.5" customHeight="1" outlineLevel="1">
      <c r="A12" s="70" t="str">
        <f t="shared" ref="A12:A58" si="1">"TC_Create_content_"&amp;(ROW()-ROW($A$12)+1)</f>
        <v>TC_Create_content_1</v>
      </c>
      <c r="B12" s="72" t="s">
        <v>245</v>
      </c>
      <c r="C12" s="73"/>
      <c r="D12" s="72"/>
      <c r="E12" s="74" t="s">
        <v>247</v>
      </c>
      <c r="F12" s="76" t="s">
        <v>56</v>
      </c>
      <c r="G12" s="76" t="s">
        <v>57</v>
      </c>
      <c r="H12" s="78"/>
      <c r="I12" s="77"/>
      <c r="J12" s="84"/>
      <c r="K12" s="80"/>
      <c r="L12" s="82" t="s">
        <v>12</v>
      </c>
      <c r="M12" s="84"/>
      <c r="N12" s="86"/>
      <c r="O12" s="86"/>
      <c r="P12" s="86"/>
      <c r="Q12" s="86"/>
      <c r="R12" s="86"/>
      <c r="S12" s="86"/>
      <c r="T12" s="86"/>
    </row>
    <row r="13" ht="123.75" customHeight="1" outlineLevel="1">
      <c r="A13" s="70" t="str">
        <f t="shared" si="1"/>
        <v>TC_Create_content_2</v>
      </c>
      <c r="B13" s="72" t="s">
        <v>249</v>
      </c>
      <c r="C13" s="73"/>
      <c r="D13" s="72"/>
      <c r="E13" s="74" t="s">
        <v>251</v>
      </c>
      <c r="F13" s="76" t="s">
        <v>56</v>
      </c>
      <c r="G13" s="76" t="s">
        <v>214</v>
      </c>
      <c r="H13" s="78"/>
      <c r="I13" s="77"/>
      <c r="J13" s="84"/>
      <c r="K13" s="80"/>
      <c r="L13" s="82" t="s">
        <v>12</v>
      </c>
      <c r="M13" s="84"/>
      <c r="N13" s="86"/>
      <c r="O13" s="86"/>
      <c r="P13" s="86"/>
      <c r="Q13" s="86"/>
      <c r="R13" s="86"/>
      <c r="S13" s="86"/>
      <c r="T13" s="86"/>
    </row>
    <row r="14" ht="123.75" customHeight="1" outlineLevel="1">
      <c r="A14" s="70" t="str">
        <f t="shared" si="1"/>
        <v>TC_Create_content_3</v>
      </c>
      <c r="B14" s="72" t="s">
        <v>253</v>
      </c>
      <c r="C14" s="73"/>
      <c r="D14" s="72"/>
      <c r="E14" s="74" t="s">
        <v>255</v>
      </c>
      <c r="F14" s="76" t="s">
        <v>56</v>
      </c>
      <c r="G14" s="76" t="s">
        <v>214</v>
      </c>
      <c r="H14" s="78"/>
      <c r="I14" s="77"/>
      <c r="J14" s="84"/>
      <c r="K14" s="80"/>
      <c r="L14" s="82" t="s">
        <v>12</v>
      </c>
      <c r="M14" s="84"/>
      <c r="N14" s="86"/>
      <c r="O14" s="86"/>
      <c r="P14" s="86"/>
      <c r="Q14" s="86"/>
      <c r="R14" s="86"/>
      <c r="S14" s="86"/>
      <c r="T14" s="86"/>
    </row>
    <row r="15" ht="123.75" customHeight="1" outlineLevel="1">
      <c r="A15" s="70" t="str">
        <f t="shared" si="1"/>
        <v>TC_Create_content_4</v>
      </c>
      <c r="B15" s="72" t="s">
        <v>259</v>
      </c>
      <c r="C15" s="73"/>
      <c r="D15" s="72"/>
      <c r="E15" s="74" t="s">
        <v>260</v>
      </c>
      <c r="F15" s="76" t="s">
        <v>56</v>
      </c>
      <c r="G15" s="76" t="s">
        <v>214</v>
      </c>
      <c r="H15" s="78"/>
      <c r="I15" s="77"/>
      <c r="J15" s="84"/>
      <c r="K15" s="80"/>
      <c r="L15" s="82" t="s">
        <v>12</v>
      </c>
      <c r="M15" s="84"/>
      <c r="N15" s="86"/>
      <c r="O15" s="86"/>
      <c r="P15" s="86"/>
      <c r="Q15" s="86"/>
      <c r="R15" s="86"/>
      <c r="S15" s="86"/>
      <c r="T15" s="86"/>
    </row>
    <row r="16" ht="123.75" customHeight="1" outlineLevel="1">
      <c r="A16" s="70" t="str">
        <f t="shared" si="1"/>
        <v>TC_Create_content_5</v>
      </c>
      <c r="B16" s="72" t="s">
        <v>264</v>
      </c>
      <c r="C16" s="73"/>
      <c r="D16" s="72"/>
      <c r="E16" s="74" t="s">
        <v>265</v>
      </c>
      <c r="F16" s="76" t="s">
        <v>56</v>
      </c>
      <c r="G16" s="76" t="s">
        <v>214</v>
      </c>
      <c r="H16" s="78"/>
      <c r="I16" s="77"/>
      <c r="J16" s="84"/>
      <c r="K16" s="80"/>
      <c r="L16" s="82" t="s">
        <v>12</v>
      </c>
      <c r="M16" s="84"/>
      <c r="N16" s="86"/>
      <c r="O16" s="86"/>
      <c r="P16" s="86"/>
      <c r="Q16" s="86"/>
      <c r="R16" s="86"/>
      <c r="S16" s="86"/>
      <c r="T16" s="86"/>
    </row>
    <row r="17" ht="123.75" customHeight="1" outlineLevel="1">
      <c r="A17" s="70" t="str">
        <f t="shared" si="1"/>
        <v>TC_Create_content_6</v>
      </c>
      <c r="B17" s="72" t="s">
        <v>268</v>
      </c>
      <c r="C17" s="73"/>
      <c r="D17" s="72"/>
      <c r="E17" s="74" t="s">
        <v>269</v>
      </c>
      <c r="F17" s="76" t="s">
        <v>56</v>
      </c>
      <c r="G17" s="76" t="s">
        <v>214</v>
      </c>
      <c r="H17" s="78"/>
      <c r="I17" s="77"/>
      <c r="J17" s="84"/>
      <c r="K17" s="80"/>
      <c r="L17" s="82" t="s">
        <v>12</v>
      </c>
      <c r="M17" s="84"/>
      <c r="N17" s="86"/>
      <c r="O17" s="86"/>
      <c r="P17" s="86"/>
      <c r="Q17" s="86"/>
      <c r="R17" s="86"/>
      <c r="S17" s="86"/>
      <c r="T17" s="86"/>
    </row>
    <row r="18" ht="123.75" customHeight="1" outlineLevel="1">
      <c r="A18" s="70" t="str">
        <f t="shared" si="1"/>
        <v>TC_Create_content_7</v>
      </c>
      <c r="B18" s="72" t="s">
        <v>273</v>
      </c>
      <c r="C18" s="73"/>
      <c r="D18" s="72"/>
      <c r="E18" s="74" t="s">
        <v>274</v>
      </c>
      <c r="F18" s="76" t="s">
        <v>56</v>
      </c>
      <c r="G18" s="76" t="s">
        <v>214</v>
      </c>
      <c r="H18" s="78"/>
      <c r="I18" s="77"/>
      <c r="J18" s="84"/>
      <c r="K18" s="80"/>
      <c r="L18" s="82" t="s">
        <v>12</v>
      </c>
      <c r="M18" s="84"/>
      <c r="N18" s="86"/>
      <c r="O18" s="86"/>
      <c r="P18" s="86"/>
      <c r="Q18" s="86"/>
      <c r="R18" s="86"/>
      <c r="S18" s="86"/>
      <c r="T18" s="86"/>
    </row>
    <row r="19" ht="123.75" customHeight="1" outlineLevel="1">
      <c r="A19" s="70" t="str">
        <f t="shared" si="1"/>
        <v>TC_Create_content_8</v>
      </c>
      <c r="B19" s="72" t="s">
        <v>278</v>
      </c>
      <c r="C19" s="73"/>
      <c r="D19" s="72"/>
      <c r="E19" s="92" t="s">
        <v>279</v>
      </c>
      <c r="F19" s="76" t="s">
        <v>56</v>
      </c>
      <c r="G19" s="76" t="s">
        <v>214</v>
      </c>
      <c r="H19" s="78"/>
      <c r="I19" s="77"/>
      <c r="J19" s="84"/>
      <c r="K19" s="80"/>
      <c r="L19" s="82" t="s">
        <v>12</v>
      </c>
      <c r="M19" s="84"/>
      <c r="N19" s="86"/>
      <c r="O19" s="86"/>
      <c r="P19" s="86"/>
      <c r="Q19" s="86"/>
      <c r="R19" s="86"/>
      <c r="S19" s="86"/>
      <c r="T19" s="86"/>
    </row>
    <row r="20" ht="123.75" customHeight="1" outlineLevel="1">
      <c r="A20" s="108" t="str">
        <f t="shared" si="1"/>
        <v>TC_Create_content_9</v>
      </c>
      <c r="B20" s="72" t="s">
        <v>282</v>
      </c>
      <c r="C20" s="73"/>
      <c r="D20" s="72"/>
      <c r="E20" s="92" t="s">
        <v>285</v>
      </c>
      <c r="F20" s="76" t="s">
        <v>56</v>
      </c>
      <c r="G20" s="76" t="s">
        <v>214</v>
      </c>
      <c r="H20" s="78"/>
      <c r="I20" s="77"/>
      <c r="J20" s="84"/>
      <c r="K20" s="80"/>
      <c r="L20" s="82" t="s">
        <v>12</v>
      </c>
      <c r="M20" s="84"/>
      <c r="N20" s="86"/>
      <c r="O20" s="86"/>
      <c r="P20" s="86"/>
      <c r="Q20" s="86"/>
      <c r="R20" s="86"/>
      <c r="S20" s="86"/>
      <c r="T20" s="86"/>
    </row>
    <row r="21" ht="123.75" customHeight="1" outlineLevel="1">
      <c r="A21" s="70" t="str">
        <f t="shared" si="1"/>
        <v>TC_Create_content_10</v>
      </c>
      <c r="B21" s="72" t="s">
        <v>287</v>
      </c>
      <c r="C21" s="73"/>
      <c r="D21" s="72"/>
      <c r="E21" s="74" t="s">
        <v>289</v>
      </c>
      <c r="F21" s="76" t="s">
        <v>56</v>
      </c>
      <c r="G21" s="76" t="s">
        <v>214</v>
      </c>
      <c r="H21" s="78"/>
      <c r="I21" s="77"/>
      <c r="J21" s="84"/>
      <c r="K21" s="80"/>
      <c r="L21" s="82" t="s">
        <v>12</v>
      </c>
      <c r="M21" s="84"/>
      <c r="N21" s="86"/>
      <c r="O21" s="86"/>
      <c r="P21" s="86"/>
      <c r="Q21" s="86"/>
      <c r="R21" s="86"/>
      <c r="S21" s="86"/>
      <c r="T21" s="86"/>
    </row>
    <row r="22" ht="123.75" customHeight="1" outlineLevel="1">
      <c r="A22" s="70" t="str">
        <f t="shared" si="1"/>
        <v>TC_Create_content_11</v>
      </c>
      <c r="B22" s="72" t="s">
        <v>292</v>
      </c>
      <c r="C22" s="73"/>
      <c r="D22" s="72"/>
      <c r="E22" s="74" t="s">
        <v>293</v>
      </c>
      <c r="F22" s="76" t="s">
        <v>56</v>
      </c>
      <c r="G22" s="76" t="s">
        <v>214</v>
      </c>
      <c r="H22" s="78"/>
      <c r="I22" s="77"/>
      <c r="J22" s="84"/>
      <c r="K22" s="80"/>
      <c r="L22" s="82" t="s">
        <v>12</v>
      </c>
      <c r="M22" s="84"/>
      <c r="N22" s="86"/>
      <c r="O22" s="86"/>
      <c r="P22" s="86"/>
      <c r="Q22" s="86"/>
      <c r="R22" s="86"/>
      <c r="S22" s="86"/>
      <c r="T22" s="86"/>
    </row>
    <row r="23" ht="123.75" customHeight="1" outlineLevel="1">
      <c r="A23" s="70" t="str">
        <f t="shared" si="1"/>
        <v>TC_Create_content_12</v>
      </c>
      <c r="B23" s="72" t="s">
        <v>295</v>
      </c>
      <c r="C23" s="73"/>
      <c r="D23" s="72"/>
      <c r="E23" s="74" t="s">
        <v>296</v>
      </c>
      <c r="F23" s="76" t="s">
        <v>56</v>
      </c>
      <c r="G23" s="76" t="s">
        <v>214</v>
      </c>
      <c r="H23" s="78"/>
      <c r="I23" s="77"/>
      <c r="J23" s="84"/>
      <c r="K23" s="80"/>
      <c r="L23" s="82" t="s">
        <v>12</v>
      </c>
      <c r="M23" s="84"/>
      <c r="N23" s="86"/>
      <c r="O23" s="86"/>
      <c r="P23" s="86"/>
      <c r="Q23" s="86"/>
      <c r="R23" s="86"/>
      <c r="S23" s="86"/>
      <c r="T23" s="86"/>
    </row>
    <row r="24" ht="123.75" customHeight="1" outlineLevel="1">
      <c r="A24" s="70" t="str">
        <f t="shared" si="1"/>
        <v>TC_Create_content_13</v>
      </c>
      <c r="B24" s="72" t="s">
        <v>299</v>
      </c>
      <c r="C24" s="73"/>
      <c r="D24" s="72"/>
      <c r="E24" s="78"/>
      <c r="F24" s="76" t="s">
        <v>56</v>
      </c>
      <c r="G24" s="76" t="s">
        <v>57</v>
      </c>
      <c r="H24" s="78"/>
      <c r="I24" s="77"/>
      <c r="J24" s="84"/>
      <c r="K24" s="80"/>
      <c r="L24" s="82" t="s">
        <v>12</v>
      </c>
      <c r="M24" s="84"/>
      <c r="N24" s="86"/>
      <c r="O24" s="86"/>
      <c r="P24" s="86"/>
      <c r="Q24" s="86"/>
      <c r="R24" s="86"/>
      <c r="S24" s="86"/>
      <c r="T24" s="86"/>
    </row>
    <row r="25" ht="123.75" customHeight="1" outlineLevel="1">
      <c r="A25" s="70" t="str">
        <f t="shared" si="1"/>
        <v>TC_Create_content_14</v>
      </c>
      <c r="B25" s="72" t="s">
        <v>303</v>
      </c>
      <c r="C25" s="73"/>
      <c r="D25" s="72"/>
      <c r="E25" s="78"/>
      <c r="F25" s="76" t="s">
        <v>56</v>
      </c>
      <c r="G25" s="76" t="s">
        <v>214</v>
      </c>
      <c r="H25" s="78"/>
      <c r="I25" s="77"/>
      <c r="J25" s="84"/>
      <c r="K25" s="80"/>
      <c r="L25" s="82" t="s">
        <v>12</v>
      </c>
      <c r="M25" s="84"/>
      <c r="N25" s="86"/>
      <c r="O25" s="86"/>
      <c r="P25" s="86"/>
      <c r="Q25" s="86"/>
      <c r="R25" s="86"/>
      <c r="S25" s="86"/>
      <c r="T25" s="86"/>
    </row>
    <row r="26" ht="123.75" customHeight="1" outlineLevel="1">
      <c r="A26" s="70" t="str">
        <f t="shared" si="1"/>
        <v>TC_Create_content_15</v>
      </c>
      <c r="B26" s="72" t="s">
        <v>308</v>
      </c>
      <c r="C26" s="73"/>
      <c r="D26" s="72"/>
      <c r="E26" s="78"/>
      <c r="F26" s="76" t="s">
        <v>56</v>
      </c>
      <c r="G26" s="76" t="s">
        <v>214</v>
      </c>
      <c r="H26" s="78"/>
      <c r="I26" s="77"/>
      <c r="J26" s="84"/>
      <c r="K26" s="80"/>
      <c r="L26" s="82" t="s">
        <v>12</v>
      </c>
      <c r="M26" s="84"/>
      <c r="N26" s="86"/>
      <c r="O26" s="86"/>
      <c r="P26" s="86"/>
      <c r="Q26" s="86"/>
      <c r="R26" s="86"/>
      <c r="S26" s="86"/>
      <c r="T26" s="86"/>
    </row>
    <row r="27" ht="123.75" customHeight="1" outlineLevel="1">
      <c r="A27" s="70" t="str">
        <f t="shared" si="1"/>
        <v>TC_Create_content_16</v>
      </c>
      <c r="B27" s="72" t="s">
        <v>310</v>
      </c>
      <c r="C27" s="73"/>
      <c r="D27" s="72"/>
      <c r="E27" s="78"/>
      <c r="F27" s="76" t="s">
        <v>56</v>
      </c>
      <c r="G27" s="76" t="s">
        <v>214</v>
      </c>
      <c r="H27" s="78"/>
      <c r="I27" s="77"/>
      <c r="J27" s="84"/>
      <c r="K27" s="80"/>
      <c r="L27" s="82" t="s">
        <v>12</v>
      </c>
      <c r="M27" s="84"/>
      <c r="N27" s="86"/>
      <c r="O27" s="86"/>
      <c r="P27" s="86"/>
      <c r="Q27" s="86"/>
      <c r="R27" s="86"/>
      <c r="S27" s="86"/>
      <c r="T27" s="86"/>
    </row>
    <row r="28" ht="150.0" customHeight="1" outlineLevel="1">
      <c r="A28" s="70" t="str">
        <f t="shared" si="1"/>
        <v>TC_Create_content_17</v>
      </c>
      <c r="B28" s="72" t="s">
        <v>315</v>
      </c>
      <c r="C28" s="73"/>
      <c r="D28" s="72"/>
      <c r="E28" s="74" t="s">
        <v>293</v>
      </c>
      <c r="F28" s="76" t="s">
        <v>109</v>
      </c>
      <c r="G28" s="76" t="s">
        <v>214</v>
      </c>
      <c r="H28" s="78"/>
      <c r="I28" s="77"/>
      <c r="J28" s="84"/>
      <c r="K28" s="80"/>
      <c r="L28" s="82" t="s">
        <v>12</v>
      </c>
      <c r="M28" s="84"/>
      <c r="N28" s="86"/>
      <c r="O28" s="86"/>
      <c r="P28" s="86"/>
      <c r="Q28" s="86"/>
      <c r="R28" s="86"/>
      <c r="S28" s="86"/>
      <c r="T28" s="86"/>
    </row>
    <row r="29" ht="150.0" customHeight="1" outlineLevel="1">
      <c r="A29" s="70" t="str">
        <f t="shared" si="1"/>
        <v>TC_Create_content_18</v>
      </c>
      <c r="B29" s="72" t="s">
        <v>320</v>
      </c>
      <c r="C29" s="73"/>
      <c r="D29" s="72"/>
      <c r="E29" s="74" t="s">
        <v>293</v>
      </c>
      <c r="F29" s="76" t="s">
        <v>109</v>
      </c>
      <c r="G29" s="76" t="s">
        <v>214</v>
      </c>
      <c r="H29" s="78"/>
      <c r="I29" s="77"/>
      <c r="J29" s="84"/>
      <c r="K29" s="80"/>
      <c r="L29" s="82" t="s">
        <v>12</v>
      </c>
      <c r="M29" s="84"/>
      <c r="N29" s="86"/>
      <c r="O29" s="86"/>
      <c r="P29" s="86"/>
      <c r="Q29" s="86"/>
      <c r="R29" s="86"/>
      <c r="S29" s="86"/>
      <c r="T29" s="86"/>
    </row>
    <row r="30" ht="150.0" customHeight="1" outlineLevel="1">
      <c r="A30" s="70" t="str">
        <f t="shared" si="1"/>
        <v>TC_Create_content_19</v>
      </c>
      <c r="B30" s="72" t="s">
        <v>325</v>
      </c>
      <c r="C30" s="73"/>
      <c r="D30" s="72"/>
      <c r="E30" s="78"/>
      <c r="F30" s="76" t="s">
        <v>56</v>
      </c>
      <c r="G30" s="76" t="s">
        <v>214</v>
      </c>
      <c r="H30" s="78"/>
      <c r="I30" s="77"/>
      <c r="J30" s="84"/>
      <c r="K30" s="80"/>
      <c r="L30" s="82" t="s">
        <v>12</v>
      </c>
      <c r="M30" s="84"/>
      <c r="N30" s="86"/>
      <c r="O30" s="86"/>
      <c r="P30" s="86"/>
      <c r="Q30" s="86"/>
      <c r="R30" s="86"/>
      <c r="S30" s="86"/>
      <c r="T30" s="86"/>
    </row>
    <row r="31" ht="150.0" customHeight="1" outlineLevel="1">
      <c r="A31" s="70" t="str">
        <f t="shared" si="1"/>
        <v>TC_Create_content_20</v>
      </c>
      <c r="B31" s="72" t="s">
        <v>328</v>
      </c>
      <c r="C31" s="73"/>
      <c r="D31" s="72"/>
      <c r="E31" s="78"/>
      <c r="F31" s="76" t="s">
        <v>56</v>
      </c>
      <c r="G31" s="76" t="s">
        <v>214</v>
      </c>
      <c r="H31" s="78"/>
      <c r="I31" s="77"/>
      <c r="J31" s="84"/>
      <c r="K31" s="80"/>
      <c r="L31" s="82" t="s">
        <v>12</v>
      </c>
      <c r="M31" s="84"/>
      <c r="N31" s="86"/>
      <c r="O31" s="86"/>
      <c r="P31" s="86"/>
      <c r="Q31" s="86"/>
      <c r="R31" s="86"/>
      <c r="S31" s="86"/>
      <c r="T31" s="86"/>
    </row>
    <row r="32" ht="181.5" customHeight="1" outlineLevel="1">
      <c r="A32" s="70" t="str">
        <f t="shared" si="1"/>
        <v>TC_Create_content_21</v>
      </c>
      <c r="B32" s="72" t="s">
        <v>333</v>
      </c>
      <c r="C32" s="73"/>
      <c r="D32" s="72"/>
      <c r="E32" s="78"/>
      <c r="F32" s="76" t="s">
        <v>56</v>
      </c>
      <c r="G32" s="76" t="s">
        <v>101</v>
      </c>
      <c r="H32" s="78"/>
      <c r="I32" s="77"/>
      <c r="J32" s="84"/>
      <c r="K32" s="80"/>
      <c r="L32" s="82" t="s">
        <v>12</v>
      </c>
      <c r="M32" s="84"/>
      <c r="N32" s="86"/>
      <c r="O32" s="86"/>
      <c r="P32" s="86"/>
      <c r="Q32" s="86"/>
      <c r="R32" s="86"/>
      <c r="S32" s="86"/>
      <c r="T32" s="86"/>
    </row>
    <row r="33" ht="195.75" customHeight="1" outlineLevel="1">
      <c r="A33" s="70" t="str">
        <f t="shared" si="1"/>
        <v>TC_Create_content_22</v>
      </c>
      <c r="B33" s="72" t="s">
        <v>337</v>
      </c>
      <c r="C33" s="73"/>
      <c r="D33" s="72"/>
      <c r="E33" s="78"/>
      <c r="F33" s="76" t="s">
        <v>56</v>
      </c>
      <c r="G33" s="76" t="s">
        <v>101</v>
      </c>
      <c r="H33" s="78"/>
      <c r="I33" s="77"/>
      <c r="J33" s="84"/>
      <c r="K33" s="80"/>
      <c r="L33" s="82" t="s">
        <v>12</v>
      </c>
      <c r="M33" s="84"/>
      <c r="N33" s="86"/>
      <c r="O33" s="86"/>
      <c r="P33" s="86"/>
      <c r="Q33" s="86"/>
      <c r="R33" s="86"/>
      <c r="S33" s="86"/>
      <c r="T33" s="86"/>
    </row>
    <row r="34" ht="196.5" customHeight="1" outlineLevel="1">
      <c r="A34" s="70" t="str">
        <f t="shared" si="1"/>
        <v>TC_Create_content_23</v>
      </c>
      <c r="B34" s="72" t="s">
        <v>341</v>
      </c>
      <c r="C34" s="73"/>
      <c r="D34" s="72"/>
      <c r="E34" s="78"/>
      <c r="F34" s="76" t="s">
        <v>56</v>
      </c>
      <c r="G34" s="76" t="s">
        <v>57</v>
      </c>
      <c r="H34" s="78"/>
      <c r="I34" s="77"/>
      <c r="J34" s="84"/>
      <c r="K34" s="80"/>
      <c r="L34" s="82" t="s">
        <v>12</v>
      </c>
      <c r="M34" s="84"/>
      <c r="N34" s="86"/>
      <c r="O34" s="86"/>
      <c r="P34" s="86"/>
      <c r="Q34" s="86"/>
      <c r="R34" s="86"/>
      <c r="S34" s="86"/>
      <c r="T34" s="86"/>
    </row>
    <row r="35" ht="162.75" customHeight="1" outlineLevel="1">
      <c r="A35" s="70" t="str">
        <f t="shared" si="1"/>
        <v>TC_Create_content_24</v>
      </c>
      <c r="B35" s="72" t="s">
        <v>346</v>
      </c>
      <c r="C35" s="73"/>
      <c r="D35" s="72"/>
      <c r="E35" s="78"/>
      <c r="F35" s="76" t="s">
        <v>56</v>
      </c>
      <c r="G35" s="76" t="s">
        <v>57</v>
      </c>
      <c r="H35" s="78"/>
      <c r="I35" s="77"/>
      <c r="J35" s="84"/>
      <c r="K35" s="80"/>
      <c r="L35" s="82" t="s">
        <v>12</v>
      </c>
      <c r="M35" s="84"/>
      <c r="N35" s="86"/>
      <c r="O35" s="86"/>
      <c r="P35" s="86"/>
      <c r="Q35" s="86"/>
      <c r="R35" s="86"/>
      <c r="S35" s="86"/>
      <c r="T35" s="86"/>
    </row>
    <row r="36" ht="165.0" customHeight="1" outlineLevel="1">
      <c r="A36" s="70" t="str">
        <f t="shared" si="1"/>
        <v>TC_Create_content_25</v>
      </c>
      <c r="B36" s="72" t="s">
        <v>349</v>
      </c>
      <c r="C36" s="73"/>
      <c r="D36" s="72"/>
      <c r="E36" s="78"/>
      <c r="F36" s="76" t="s">
        <v>56</v>
      </c>
      <c r="G36" s="76" t="s">
        <v>57</v>
      </c>
      <c r="H36" s="78"/>
      <c r="I36" s="77"/>
      <c r="J36" s="84"/>
      <c r="K36" s="80"/>
      <c r="L36" s="82" t="s">
        <v>12</v>
      </c>
      <c r="M36" s="84"/>
      <c r="N36" s="86"/>
      <c r="O36" s="86"/>
      <c r="P36" s="86"/>
      <c r="Q36" s="86"/>
      <c r="R36" s="86"/>
      <c r="S36" s="86"/>
      <c r="T36" s="86"/>
    </row>
    <row r="37" ht="165.0" customHeight="1" outlineLevel="1">
      <c r="A37" s="70" t="str">
        <f t="shared" si="1"/>
        <v>TC_Create_content_26</v>
      </c>
      <c r="B37" s="72" t="s">
        <v>352</v>
      </c>
      <c r="C37" s="73"/>
      <c r="D37" s="72"/>
      <c r="E37" s="78"/>
      <c r="F37" s="76" t="s">
        <v>56</v>
      </c>
      <c r="G37" s="76" t="s">
        <v>57</v>
      </c>
      <c r="H37" s="78"/>
      <c r="I37" s="77"/>
      <c r="J37" s="84"/>
      <c r="K37" s="80"/>
      <c r="L37" s="82" t="s">
        <v>12</v>
      </c>
      <c r="M37" s="84"/>
      <c r="N37" s="86"/>
      <c r="O37" s="86"/>
      <c r="P37" s="86"/>
      <c r="Q37" s="86"/>
      <c r="R37" s="86"/>
      <c r="S37" s="86"/>
      <c r="T37" s="86"/>
    </row>
    <row r="38" ht="165.0" customHeight="1" outlineLevel="1">
      <c r="A38" s="70" t="str">
        <f t="shared" si="1"/>
        <v>TC_Create_content_27</v>
      </c>
      <c r="B38" s="72" t="s">
        <v>355</v>
      </c>
      <c r="C38" s="73"/>
      <c r="D38" s="72"/>
      <c r="E38" s="78"/>
      <c r="F38" s="76" t="s">
        <v>56</v>
      </c>
      <c r="G38" s="76" t="s">
        <v>57</v>
      </c>
      <c r="H38" s="78"/>
      <c r="I38" s="77"/>
      <c r="J38" s="84"/>
      <c r="K38" s="80"/>
      <c r="L38" s="82" t="s">
        <v>12</v>
      </c>
      <c r="M38" s="84"/>
      <c r="N38" s="86"/>
      <c r="O38" s="86"/>
      <c r="P38" s="86"/>
      <c r="Q38" s="86"/>
      <c r="R38" s="86"/>
      <c r="S38" s="86"/>
      <c r="T38" s="86"/>
    </row>
    <row r="39" ht="123.75" customHeight="1" outlineLevel="1">
      <c r="A39" s="70" t="str">
        <f t="shared" si="1"/>
        <v>TC_Create_content_28</v>
      </c>
      <c r="B39" s="72" t="s">
        <v>361</v>
      </c>
      <c r="C39" s="73"/>
      <c r="D39" s="72"/>
      <c r="E39" s="92"/>
      <c r="F39" s="76" t="s">
        <v>109</v>
      </c>
      <c r="G39" s="76" t="s">
        <v>57</v>
      </c>
      <c r="H39" s="78"/>
      <c r="I39" s="77"/>
      <c r="J39" s="84"/>
      <c r="K39" s="80"/>
      <c r="L39" s="82" t="s">
        <v>12</v>
      </c>
      <c r="M39" s="84"/>
      <c r="N39" s="86"/>
      <c r="O39" s="86"/>
      <c r="P39" s="86"/>
      <c r="Q39" s="86"/>
      <c r="R39" s="86"/>
      <c r="S39" s="86"/>
      <c r="T39" s="86"/>
    </row>
    <row r="40" ht="123.75" customHeight="1" outlineLevel="1">
      <c r="A40" s="70" t="str">
        <f t="shared" si="1"/>
        <v>TC_Create_content_29</v>
      </c>
      <c r="B40" s="72" t="s">
        <v>366</v>
      </c>
      <c r="C40" s="73"/>
      <c r="D40" s="72"/>
      <c r="E40" s="92"/>
      <c r="F40" s="76" t="s">
        <v>109</v>
      </c>
      <c r="G40" s="76" t="s">
        <v>57</v>
      </c>
      <c r="H40" s="78"/>
      <c r="I40" s="77"/>
      <c r="J40" s="84"/>
      <c r="K40" s="80"/>
      <c r="L40" s="82" t="s">
        <v>12</v>
      </c>
      <c r="M40" s="84"/>
      <c r="N40" s="86"/>
      <c r="O40" s="86"/>
      <c r="P40" s="86"/>
      <c r="Q40" s="86"/>
      <c r="R40" s="86"/>
      <c r="S40" s="86"/>
      <c r="T40" s="86"/>
    </row>
    <row r="41" ht="123.75" customHeight="1" outlineLevel="1">
      <c r="A41" s="70" t="str">
        <f t="shared" si="1"/>
        <v>TC_Create_content_30</v>
      </c>
      <c r="B41" s="72" t="s">
        <v>370</v>
      </c>
      <c r="C41" s="73"/>
      <c r="D41" s="72"/>
      <c r="E41" s="78"/>
      <c r="F41" s="76" t="s">
        <v>56</v>
      </c>
      <c r="G41" s="76" t="s">
        <v>57</v>
      </c>
      <c r="H41" s="78"/>
      <c r="I41" s="77"/>
      <c r="J41" s="84"/>
      <c r="K41" s="80"/>
      <c r="L41" s="82" t="s">
        <v>12</v>
      </c>
      <c r="M41" s="84"/>
      <c r="N41" s="86"/>
      <c r="O41" s="86"/>
      <c r="P41" s="86"/>
      <c r="Q41" s="86"/>
      <c r="R41" s="86"/>
      <c r="S41" s="86"/>
      <c r="T41" s="86"/>
    </row>
    <row r="42" ht="195.75" customHeight="1" outlineLevel="1">
      <c r="A42" s="70" t="str">
        <f t="shared" si="1"/>
        <v>TC_Create_content_31</v>
      </c>
      <c r="B42" s="72" t="s">
        <v>374</v>
      </c>
      <c r="C42" s="73"/>
      <c r="D42" s="72">
        <v>1.0</v>
      </c>
      <c r="E42" s="92" t="s">
        <v>375</v>
      </c>
      <c r="F42" s="76" t="s">
        <v>56</v>
      </c>
      <c r="G42" s="76" t="s">
        <v>101</v>
      </c>
      <c r="H42" s="78"/>
      <c r="I42" s="77"/>
      <c r="J42" s="84"/>
      <c r="K42" s="80"/>
      <c r="L42" s="82" t="s">
        <v>12</v>
      </c>
      <c r="M42" s="84"/>
      <c r="N42" s="86"/>
      <c r="O42" s="86"/>
      <c r="P42" s="86"/>
      <c r="Q42" s="86"/>
      <c r="R42" s="86"/>
      <c r="S42" s="86"/>
      <c r="T42" s="86"/>
    </row>
    <row r="43" ht="123.75" customHeight="1" outlineLevel="1">
      <c r="A43" s="70" t="str">
        <f t="shared" si="1"/>
        <v>TC_Create_content_32</v>
      </c>
      <c r="B43" s="72" t="s">
        <v>379</v>
      </c>
      <c r="C43" s="73"/>
      <c r="D43" s="72"/>
      <c r="E43" s="92" t="s">
        <v>380</v>
      </c>
      <c r="F43" s="76"/>
      <c r="G43" s="76"/>
      <c r="H43" s="78"/>
      <c r="I43" s="77"/>
      <c r="J43" s="84"/>
      <c r="K43" s="80"/>
      <c r="L43" s="82" t="s">
        <v>12</v>
      </c>
      <c r="M43" s="84"/>
      <c r="N43" s="86"/>
      <c r="O43" s="86"/>
      <c r="P43" s="86"/>
      <c r="Q43" s="86"/>
      <c r="R43" s="86"/>
      <c r="S43" s="86"/>
      <c r="T43" s="86"/>
    </row>
    <row r="44" ht="123.75" customHeight="1" outlineLevel="1">
      <c r="A44" s="70" t="str">
        <f t="shared" si="1"/>
        <v>TC_Create_content_33</v>
      </c>
      <c r="B44" s="72" t="s">
        <v>383</v>
      </c>
      <c r="C44" s="73"/>
      <c r="D44" s="72"/>
      <c r="E44" s="92" t="s">
        <v>384</v>
      </c>
      <c r="F44" s="76" t="s">
        <v>56</v>
      </c>
      <c r="G44" s="76" t="s">
        <v>214</v>
      </c>
      <c r="H44" s="78"/>
      <c r="I44" s="77"/>
      <c r="J44" s="84"/>
      <c r="K44" s="80"/>
      <c r="L44" s="82" t="s">
        <v>12</v>
      </c>
      <c r="M44" s="84"/>
      <c r="N44" s="86"/>
      <c r="O44" s="86"/>
      <c r="P44" s="86"/>
      <c r="Q44" s="86"/>
      <c r="R44" s="86"/>
      <c r="S44" s="86"/>
      <c r="T44" s="86"/>
    </row>
    <row r="45" ht="123.75" customHeight="1" outlineLevel="1">
      <c r="A45" s="70" t="str">
        <f t="shared" si="1"/>
        <v>TC_Create_content_34</v>
      </c>
      <c r="B45" s="72" t="s">
        <v>388</v>
      </c>
      <c r="C45" s="73"/>
      <c r="D45" s="72"/>
      <c r="E45" s="92" t="s">
        <v>390</v>
      </c>
      <c r="F45" s="76" t="s">
        <v>56</v>
      </c>
      <c r="G45" s="76" t="s">
        <v>214</v>
      </c>
      <c r="H45" s="78"/>
      <c r="I45" s="77"/>
      <c r="J45" s="84"/>
      <c r="K45" s="80"/>
      <c r="L45" s="82" t="s">
        <v>12</v>
      </c>
      <c r="M45" s="84"/>
      <c r="N45" s="86"/>
      <c r="O45" s="86"/>
      <c r="P45" s="86"/>
      <c r="Q45" s="86"/>
      <c r="R45" s="86"/>
      <c r="S45" s="86"/>
      <c r="T45" s="86"/>
    </row>
    <row r="46" ht="123.75" customHeight="1" outlineLevel="1">
      <c r="A46" s="70" t="str">
        <f t="shared" si="1"/>
        <v>TC_Create_content_35</v>
      </c>
      <c r="B46" s="72" t="s">
        <v>395</v>
      </c>
      <c r="C46" s="73"/>
      <c r="D46" s="72"/>
      <c r="E46" s="92" t="s">
        <v>397</v>
      </c>
      <c r="F46" s="76" t="s">
        <v>56</v>
      </c>
      <c r="G46" s="76" t="s">
        <v>214</v>
      </c>
      <c r="H46" s="78"/>
      <c r="I46" s="77"/>
      <c r="J46" s="84"/>
      <c r="K46" s="80"/>
      <c r="L46" s="82" t="s">
        <v>12</v>
      </c>
      <c r="M46" s="84"/>
      <c r="N46" s="86"/>
      <c r="O46" s="86"/>
      <c r="P46" s="86"/>
      <c r="Q46" s="86"/>
      <c r="R46" s="86"/>
      <c r="S46" s="86"/>
      <c r="T46" s="86"/>
    </row>
    <row r="47" ht="123.75" customHeight="1" outlineLevel="1">
      <c r="A47" s="70" t="str">
        <f t="shared" si="1"/>
        <v>TC_Create_content_36</v>
      </c>
      <c r="B47" s="72" t="s">
        <v>401</v>
      </c>
      <c r="C47" s="73"/>
      <c r="D47" s="72"/>
      <c r="E47" s="92" t="s">
        <v>402</v>
      </c>
      <c r="F47" s="76" t="s">
        <v>56</v>
      </c>
      <c r="G47" s="76" t="s">
        <v>57</v>
      </c>
      <c r="H47" s="78"/>
      <c r="I47" s="77"/>
      <c r="J47" s="84"/>
      <c r="K47" s="80"/>
      <c r="L47" s="82" t="s">
        <v>12</v>
      </c>
      <c r="M47" s="84"/>
      <c r="N47" s="86"/>
      <c r="O47" s="86"/>
      <c r="P47" s="86"/>
      <c r="Q47" s="86"/>
      <c r="R47" s="86"/>
      <c r="S47" s="86"/>
      <c r="T47" s="86"/>
    </row>
    <row r="48" ht="123.75" customHeight="1" outlineLevel="1">
      <c r="A48" s="70" t="str">
        <f t="shared" si="1"/>
        <v>TC_Create_content_37</v>
      </c>
      <c r="B48" s="72" t="s">
        <v>406</v>
      </c>
      <c r="C48" s="73"/>
      <c r="D48" s="72"/>
      <c r="E48" s="92" t="s">
        <v>402</v>
      </c>
      <c r="F48" s="76" t="s">
        <v>56</v>
      </c>
      <c r="G48" s="76" t="s">
        <v>57</v>
      </c>
      <c r="H48" s="78"/>
      <c r="I48" s="77"/>
      <c r="J48" s="84"/>
      <c r="K48" s="80"/>
      <c r="L48" s="82" t="s">
        <v>12</v>
      </c>
      <c r="M48" s="84"/>
      <c r="N48" s="86"/>
      <c r="O48" s="86"/>
      <c r="P48" s="86"/>
      <c r="Q48" s="86"/>
      <c r="R48" s="86"/>
      <c r="S48" s="86"/>
      <c r="T48" s="86"/>
    </row>
    <row r="49" ht="123.75" customHeight="1" outlineLevel="1">
      <c r="A49" s="70" t="str">
        <f t="shared" si="1"/>
        <v>TC_Create_content_38</v>
      </c>
      <c r="B49" s="72" t="s">
        <v>411</v>
      </c>
      <c r="C49" s="73"/>
      <c r="D49" s="72"/>
      <c r="E49" s="78"/>
      <c r="F49" s="76" t="s">
        <v>56</v>
      </c>
      <c r="G49" s="76" t="s">
        <v>57</v>
      </c>
      <c r="H49" s="78"/>
      <c r="I49" s="77"/>
      <c r="J49" s="84"/>
      <c r="K49" s="80"/>
      <c r="L49" s="82" t="s">
        <v>12</v>
      </c>
      <c r="M49" s="84"/>
      <c r="N49" s="86"/>
      <c r="O49" s="86"/>
      <c r="P49" s="86"/>
      <c r="Q49" s="86"/>
      <c r="R49" s="86"/>
      <c r="S49" s="86"/>
      <c r="T49" s="86"/>
    </row>
    <row r="50" ht="123.75" customHeight="1" outlineLevel="1">
      <c r="A50" s="70" t="str">
        <f t="shared" si="1"/>
        <v>TC_Create_content_39</v>
      </c>
      <c r="B50" s="72" t="s">
        <v>414</v>
      </c>
      <c r="C50" s="73"/>
      <c r="D50" s="72"/>
      <c r="E50" s="78"/>
      <c r="F50" s="76" t="s">
        <v>56</v>
      </c>
      <c r="G50" s="76" t="s">
        <v>57</v>
      </c>
      <c r="H50" s="78"/>
      <c r="I50" s="77"/>
      <c r="J50" s="84"/>
      <c r="K50" s="80"/>
      <c r="L50" s="82" t="s">
        <v>12</v>
      </c>
      <c r="M50" s="84"/>
      <c r="N50" s="86"/>
      <c r="O50" s="86"/>
      <c r="P50" s="86"/>
      <c r="Q50" s="86"/>
      <c r="R50" s="86"/>
      <c r="S50" s="86"/>
      <c r="T50" s="86"/>
    </row>
    <row r="51" ht="123.75" customHeight="1" outlineLevel="1">
      <c r="A51" s="70" t="str">
        <f t="shared" si="1"/>
        <v>TC_Create_content_40</v>
      </c>
      <c r="B51" s="72" t="s">
        <v>417</v>
      </c>
      <c r="C51" s="73"/>
      <c r="D51" s="72"/>
      <c r="E51" s="78"/>
      <c r="F51" s="76" t="s">
        <v>109</v>
      </c>
      <c r="G51" s="76" t="s">
        <v>214</v>
      </c>
      <c r="H51" s="78"/>
      <c r="I51" s="77"/>
      <c r="J51" s="84"/>
      <c r="K51" s="80"/>
      <c r="L51" s="82" t="s">
        <v>12</v>
      </c>
      <c r="M51" s="84"/>
      <c r="N51" s="86"/>
      <c r="O51" s="86"/>
      <c r="P51" s="86"/>
      <c r="Q51" s="86"/>
      <c r="R51" s="86"/>
      <c r="S51" s="86"/>
      <c r="T51" s="86"/>
    </row>
    <row r="52" ht="123.75" customHeight="1" outlineLevel="1">
      <c r="A52" s="70" t="str">
        <f t="shared" si="1"/>
        <v>TC_Create_content_41</v>
      </c>
      <c r="B52" s="72" t="s">
        <v>422</v>
      </c>
      <c r="C52" s="73"/>
      <c r="D52" s="72"/>
      <c r="E52" s="78"/>
      <c r="F52" s="76" t="s">
        <v>109</v>
      </c>
      <c r="G52" s="76" t="s">
        <v>214</v>
      </c>
      <c r="H52" s="78"/>
      <c r="I52" s="77"/>
      <c r="J52" s="84"/>
      <c r="K52" s="80"/>
      <c r="L52" s="82" t="s">
        <v>12</v>
      </c>
      <c r="M52" s="84"/>
      <c r="N52" s="86"/>
      <c r="O52" s="86"/>
      <c r="P52" s="86"/>
      <c r="Q52" s="86"/>
      <c r="R52" s="86"/>
      <c r="S52" s="86"/>
      <c r="T52" s="86"/>
    </row>
    <row r="53" ht="123.75" customHeight="1" outlineLevel="1">
      <c r="A53" s="70" t="str">
        <f t="shared" si="1"/>
        <v>TC_Create_content_42</v>
      </c>
      <c r="B53" s="72" t="s">
        <v>427</v>
      </c>
      <c r="C53" s="73"/>
      <c r="D53" s="72"/>
      <c r="E53" s="74" t="s">
        <v>428</v>
      </c>
      <c r="F53" s="76" t="s">
        <v>109</v>
      </c>
      <c r="G53" s="76" t="s">
        <v>101</v>
      </c>
      <c r="H53" s="78"/>
      <c r="I53" s="77"/>
      <c r="J53" s="84"/>
      <c r="K53" s="80"/>
      <c r="L53" s="82" t="s">
        <v>12</v>
      </c>
      <c r="M53" s="84"/>
      <c r="N53" s="86"/>
      <c r="O53" s="86"/>
      <c r="P53" s="86"/>
      <c r="Q53" s="86"/>
      <c r="R53" s="86"/>
      <c r="S53" s="86"/>
      <c r="T53" s="86"/>
    </row>
    <row r="54" ht="123.75" customHeight="1" outlineLevel="1">
      <c r="A54" s="70" t="str">
        <f t="shared" si="1"/>
        <v>TC_Create_content_43</v>
      </c>
      <c r="B54" s="72" t="s">
        <v>432</v>
      </c>
      <c r="C54" s="73"/>
      <c r="D54" s="72"/>
      <c r="E54" s="74" t="s">
        <v>433</v>
      </c>
      <c r="F54" s="76" t="s">
        <v>109</v>
      </c>
      <c r="G54" s="76" t="s">
        <v>101</v>
      </c>
      <c r="H54" s="78"/>
      <c r="I54" s="77"/>
      <c r="J54" s="84"/>
      <c r="K54" s="80"/>
      <c r="L54" s="82" t="s">
        <v>12</v>
      </c>
      <c r="M54" s="84"/>
      <c r="N54" s="86"/>
      <c r="O54" s="86"/>
      <c r="P54" s="86"/>
      <c r="Q54" s="86"/>
      <c r="R54" s="86"/>
      <c r="S54" s="86"/>
      <c r="T54" s="86"/>
    </row>
    <row r="55" ht="123.75" customHeight="1" outlineLevel="1">
      <c r="A55" s="70" t="str">
        <f t="shared" si="1"/>
        <v>TC_Create_content_44</v>
      </c>
      <c r="B55" s="72" t="s">
        <v>437</v>
      </c>
      <c r="C55" s="73"/>
      <c r="D55" s="72"/>
      <c r="E55" s="74" t="s">
        <v>293</v>
      </c>
      <c r="F55" s="76" t="s">
        <v>109</v>
      </c>
      <c r="G55" s="76" t="s">
        <v>101</v>
      </c>
      <c r="H55" s="78"/>
      <c r="I55" s="77"/>
      <c r="J55" s="84"/>
      <c r="K55" s="80"/>
      <c r="L55" s="82" t="s">
        <v>12</v>
      </c>
      <c r="M55" s="84"/>
      <c r="N55" s="86"/>
      <c r="O55" s="86"/>
      <c r="P55" s="86"/>
      <c r="Q55" s="86"/>
      <c r="R55" s="86"/>
      <c r="S55" s="86"/>
      <c r="T55" s="86"/>
    </row>
    <row r="56" ht="123.75" customHeight="1" outlineLevel="1">
      <c r="A56" s="70" t="str">
        <f t="shared" si="1"/>
        <v>TC_Create_content_45</v>
      </c>
      <c r="B56" s="122" t="s">
        <v>441</v>
      </c>
      <c r="C56" s="73"/>
      <c r="D56" s="123" t="s">
        <v>444</v>
      </c>
      <c r="E56" s="78"/>
      <c r="F56" s="76" t="s">
        <v>109</v>
      </c>
      <c r="G56" s="76" t="s">
        <v>101</v>
      </c>
      <c r="H56" s="78"/>
      <c r="I56" s="77"/>
      <c r="J56" s="84"/>
      <c r="K56" s="80"/>
      <c r="L56" s="82" t="s">
        <v>12</v>
      </c>
      <c r="M56" s="84"/>
      <c r="N56" s="86"/>
      <c r="O56" s="86"/>
      <c r="P56" s="86"/>
      <c r="Q56" s="86"/>
      <c r="R56" s="86"/>
      <c r="S56" s="86"/>
      <c r="T56" s="86"/>
    </row>
    <row r="57" ht="123.75" customHeight="1" outlineLevel="1">
      <c r="A57" s="70" t="str">
        <f t="shared" si="1"/>
        <v>TC_Create_content_46</v>
      </c>
      <c r="B57" s="122" t="s">
        <v>449</v>
      </c>
      <c r="C57" s="73"/>
      <c r="D57" s="46"/>
      <c r="E57" s="78"/>
      <c r="F57" s="76" t="s">
        <v>109</v>
      </c>
      <c r="G57" s="76" t="s">
        <v>101</v>
      </c>
      <c r="H57" s="78"/>
      <c r="I57" s="77"/>
      <c r="J57" s="84"/>
      <c r="K57" s="80"/>
      <c r="L57" s="82" t="s">
        <v>12</v>
      </c>
      <c r="M57" s="84"/>
      <c r="N57" s="86"/>
      <c r="O57" s="86"/>
      <c r="P57" s="86"/>
      <c r="Q57" s="86"/>
      <c r="R57" s="86"/>
      <c r="S57" s="86"/>
      <c r="T57" s="86"/>
    </row>
    <row r="58" ht="123.75" customHeight="1" outlineLevel="1">
      <c r="A58" s="70" t="str">
        <f t="shared" si="1"/>
        <v>TC_Create_content_47</v>
      </c>
      <c r="B58" s="122" t="s">
        <v>452</v>
      </c>
      <c r="C58" s="73"/>
      <c r="D58" s="38"/>
      <c r="E58" s="78"/>
      <c r="F58" s="76" t="s">
        <v>109</v>
      </c>
      <c r="G58" s="76" t="s">
        <v>101</v>
      </c>
      <c r="H58" s="78"/>
      <c r="I58" s="77"/>
      <c r="J58" s="84"/>
      <c r="K58" s="80"/>
      <c r="L58" s="82" t="s">
        <v>12</v>
      </c>
      <c r="M58" s="84"/>
      <c r="N58" s="86"/>
      <c r="O58" s="86"/>
      <c r="P58" s="86"/>
      <c r="Q58" s="86"/>
      <c r="R58" s="86"/>
      <c r="S58" s="86"/>
      <c r="T58" s="86"/>
    </row>
    <row r="59" ht="15.75" customHeight="1">
      <c r="I59" s="117"/>
      <c r="K59" s="117"/>
      <c r="L59" s="118"/>
    </row>
    <row r="60" ht="15.75" customHeight="1">
      <c r="I60" s="117"/>
      <c r="K60" s="117"/>
      <c r="L60" s="118"/>
    </row>
    <row r="61" ht="15.75" customHeight="1">
      <c r="I61" s="117"/>
      <c r="K61" s="117"/>
      <c r="L61" s="118"/>
    </row>
    <row r="62" ht="15.75" customHeight="1">
      <c r="I62" s="117"/>
      <c r="K62" s="117"/>
      <c r="L62" s="118"/>
    </row>
    <row r="63" ht="15.75" customHeight="1">
      <c r="I63" s="117"/>
      <c r="K63" s="117"/>
      <c r="L63" s="118"/>
    </row>
    <row r="64" ht="15.75" customHeight="1">
      <c r="I64" s="117"/>
      <c r="K64" s="117"/>
      <c r="L64" s="118"/>
    </row>
    <row r="65" ht="15.75" customHeight="1">
      <c r="I65" s="117"/>
      <c r="K65" s="117"/>
      <c r="L65" s="118"/>
    </row>
    <row r="66" ht="15.75" customHeight="1">
      <c r="I66" s="117"/>
      <c r="K66" s="117"/>
      <c r="L66" s="118"/>
    </row>
    <row r="67" ht="15.75" customHeight="1">
      <c r="I67" s="117"/>
      <c r="K67" s="117"/>
      <c r="L67" s="118"/>
    </row>
    <row r="68" ht="15.75" customHeight="1">
      <c r="I68" s="117"/>
      <c r="K68" s="117"/>
      <c r="L68" s="118"/>
    </row>
    <row r="69" ht="15.75" customHeight="1">
      <c r="I69" s="117"/>
      <c r="K69" s="117"/>
      <c r="L69" s="118"/>
    </row>
    <row r="70" ht="15.75" customHeight="1">
      <c r="I70" s="117"/>
      <c r="K70" s="117"/>
      <c r="L70" s="118"/>
    </row>
    <row r="71" ht="15.75" customHeight="1">
      <c r="I71" s="117"/>
      <c r="K71" s="117"/>
      <c r="L71" s="118"/>
    </row>
    <row r="72" ht="15.75" customHeight="1">
      <c r="I72" s="117"/>
      <c r="K72" s="117"/>
      <c r="L72" s="118"/>
    </row>
    <row r="73" ht="15.75" customHeight="1">
      <c r="I73" s="117"/>
      <c r="K73" s="117"/>
      <c r="L73" s="118"/>
    </row>
    <row r="74" ht="15.75" customHeight="1">
      <c r="I74" s="117"/>
      <c r="K74" s="117"/>
      <c r="L74" s="118"/>
    </row>
    <row r="75" ht="15.75" customHeight="1">
      <c r="I75" s="117"/>
      <c r="K75" s="117"/>
      <c r="L75" s="118"/>
    </row>
    <row r="76" ht="15.75" customHeight="1">
      <c r="I76" s="117"/>
      <c r="K76" s="117"/>
      <c r="L76" s="118"/>
    </row>
    <row r="77" ht="15.75" customHeight="1">
      <c r="I77" s="117"/>
      <c r="K77" s="117"/>
      <c r="L77" s="118"/>
    </row>
    <row r="78" ht="15.75" customHeight="1">
      <c r="I78" s="117"/>
      <c r="K78" s="117"/>
      <c r="L78" s="118"/>
    </row>
    <row r="79" ht="15.75" customHeight="1">
      <c r="I79" s="117"/>
      <c r="K79" s="117"/>
      <c r="L79" s="118"/>
    </row>
    <row r="80" ht="15.75" customHeight="1">
      <c r="I80" s="117"/>
      <c r="K80" s="117"/>
      <c r="L80" s="118"/>
    </row>
    <row r="81" ht="15.75" customHeight="1">
      <c r="I81" s="117"/>
      <c r="K81" s="117"/>
      <c r="L81" s="118"/>
    </row>
    <row r="82" ht="15.75" customHeight="1">
      <c r="I82" s="117"/>
      <c r="K82" s="117"/>
      <c r="L82" s="118"/>
    </row>
    <row r="83" ht="15.75" customHeight="1">
      <c r="I83" s="117"/>
      <c r="K83" s="117"/>
      <c r="L83" s="118"/>
    </row>
    <row r="84" ht="15.75" customHeight="1">
      <c r="E84" s="124" t="s">
        <v>462</v>
      </c>
      <c r="F84" s="125">
        <f>COUNTIF(L12:L59,"Pass")</f>
        <v>0</v>
      </c>
      <c r="G84" s="126">
        <f>(F84/F90)*100</f>
        <v>0</v>
      </c>
      <c r="H84" s="127" t="s">
        <v>465</v>
      </c>
      <c r="I84" s="117"/>
      <c r="K84" s="117"/>
      <c r="L84" s="118"/>
    </row>
    <row r="85" ht="15.75" customHeight="1">
      <c r="E85" s="124" t="s">
        <v>467</v>
      </c>
      <c r="F85" s="125">
        <f>COUNTIF(L12:L59,"Pass")</f>
        <v>0</v>
      </c>
      <c r="G85" s="126">
        <f>(F85/F90)*100</f>
        <v>0</v>
      </c>
      <c r="H85" s="127" t="s">
        <v>465</v>
      </c>
      <c r="I85" s="117"/>
      <c r="K85" s="117"/>
      <c r="L85" s="118"/>
    </row>
    <row r="86" ht="15.75" customHeight="1">
      <c r="E86" s="124" t="s">
        <v>12</v>
      </c>
      <c r="F86" s="125">
        <f>COUNTIF(L12:L59,"Not Start")</f>
        <v>47</v>
      </c>
      <c r="G86" s="126">
        <f>(F86/F90)*100</f>
        <v>100</v>
      </c>
      <c r="H86" s="127" t="s">
        <v>465</v>
      </c>
      <c r="I86" s="117"/>
      <c r="K86" s="117"/>
      <c r="L86" s="118"/>
    </row>
    <row r="87" ht="15.75" customHeight="1">
      <c r="E87" s="124" t="s">
        <v>474</v>
      </c>
      <c r="F87" s="125">
        <f>COUNTIF(L12:L59,"Pending")</f>
        <v>0</v>
      </c>
      <c r="G87" s="126">
        <f>(F87/F90)*100</f>
        <v>0</v>
      </c>
      <c r="H87" s="127" t="s">
        <v>465</v>
      </c>
      <c r="I87" s="117"/>
      <c r="K87" s="117"/>
      <c r="L87" s="118"/>
    </row>
    <row r="88" ht="15.75" customHeight="1">
      <c r="E88" s="124" t="s">
        <v>44</v>
      </c>
      <c r="F88" s="125">
        <f>COUNTIF(#REF!,"Deferred")</f>
        <v>0</v>
      </c>
      <c r="G88" s="126">
        <f>(F88/F90)*100</f>
        <v>0</v>
      </c>
      <c r="H88" s="127" t="s">
        <v>465</v>
      </c>
      <c r="I88" s="117"/>
      <c r="K88" s="117"/>
      <c r="L88" s="118"/>
    </row>
    <row r="89" ht="15.75" customHeight="1">
      <c r="E89" s="124" t="s">
        <v>479</v>
      </c>
      <c r="F89" s="125">
        <f>COUNTIF(L12:L59,"Not Applicable")</f>
        <v>0</v>
      </c>
      <c r="G89" s="126">
        <f>(F89/F90)*100</f>
        <v>0</v>
      </c>
      <c r="H89" s="127" t="s">
        <v>465</v>
      </c>
      <c r="I89" s="117"/>
      <c r="K89" s="117"/>
      <c r="L89" s="118"/>
    </row>
    <row r="90" ht="15.75" customHeight="1">
      <c r="E90" s="128" t="s">
        <v>49</v>
      </c>
      <c r="F90" s="129">
        <f t="shared" ref="F90:G90" si="2">SUM(F84:F89)</f>
        <v>47</v>
      </c>
      <c r="G90" s="130">
        <f t="shared" si="2"/>
        <v>100</v>
      </c>
      <c r="H90" s="131" t="s">
        <v>465</v>
      </c>
      <c r="I90" s="117"/>
      <c r="K90" s="117"/>
      <c r="L90" s="118"/>
    </row>
    <row r="91" ht="15.75" customHeight="1">
      <c r="E91" s="132" t="s">
        <v>484</v>
      </c>
      <c r="F91" s="133"/>
      <c r="G91" s="134">
        <f>G84+G85+G87+G89</f>
        <v>0</v>
      </c>
      <c r="H91" s="135"/>
      <c r="I91" s="117"/>
      <c r="K91" s="117"/>
      <c r="L91" s="118"/>
    </row>
    <row r="92" ht="15.75" customHeight="1">
      <c r="E92" s="132" t="s">
        <v>485</v>
      </c>
      <c r="F92" s="36"/>
      <c r="G92" s="136">
        <f>F84/(F90-F89-F87)</f>
        <v>0</v>
      </c>
      <c r="H92" s="137"/>
      <c r="I92" s="117"/>
      <c r="K92" s="117"/>
      <c r="L92" s="118"/>
    </row>
    <row r="93" ht="15.75" customHeight="1">
      <c r="I93" s="117"/>
      <c r="K93" s="117"/>
      <c r="L93" s="118"/>
    </row>
    <row r="94" ht="15.75" customHeight="1">
      <c r="I94" s="117"/>
      <c r="K94" s="117"/>
      <c r="L94" s="118"/>
    </row>
    <row r="95" ht="15.75" customHeight="1">
      <c r="I95" s="117"/>
      <c r="K95" s="117"/>
      <c r="L95" s="118"/>
    </row>
    <row r="96" ht="15.75" customHeight="1">
      <c r="I96" s="117"/>
      <c r="K96" s="117"/>
      <c r="L96" s="118"/>
    </row>
    <row r="97" ht="15.75" customHeight="1">
      <c r="I97" s="117"/>
      <c r="K97" s="117"/>
      <c r="L97" s="118"/>
    </row>
    <row r="98" ht="15.75" customHeight="1">
      <c r="I98" s="117"/>
      <c r="K98" s="117"/>
      <c r="L98" s="118"/>
    </row>
    <row r="99" ht="15.75" customHeight="1">
      <c r="I99" s="117"/>
      <c r="K99" s="117"/>
      <c r="L99" s="118"/>
    </row>
    <row r="100" ht="15.75" customHeight="1">
      <c r="I100" s="117"/>
      <c r="K100" s="117"/>
      <c r="L100" s="118"/>
    </row>
    <row r="101" ht="15.75" customHeight="1">
      <c r="I101" s="117"/>
      <c r="K101" s="117"/>
      <c r="L101" s="118"/>
    </row>
    <row r="102" ht="15.75" customHeight="1">
      <c r="I102" s="117"/>
      <c r="K102" s="117"/>
      <c r="L102" s="118"/>
    </row>
    <row r="103" ht="15.75" customHeight="1">
      <c r="I103" s="117"/>
      <c r="K103" s="117"/>
      <c r="L103" s="118"/>
    </row>
    <row r="104" ht="15.75" customHeight="1">
      <c r="I104" s="117"/>
      <c r="K104" s="117"/>
      <c r="L104" s="118"/>
    </row>
    <row r="105" ht="15.75" customHeight="1">
      <c r="I105" s="117"/>
      <c r="K105" s="117"/>
      <c r="L105" s="118"/>
    </row>
    <row r="106" ht="15.75" customHeight="1">
      <c r="I106" s="117"/>
      <c r="K106" s="117"/>
      <c r="L106" s="118"/>
    </row>
    <row r="107" ht="15.75" customHeight="1">
      <c r="I107" s="117"/>
      <c r="K107" s="117"/>
      <c r="L107" s="118"/>
    </row>
    <row r="108" ht="15.75" customHeight="1">
      <c r="I108" s="117"/>
      <c r="K108" s="117"/>
      <c r="L108" s="118"/>
    </row>
    <row r="109" ht="15.75" customHeight="1">
      <c r="I109" s="117"/>
      <c r="K109" s="117"/>
      <c r="L109" s="118"/>
    </row>
    <row r="110" ht="15.75" customHeight="1">
      <c r="I110" s="117"/>
      <c r="K110" s="117"/>
      <c r="L110" s="118"/>
    </row>
    <row r="111" ht="15.75" customHeight="1">
      <c r="I111" s="117"/>
      <c r="K111" s="117"/>
      <c r="L111" s="118"/>
    </row>
    <row r="112" ht="15.75" customHeight="1">
      <c r="I112" s="117"/>
      <c r="K112" s="117"/>
      <c r="L112" s="118"/>
    </row>
    <row r="113" ht="15.75" customHeight="1">
      <c r="I113" s="117"/>
      <c r="K113" s="117"/>
      <c r="L113" s="118"/>
    </row>
    <row r="114" ht="15.75" customHeight="1">
      <c r="I114" s="117"/>
      <c r="K114" s="117"/>
      <c r="L114" s="118"/>
    </row>
    <row r="115" ht="15.75" customHeight="1">
      <c r="I115" s="117"/>
      <c r="K115" s="117"/>
      <c r="L115" s="118"/>
    </row>
    <row r="116" ht="15.75" customHeight="1">
      <c r="I116" s="117"/>
      <c r="K116" s="117"/>
      <c r="L116" s="118"/>
    </row>
    <row r="117" ht="15.75" customHeight="1">
      <c r="I117" s="117"/>
      <c r="K117" s="117"/>
      <c r="L117" s="118"/>
    </row>
    <row r="118" ht="15.75" customHeight="1">
      <c r="I118" s="117"/>
      <c r="K118" s="117"/>
      <c r="L118" s="118"/>
    </row>
    <row r="119" ht="15.75" customHeight="1">
      <c r="I119" s="117"/>
      <c r="K119" s="117"/>
      <c r="L119" s="118"/>
    </row>
    <row r="120" ht="15.75" customHeight="1">
      <c r="I120" s="117"/>
      <c r="K120" s="117"/>
      <c r="L120" s="118"/>
    </row>
    <row r="121" ht="15.75" customHeight="1">
      <c r="I121" s="117"/>
      <c r="K121" s="117"/>
      <c r="L121" s="118"/>
    </row>
    <row r="122" ht="15.75" customHeight="1">
      <c r="I122" s="117"/>
      <c r="K122" s="117"/>
      <c r="L122" s="118"/>
    </row>
    <row r="123" ht="15.75" customHeight="1">
      <c r="I123" s="117"/>
      <c r="K123" s="117"/>
      <c r="L123" s="118"/>
    </row>
    <row r="124" ht="15.75" customHeight="1">
      <c r="I124" s="117"/>
      <c r="K124" s="117"/>
      <c r="L124" s="118"/>
    </row>
    <row r="125" ht="15.75" customHeight="1">
      <c r="I125" s="117"/>
      <c r="K125" s="117"/>
      <c r="L125" s="118"/>
    </row>
    <row r="126" ht="15.75" customHeight="1">
      <c r="I126" s="117"/>
      <c r="K126" s="117"/>
      <c r="L126" s="118"/>
    </row>
    <row r="127" ht="15.75" customHeight="1">
      <c r="I127" s="117"/>
      <c r="K127" s="117"/>
      <c r="L127" s="118"/>
    </row>
    <row r="128" ht="15.75" customHeight="1">
      <c r="I128" s="117"/>
      <c r="K128" s="117"/>
      <c r="L128" s="118"/>
    </row>
    <row r="129" ht="15.75" customHeight="1">
      <c r="I129" s="117"/>
      <c r="K129" s="117"/>
      <c r="L129" s="118"/>
    </row>
    <row r="130" ht="15.75" customHeight="1">
      <c r="I130" s="117"/>
      <c r="K130" s="117"/>
      <c r="L130" s="118"/>
    </row>
    <row r="131" ht="15.75" customHeight="1">
      <c r="I131" s="117"/>
      <c r="K131" s="117"/>
      <c r="L131" s="118"/>
    </row>
    <row r="132" ht="15.75" customHeight="1">
      <c r="I132" s="117"/>
      <c r="K132" s="117"/>
      <c r="L132" s="118"/>
    </row>
    <row r="133" ht="15.75" customHeight="1">
      <c r="I133" s="117"/>
      <c r="K133" s="117"/>
      <c r="L133" s="118"/>
    </row>
    <row r="134" ht="15.75" customHeight="1">
      <c r="I134" s="117"/>
      <c r="K134" s="117"/>
      <c r="L134" s="118"/>
    </row>
    <row r="135" ht="15.75" customHeight="1">
      <c r="I135" s="117"/>
      <c r="K135" s="117"/>
      <c r="L135" s="118"/>
    </row>
    <row r="136" ht="15.75" customHeight="1">
      <c r="I136" s="117"/>
      <c r="K136" s="117"/>
      <c r="L136" s="118"/>
    </row>
    <row r="137" ht="15.75" customHeight="1">
      <c r="I137" s="117"/>
      <c r="K137" s="117"/>
      <c r="L137" s="118"/>
    </row>
    <row r="138" ht="15.75" customHeight="1">
      <c r="I138" s="117"/>
      <c r="K138" s="117"/>
      <c r="L138" s="118"/>
    </row>
    <row r="139" ht="15.75" customHeight="1">
      <c r="I139" s="117"/>
      <c r="K139" s="117"/>
      <c r="L139" s="118"/>
    </row>
    <row r="140" ht="15.75" customHeight="1">
      <c r="I140" s="117"/>
      <c r="K140" s="117"/>
      <c r="L140" s="118"/>
    </row>
    <row r="141" ht="15.75" customHeight="1">
      <c r="I141" s="117"/>
      <c r="K141" s="117"/>
      <c r="L141" s="118"/>
    </row>
    <row r="142" ht="15.75" customHeight="1">
      <c r="I142" s="117"/>
      <c r="K142" s="117"/>
      <c r="L142" s="118"/>
    </row>
    <row r="143" ht="15.75" customHeight="1">
      <c r="I143" s="117"/>
      <c r="K143" s="117"/>
      <c r="L143" s="118"/>
    </row>
    <row r="144" ht="15.75" customHeight="1">
      <c r="I144" s="117"/>
      <c r="K144" s="117"/>
      <c r="L144" s="118"/>
    </row>
    <row r="145" ht="15.75" customHeight="1">
      <c r="I145" s="117"/>
      <c r="K145" s="117"/>
      <c r="L145" s="118"/>
    </row>
    <row r="146" ht="15.75" customHeight="1">
      <c r="I146" s="117"/>
      <c r="K146" s="117"/>
      <c r="L146" s="118"/>
    </row>
    <row r="147" ht="15.75" customHeight="1">
      <c r="I147" s="117"/>
      <c r="K147" s="117"/>
      <c r="L147" s="118"/>
    </row>
    <row r="148" ht="15.75" customHeight="1">
      <c r="I148" s="117"/>
      <c r="K148" s="117"/>
      <c r="L148" s="118"/>
    </row>
    <row r="149" ht="15.75" customHeight="1">
      <c r="I149" s="117"/>
      <c r="K149" s="117"/>
      <c r="L149" s="118"/>
    </row>
    <row r="150" ht="15.75" customHeight="1">
      <c r="I150" s="117"/>
      <c r="K150" s="117"/>
      <c r="L150" s="118"/>
    </row>
    <row r="151" ht="15.75" customHeight="1">
      <c r="I151" s="117"/>
      <c r="K151" s="117"/>
      <c r="L151" s="118"/>
    </row>
    <row r="152" ht="15.75" customHeight="1">
      <c r="I152" s="117"/>
      <c r="K152" s="117"/>
      <c r="L152" s="118"/>
    </row>
    <row r="153" ht="15.75" customHeight="1">
      <c r="I153" s="117"/>
      <c r="K153" s="117"/>
      <c r="L153" s="118"/>
    </row>
    <row r="154" ht="15.75" customHeight="1">
      <c r="I154" s="117"/>
      <c r="K154" s="117"/>
      <c r="L154" s="118"/>
    </row>
    <row r="155" ht="15.75" customHeight="1">
      <c r="I155" s="117"/>
      <c r="K155" s="117"/>
      <c r="L155" s="118"/>
    </row>
    <row r="156" ht="15.75" customHeight="1">
      <c r="I156" s="117"/>
      <c r="K156" s="117"/>
      <c r="L156" s="118"/>
    </row>
    <row r="157" ht="15.75" customHeight="1">
      <c r="I157" s="117"/>
      <c r="K157" s="117"/>
      <c r="L157" s="118"/>
    </row>
    <row r="158" ht="15.75" customHeight="1">
      <c r="I158" s="117"/>
      <c r="K158" s="117"/>
      <c r="L158" s="118"/>
    </row>
    <row r="159" ht="15.75" customHeight="1">
      <c r="I159" s="117"/>
      <c r="K159" s="117"/>
      <c r="L159" s="118"/>
    </row>
    <row r="160" ht="15.75" customHeight="1">
      <c r="I160" s="117"/>
      <c r="K160" s="117"/>
      <c r="L160" s="118"/>
    </row>
    <row r="161" ht="15.75" customHeight="1">
      <c r="I161" s="117"/>
      <c r="K161" s="117"/>
      <c r="L161" s="118"/>
    </row>
    <row r="162" ht="15.75" customHeight="1">
      <c r="I162" s="117"/>
      <c r="K162" s="117"/>
      <c r="L162" s="118"/>
    </row>
    <row r="163" ht="15.75" customHeight="1">
      <c r="I163" s="117"/>
      <c r="K163" s="117"/>
      <c r="L163" s="118"/>
    </row>
    <row r="164" ht="15.75" customHeight="1">
      <c r="I164" s="117"/>
      <c r="K164" s="117"/>
      <c r="L164" s="118"/>
    </row>
    <row r="165" ht="15.75" customHeight="1">
      <c r="I165" s="117"/>
      <c r="K165" s="117"/>
      <c r="L165" s="118"/>
    </row>
    <row r="166" ht="15.75" customHeight="1">
      <c r="I166" s="117"/>
      <c r="K166" s="117"/>
      <c r="L166" s="118"/>
    </row>
    <row r="167" ht="15.75" customHeight="1">
      <c r="I167" s="117"/>
      <c r="K167" s="117"/>
      <c r="L167" s="118"/>
    </row>
    <row r="168" ht="15.75" customHeight="1">
      <c r="I168" s="117"/>
      <c r="K168" s="117"/>
      <c r="L168" s="118"/>
    </row>
    <row r="169" ht="15.75" customHeight="1">
      <c r="I169" s="117"/>
      <c r="K169" s="117"/>
      <c r="L169" s="118"/>
    </row>
    <row r="170" ht="15.75" customHeight="1">
      <c r="I170" s="117"/>
      <c r="K170" s="117"/>
      <c r="L170" s="118"/>
    </row>
    <row r="171" ht="15.75" customHeight="1">
      <c r="I171" s="117"/>
      <c r="K171" s="117"/>
      <c r="L171" s="118"/>
    </row>
    <row r="172" ht="15.75" customHeight="1">
      <c r="I172" s="117"/>
      <c r="K172" s="117"/>
      <c r="L172" s="118"/>
    </row>
    <row r="173" ht="15.75" customHeight="1">
      <c r="I173" s="117"/>
      <c r="K173" s="117"/>
      <c r="L173" s="118"/>
    </row>
    <row r="174" ht="15.75" customHeight="1">
      <c r="I174" s="117"/>
      <c r="K174" s="117"/>
      <c r="L174" s="118"/>
    </row>
    <row r="175" ht="15.75" customHeight="1">
      <c r="I175" s="117"/>
      <c r="K175" s="117"/>
      <c r="L175" s="118"/>
    </row>
    <row r="176" ht="15.75" customHeight="1">
      <c r="I176" s="117"/>
      <c r="K176" s="117"/>
      <c r="L176" s="118"/>
    </row>
    <row r="177" ht="15.75" customHeight="1">
      <c r="I177" s="117"/>
      <c r="K177" s="117"/>
      <c r="L177" s="118"/>
    </row>
    <row r="178" ht="15.75" customHeight="1">
      <c r="I178" s="117"/>
      <c r="K178" s="117"/>
      <c r="L178" s="118"/>
    </row>
    <row r="179" ht="15.75" customHeight="1">
      <c r="I179" s="117"/>
      <c r="K179" s="117"/>
      <c r="L179" s="118"/>
    </row>
    <row r="180" ht="15.75" customHeight="1">
      <c r="I180" s="117"/>
      <c r="K180" s="117"/>
      <c r="L180" s="118"/>
    </row>
    <row r="181" ht="15.75" customHeight="1">
      <c r="I181" s="117"/>
      <c r="K181" s="117"/>
      <c r="L181" s="118"/>
    </row>
    <row r="182" ht="15.75" customHeight="1">
      <c r="I182" s="117"/>
      <c r="K182" s="117"/>
      <c r="L182" s="118"/>
    </row>
    <row r="183" ht="15.75" customHeight="1">
      <c r="I183" s="117"/>
      <c r="K183" s="117"/>
      <c r="L183" s="118"/>
    </row>
    <row r="184" ht="15.75" customHeight="1">
      <c r="I184" s="117"/>
      <c r="K184" s="117"/>
      <c r="L184" s="118"/>
    </row>
    <row r="185" ht="15.75" customHeight="1">
      <c r="I185" s="117"/>
      <c r="K185" s="117"/>
      <c r="L185" s="118"/>
    </row>
    <row r="186" ht="15.75" customHeight="1">
      <c r="I186" s="117"/>
      <c r="K186" s="117"/>
      <c r="L186" s="118"/>
    </row>
    <row r="187" ht="15.75" customHeight="1">
      <c r="I187" s="117"/>
      <c r="K187" s="117"/>
      <c r="L187" s="118"/>
    </row>
    <row r="188" ht="15.75" customHeight="1">
      <c r="I188" s="117"/>
      <c r="K188" s="117"/>
      <c r="L188" s="118"/>
    </row>
    <row r="189" ht="15.75" customHeight="1">
      <c r="I189" s="117"/>
      <c r="K189" s="117"/>
      <c r="L189" s="118"/>
    </row>
    <row r="190" ht="15.75" customHeight="1">
      <c r="I190" s="117"/>
      <c r="K190" s="117"/>
      <c r="L190" s="118"/>
    </row>
    <row r="191" ht="15.75" customHeight="1">
      <c r="I191" s="117"/>
      <c r="K191" s="117"/>
      <c r="L191" s="118"/>
    </row>
    <row r="192" ht="15.75" customHeight="1">
      <c r="I192" s="117"/>
      <c r="K192" s="117"/>
      <c r="L192" s="118"/>
    </row>
    <row r="193" ht="15.75" customHeight="1">
      <c r="I193" s="117"/>
      <c r="K193" s="117"/>
      <c r="L193" s="118"/>
    </row>
    <row r="194" ht="15.75" customHeight="1">
      <c r="I194" s="117"/>
      <c r="K194" s="117"/>
      <c r="L194" s="118"/>
    </row>
    <row r="195" ht="15.75" customHeight="1">
      <c r="I195" s="117"/>
      <c r="K195" s="117"/>
      <c r="L195" s="118"/>
    </row>
    <row r="196" ht="15.75" customHeight="1">
      <c r="I196" s="117"/>
      <c r="K196" s="117"/>
      <c r="L196" s="118"/>
    </row>
    <row r="197" ht="15.75" customHeight="1">
      <c r="I197" s="117"/>
      <c r="K197" s="117"/>
      <c r="L197" s="118"/>
    </row>
    <row r="198" ht="15.75" customHeight="1">
      <c r="I198" s="117"/>
      <c r="K198" s="117"/>
      <c r="L198" s="118"/>
    </row>
    <row r="199" ht="15.75" customHeight="1">
      <c r="I199" s="117"/>
      <c r="K199" s="117"/>
      <c r="L199" s="118"/>
    </row>
    <row r="200" ht="15.75" customHeight="1">
      <c r="I200" s="117"/>
      <c r="K200" s="117"/>
      <c r="L200" s="118"/>
    </row>
    <row r="201" ht="15.75" customHeight="1">
      <c r="I201" s="117"/>
      <c r="K201" s="117"/>
      <c r="L201" s="118"/>
    </row>
    <row r="202" ht="15.75" customHeight="1">
      <c r="I202" s="117"/>
      <c r="K202" s="117"/>
      <c r="L202" s="118"/>
    </row>
    <row r="203" ht="15.75" customHeight="1">
      <c r="I203" s="117"/>
      <c r="K203" s="117"/>
      <c r="L203" s="118"/>
    </row>
    <row r="204" ht="15.75" customHeight="1">
      <c r="I204" s="117"/>
      <c r="K204" s="117"/>
      <c r="L204" s="118"/>
    </row>
    <row r="205" ht="15.75" customHeight="1">
      <c r="I205" s="117"/>
      <c r="K205" s="117"/>
      <c r="L205" s="118"/>
    </row>
    <row r="206" ht="15.75" customHeight="1">
      <c r="I206" s="117"/>
      <c r="K206" s="117"/>
      <c r="L206" s="118"/>
    </row>
    <row r="207" ht="15.75" customHeight="1">
      <c r="I207" s="117"/>
      <c r="K207" s="117"/>
      <c r="L207" s="118"/>
    </row>
    <row r="208" ht="15.75" customHeight="1">
      <c r="I208" s="117"/>
      <c r="K208" s="117"/>
      <c r="L208" s="118"/>
    </row>
    <row r="209" ht="15.75" customHeight="1">
      <c r="I209" s="117"/>
      <c r="K209" s="117"/>
      <c r="L209" s="118"/>
    </row>
    <row r="210" ht="15.75" customHeight="1">
      <c r="I210" s="117"/>
      <c r="K210" s="117"/>
      <c r="L210" s="118"/>
    </row>
    <row r="211" ht="15.75" customHeight="1">
      <c r="I211" s="117"/>
      <c r="K211" s="117"/>
      <c r="L211" s="118"/>
    </row>
    <row r="212" ht="15.75" customHeight="1">
      <c r="I212" s="117"/>
      <c r="K212" s="117"/>
      <c r="L212" s="118"/>
    </row>
    <row r="213" ht="15.75" customHeight="1">
      <c r="I213" s="117"/>
      <c r="K213" s="117"/>
      <c r="L213" s="118"/>
    </row>
    <row r="214" ht="15.75" customHeight="1">
      <c r="I214" s="117"/>
      <c r="K214" s="117"/>
      <c r="L214" s="118"/>
    </row>
    <row r="215" ht="15.75" customHeight="1">
      <c r="I215" s="117"/>
      <c r="K215" s="117"/>
      <c r="L215" s="118"/>
    </row>
    <row r="216" ht="15.75" customHeight="1">
      <c r="I216" s="117"/>
      <c r="K216" s="117"/>
      <c r="L216" s="118"/>
    </row>
    <row r="217" ht="15.75" customHeight="1">
      <c r="I217" s="117"/>
      <c r="K217" s="117"/>
      <c r="L217" s="118"/>
    </row>
    <row r="218" ht="15.75" customHeight="1">
      <c r="I218" s="117"/>
      <c r="K218" s="117"/>
      <c r="L218" s="118"/>
    </row>
    <row r="219" ht="15.75" customHeight="1">
      <c r="I219" s="117"/>
      <c r="K219" s="117"/>
      <c r="L219" s="118"/>
    </row>
    <row r="220" ht="15.75" customHeight="1">
      <c r="I220" s="117"/>
      <c r="K220" s="117"/>
      <c r="L220" s="118"/>
    </row>
    <row r="221" ht="15.75" customHeight="1">
      <c r="I221" s="117"/>
      <c r="K221" s="117"/>
      <c r="L221" s="118"/>
    </row>
    <row r="222" ht="15.75" customHeight="1">
      <c r="I222" s="117"/>
      <c r="K222" s="117"/>
      <c r="L222" s="118"/>
    </row>
    <row r="223" ht="15.75" customHeight="1">
      <c r="I223" s="117"/>
      <c r="K223" s="117"/>
      <c r="L223" s="118"/>
    </row>
    <row r="224" ht="15.75" customHeight="1">
      <c r="I224" s="117"/>
      <c r="K224" s="117"/>
      <c r="L224" s="118"/>
    </row>
    <row r="225" ht="15.75" customHeight="1">
      <c r="I225" s="117"/>
      <c r="K225" s="117"/>
      <c r="L225" s="118"/>
    </row>
    <row r="226" ht="15.75" customHeight="1">
      <c r="I226" s="117"/>
      <c r="K226" s="117"/>
      <c r="L226" s="118"/>
    </row>
    <row r="227" ht="15.75" customHeight="1">
      <c r="I227" s="117"/>
      <c r="K227" s="117"/>
      <c r="L227" s="118"/>
    </row>
    <row r="228" ht="15.75" customHeight="1">
      <c r="I228" s="117"/>
      <c r="K228" s="117"/>
      <c r="L228" s="118"/>
    </row>
    <row r="229" ht="15.75" customHeight="1">
      <c r="I229" s="117"/>
      <c r="K229" s="117"/>
      <c r="L229" s="118"/>
    </row>
    <row r="230" ht="15.75" customHeight="1">
      <c r="I230" s="117"/>
      <c r="K230" s="117"/>
      <c r="L230" s="118"/>
    </row>
    <row r="231" ht="15.75" customHeight="1">
      <c r="I231" s="117"/>
      <c r="K231" s="117"/>
      <c r="L231" s="118"/>
    </row>
    <row r="232" ht="15.75" customHeight="1">
      <c r="I232" s="117"/>
      <c r="K232" s="117"/>
      <c r="L232" s="118"/>
    </row>
    <row r="233" ht="15.75" customHeight="1">
      <c r="I233" s="117"/>
      <c r="K233" s="117"/>
      <c r="L233" s="118"/>
    </row>
    <row r="234" ht="15.75" customHeight="1">
      <c r="I234" s="117"/>
      <c r="K234" s="117"/>
      <c r="L234" s="118"/>
    </row>
    <row r="235" ht="15.75" customHeight="1">
      <c r="I235" s="117"/>
      <c r="K235" s="117"/>
      <c r="L235" s="118"/>
    </row>
    <row r="236" ht="15.75" customHeight="1">
      <c r="I236" s="117"/>
      <c r="K236" s="117"/>
      <c r="L236" s="118"/>
    </row>
    <row r="237" ht="15.75" customHeight="1">
      <c r="I237" s="117"/>
      <c r="K237" s="117"/>
      <c r="L237" s="118"/>
    </row>
    <row r="238" ht="15.75" customHeight="1">
      <c r="I238" s="117"/>
      <c r="K238" s="117"/>
      <c r="L238" s="118"/>
    </row>
    <row r="239" ht="15.75" customHeight="1">
      <c r="I239" s="117"/>
      <c r="K239" s="117"/>
      <c r="L239" s="118"/>
    </row>
    <row r="240" ht="15.75" customHeight="1">
      <c r="I240" s="117"/>
      <c r="K240" s="117"/>
      <c r="L240" s="118"/>
    </row>
    <row r="241" ht="15.75" customHeight="1">
      <c r="I241" s="117"/>
      <c r="K241" s="117"/>
      <c r="L241" s="118"/>
    </row>
    <row r="242" ht="15.75" customHeight="1">
      <c r="I242" s="117"/>
      <c r="K242" s="117"/>
      <c r="L242" s="118"/>
    </row>
    <row r="243" ht="15.75" customHeight="1">
      <c r="I243" s="117"/>
      <c r="K243" s="117"/>
      <c r="L243" s="118"/>
    </row>
    <row r="244" ht="15.75" customHeight="1">
      <c r="I244" s="117"/>
      <c r="K244" s="117"/>
      <c r="L244" s="118"/>
    </row>
    <row r="245" ht="15.75" customHeight="1">
      <c r="I245" s="117"/>
      <c r="K245" s="117"/>
      <c r="L245" s="118"/>
    </row>
    <row r="246" ht="15.75" customHeight="1">
      <c r="I246" s="117"/>
      <c r="K246" s="117"/>
      <c r="L246" s="118"/>
    </row>
    <row r="247" ht="15.75" customHeight="1">
      <c r="I247" s="117"/>
      <c r="K247" s="117"/>
      <c r="L247" s="118"/>
    </row>
    <row r="248" ht="15.75" customHeight="1">
      <c r="I248" s="117"/>
      <c r="K248" s="117"/>
      <c r="L248" s="118"/>
    </row>
    <row r="249" ht="15.75" customHeight="1">
      <c r="I249" s="117"/>
      <c r="K249" s="117"/>
      <c r="L249" s="118"/>
    </row>
    <row r="250" ht="15.75" customHeight="1">
      <c r="I250" s="117"/>
      <c r="K250" s="117"/>
      <c r="L250" s="118"/>
    </row>
    <row r="251" ht="15.75" customHeight="1">
      <c r="I251" s="117"/>
      <c r="K251" s="117"/>
      <c r="L251" s="118"/>
    </row>
    <row r="252" ht="15.75" customHeight="1">
      <c r="I252" s="117"/>
      <c r="K252" s="117"/>
      <c r="L252" s="118"/>
    </row>
    <row r="253" ht="15.75" customHeight="1">
      <c r="I253" s="117"/>
      <c r="K253" s="117"/>
      <c r="L253" s="118"/>
    </row>
    <row r="254" ht="15.75" customHeight="1">
      <c r="I254" s="117"/>
      <c r="K254" s="117"/>
      <c r="L254" s="118"/>
    </row>
    <row r="255" ht="15.75" customHeight="1">
      <c r="I255" s="117"/>
      <c r="K255" s="117"/>
      <c r="L255" s="118"/>
    </row>
    <row r="256" ht="15.75" customHeight="1">
      <c r="I256" s="117"/>
      <c r="K256" s="117"/>
      <c r="L256" s="118"/>
    </row>
    <row r="257" ht="15.75" customHeight="1">
      <c r="I257" s="117"/>
      <c r="K257" s="117"/>
      <c r="L257" s="118"/>
    </row>
    <row r="258" ht="15.75" customHeight="1">
      <c r="I258" s="117"/>
      <c r="K258" s="117"/>
      <c r="L258" s="118"/>
    </row>
    <row r="259" ht="15.75" customHeight="1">
      <c r="I259" s="117"/>
      <c r="K259" s="117"/>
      <c r="L259" s="118"/>
    </row>
    <row r="260" ht="15.75" customHeight="1">
      <c r="I260" s="117"/>
      <c r="K260" s="117"/>
      <c r="L260" s="118"/>
    </row>
    <row r="261" ht="15.75" customHeight="1">
      <c r="I261" s="117"/>
      <c r="K261" s="117"/>
      <c r="L261" s="118"/>
    </row>
    <row r="262" ht="15.75" customHeight="1">
      <c r="I262" s="117"/>
      <c r="K262" s="117"/>
      <c r="L262" s="118"/>
    </row>
    <row r="263" ht="15.75" customHeight="1">
      <c r="I263" s="117"/>
      <c r="K263" s="117"/>
      <c r="L263" s="118"/>
    </row>
    <row r="264" ht="15.75" customHeight="1">
      <c r="I264" s="117"/>
      <c r="K264" s="117"/>
      <c r="L264" s="118"/>
    </row>
    <row r="265" ht="15.75" customHeight="1">
      <c r="I265" s="117"/>
      <c r="K265" s="117"/>
      <c r="L265" s="118"/>
    </row>
    <row r="266" ht="15.75" customHeight="1">
      <c r="I266" s="117"/>
      <c r="K266" s="117"/>
      <c r="L266" s="118"/>
    </row>
    <row r="267" ht="15.75" customHeight="1">
      <c r="I267" s="117"/>
      <c r="K267" s="117"/>
      <c r="L267" s="118"/>
    </row>
    <row r="268" ht="15.75" customHeight="1">
      <c r="I268" s="117"/>
      <c r="K268" s="117"/>
      <c r="L268" s="118"/>
    </row>
    <row r="269" ht="15.75" customHeight="1">
      <c r="I269" s="117"/>
      <c r="K269" s="117"/>
      <c r="L269" s="118"/>
    </row>
    <row r="270" ht="15.75" customHeight="1">
      <c r="I270" s="117"/>
      <c r="K270" s="117"/>
      <c r="L270" s="118"/>
    </row>
    <row r="271" ht="15.75" customHeight="1">
      <c r="I271" s="117"/>
      <c r="K271" s="117"/>
      <c r="L271" s="118"/>
    </row>
    <row r="272" ht="15.75" customHeight="1">
      <c r="I272" s="117"/>
      <c r="K272" s="117"/>
      <c r="L272" s="118"/>
    </row>
    <row r="273" ht="15.75" customHeight="1">
      <c r="I273" s="117"/>
      <c r="K273" s="117"/>
      <c r="L273" s="118"/>
    </row>
    <row r="274" ht="15.75" customHeight="1">
      <c r="I274" s="117"/>
      <c r="K274" s="117"/>
      <c r="L274" s="118"/>
    </row>
    <row r="275" ht="15.75" customHeight="1">
      <c r="I275" s="117"/>
      <c r="K275" s="117"/>
      <c r="L275" s="118"/>
    </row>
    <row r="276" ht="15.75" customHeight="1">
      <c r="I276" s="117"/>
      <c r="K276" s="117"/>
      <c r="L276" s="118"/>
    </row>
    <row r="277" ht="15.75" customHeight="1">
      <c r="I277" s="117"/>
      <c r="K277" s="117"/>
      <c r="L277" s="118"/>
    </row>
    <row r="278" ht="15.75" customHeight="1">
      <c r="I278" s="117"/>
      <c r="K278" s="117"/>
      <c r="L278" s="118"/>
    </row>
    <row r="279" ht="15.75" customHeight="1">
      <c r="I279" s="117"/>
      <c r="K279" s="117"/>
      <c r="L279" s="118"/>
    </row>
    <row r="280" ht="15.75" customHeight="1">
      <c r="I280" s="117"/>
      <c r="K280" s="117"/>
      <c r="L280" s="118"/>
    </row>
    <row r="281" ht="15.75" customHeight="1">
      <c r="I281" s="117"/>
      <c r="K281" s="117"/>
      <c r="L281" s="118"/>
    </row>
    <row r="282" ht="15.75" customHeight="1">
      <c r="I282" s="117"/>
      <c r="K282" s="117"/>
      <c r="L282" s="118"/>
    </row>
    <row r="283" ht="15.75" customHeight="1">
      <c r="I283" s="117"/>
      <c r="K283" s="117"/>
      <c r="L283" s="118"/>
    </row>
    <row r="284" ht="15.75" customHeight="1">
      <c r="I284" s="117"/>
      <c r="K284" s="117"/>
      <c r="L284" s="118"/>
    </row>
    <row r="285" ht="15.75" customHeight="1">
      <c r="I285" s="117"/>
      <c r="K285" s="117"/>
      <c r="L285" s="118"/>
    </row>
    <row r="286" ht="15.75" customHeight="1">
      <c r="I286" s="117"/>
      <c r="K286" s="117"/>
      <c r="L286" s="118"/>
    </row>
    <row r="287" ht="15.75" customHeight="1">
      <c r="I287" s="117"/>
      <c r="K287" s="117"/>
      <c r="L287" s="118"/>
    </row>
    <row r="288" ht="15.75" customHeight="1">
      <c r="I288" s="117"/>
      <c r="K288" s="117"/>
      <c r="L288" s="118"/>
    </row>
    <row r="289" ht="15.75" customHeight="1">
      <c r="I289" s="117"/>
      <c r="K289" s="117"/>
      <c r="L289" s="118"/>
    </row>
    <row r="290" ht="15.75" customHeight="1">
      <c r="I290" s="117"/>
      <c r="K290" s="117"/>
      <c r="L290" s="118"/>
    </row>
    <row r="291" ht="15.75" customHeight="1">
      <c r="I291" s="117"/>
      <c r="K291" s="117"/>
      <c r="L291" s="118"/>
    </row>
    <row r="292" ht="15.75" customHeight="1">
      <c r="I292" s="117"/>
      <c r="K292" s="117"/>
      <c r="L292" s="118"/>
    </row>
    <row r="293" ht="15.75" customHeight="1">
      <c r="I293" s="117"/>
      <c r="K293" s="117"/>
      <c r="L293" s="118"/>
    </row>
    <row r="294" ht="15.75" customHeight="1">
      <c r="I294" s="117"/>
      <c r="K294" s="117"/>
      <c r="L294" s="118"/>
    </row>
    <row r="295" ht="15.75" customHeight="1">
      <c r="I295" s="117"/>
      <c r="K295" s="117"/>
      <c r="L295" s="118"/>
    </row>
    <row r="296" ht="15.75" customHeight="1">
      <c r="I296" s="117"/>
      <c r="K296" s="117"/>
      <c r="L296" s="118"/>
    </row>
    <row r="297" ht="15.75" customHeight="1">
      <c r="I297" s="117"/>
      <c r="K297" s="117"/>
      <c r="L297" s="118"/>
    </row>
    <row r="298" ht="15.75" customHeight="1">
      <c r="I298" s="117"/>
      <c r="K298" s="117"/>
      <c r="L298" s="118"/>
    </row>
    <row r="299" ht="15.75" customHeight="1">
      <c r="I299" s="117"/>
      <c r="K299" s="117"/>
      <c r="L299" s="118"/>
    </row>
    <row r="300" ht="15.75" customHeight="1">
      <c r="I300" s="117"/>
      <c r="K300" s="117"/>
      <c r="L300" s="118"/>
    </row>
    <row r="301" ht="15.75" customHeight="1">
      <c r="I301" s="117"/>
      <c r="K301" s="117"/>
      <c r="L301" s="118"/>
    </row>
    <row r="302" ht="15.75" customHeight="1">
      <c r="I302" s="117"/>
      <c r="K302" s="117"/>
      <c r="L302" s="118"/>
    </row>
    <row r="303" ht="15.75" customHeight="1">
      <c r="I303" s="117"/>
      <c r="K303" s="117"/>
      <c r="L303" s="118"/>
    </row>
    <row r="304" ht="15.75" customHeight="1">
      <c r="I304" s="117"/>
      <c r="K304" s="117"/>
      <c r="L304" s="118"/>
    </row>
    <row r="305" ht="15.75" customHeight="1">
      <c r="I305" s="117"/>
      <c r="K305" s="117"/>
      <c r="L305" s="118"/>
    </row>
    <row r="306" ht="15.75" customHeight="1">
      <c r="I306" s="117"/>
      <c r="K306" s="117"/>
      <c r="L306" s="118"/>
    </row>
    <row r="307" ht="15.75" customHeight="1">
      <c r="I307" s="117"/>
      <c r="K307" s="117"/>
      <c r="L307" s="118"/>
    </row>
    <row r="308" ht="15.75" customHeight="1">
      <c r="I308" s="117"/>
      <c r="K308" s="117"/>
      <c r="L308" s="118"/>
    </row>
    <row r="309" ht="15.75" customHeight="1">
      <c r="I309" s="117"/>
      <c r="K309" s="117"/>
      <c r="L309" s="118"/>
    </row>
    <row r="310" ht="15.75" customHeight="1">
      <c r="I310" s="117"/>
      <c r="K310" s="117"/>
      <c r="L310" s="118"/>
    </row>
    <row r="311" ht="15.75" customHeight="1">
      <c r="I311" s="117"/>
      <c r="K311" s="117"/>
      <c r="L311" s="118"/>
    </row>
    <row r="312" ht="15.75" customHeight="1">
      <c r="I312" s="117"/>
      <c r="K312" s="117"/>
      <c r="L312" s="118"/>
    </row>
    <row r="313" ht="15.75" customHeight="1">
      <c r="I313" s="117"/>
      <c r="K313" s="117"/>
      <c r="L313" s="118"/>
    </row>
    <row r="314" ht="15.75" customHeight="1">
      <c r="I314" s="117"/>
      <c r="K314" s="117"/>
      <c r="L314" s="118"/>
    </row>
    <row r="315" ht="15.75" customHeight="1">
      <c r="I315" s="117"/>
      <c r="K315" s="117"/>
      <c r="L315" s="118"/>
    </row>
    <row r="316" ht="15.75" customHeight="1">
      <c r="I316" s="117"/>
      <c r="K316" s="117"/>
      <c r="L316" s="118"/>
    </row>
    <row r="317" ht="15.75" customHeight="1">
      <c r="I317" s="117"/>
      <c r="K317" s="117"/>
      <c r="L317" s="118"/>
    </row>
    <row r="318" ht="15.75" customHeight="1">
      <c r="I318" s="117"/>
      <c r="K318" s="117"/>
      <c r="L318" s="118"/>
    </row>
    <row r="319" ht="15.75" customHeight="1">
      <c r="I319" s="117"/>
      <c r="K319" s="117"/>
      <c r="L319" s="118"/>
    </row>
    <row r="320" ht="15.75" customHeight="1">
      <c r="I320" s="117"/>
      <c r="K320" s="117"/>
      <c r="L320" s="118"/>
    </row>
    <row r="321" ht="15.75" customHeight="1">
      <c r="I321" s="117"/>
      <c r="K321" s="117"/>
      <c r="L321" s="118"/>
    </row>
    <row r="322" ht="15.75" customHeight="1">
      <c r="I322" s="117"/>
      <c r="K322" s="117"/>
      <c r="L322" s="118"/>
    </row>
    <row r="323" ht="15.75" customHeight="1">
      <c r="I323" s="117"/>
      <c r="K323" s="117"/>
      <c r="L323" s="118"/>
    </row>
    <row r="324" ht="15.75" customHeight="1">
      <c r="I324" s="117"/>
      <c r="K324" s="117"/>
      <c r="L324" s="118"/>
    </row>
    <row r="325" ht="15.75" customHeight="1">
      <c r="I325" s="117"/>
      <c r="K325" s="117"/>
      <c r="L325" s="118"/>
    </row>
    <row r="326" ht="15.75" customHeight="1">
      <c r="I326" s="117"/>
      <c r="K326" s="117"/>
      <c r="L326" s="118"/>
    </row>
    <row r="327" ht="15.75" customHeight="1">
      <c r="I327" s="117"/>
      <c r="K327" s="117"/>
      <c r="L327" s="118"/>
    </row>
    <row r="328" ht="15.75" customHeight="1">
      <c r="I328" s="117"/>
      <c r="K328" s="117"/>
      <c r="L328" s="118"/>
    </row>
    <row r="329" ht="15.75" customHeight="1">
      <c r="I329" s="117"/>
      <c r="K329" s="117"/>
      <c r="L329" s="118"/>
    </row>
    <row r="330" ht="15.75" customHeight="1">
      <c r="I330" s="117"/>
      <c r="K330" s="117"/>
      <c r="L330" s="118"/>
    </row>
    <row r="331" ht="15.75" customHeight="1">
      <c r="I331" s="117"/>
      <c r="K331" s="117"/>
      <c r="L331" s="118"/>
    </row>
    <row r="332" ht="15.75" customHeight="1">
      <c r="I332" s="117"/>
      <c r="K332" s="117"/>
      <c r="L332" s="118"/>
    </row>
    <row r="333" ht="15.75" customHeight="1">
      <c r="I333" s="117"/>
      <c r="K333" s="117"/>
      <c r="L333" s="118"/>
    </row>
    <row r="334" ht="15.75" customHeight="1">
      <c r="I334" s="117"/>
      <c r="K334" s="117"/>
      <c r="L334" s="118"/>
    </row>
    <row r="335" ht="15.75" customHeight="1">
      <c r="I335" s="117"/>
      <c r="K335" s="117"/>
      <c r="L335" s="118"/>
    </row>
    <row r="336" ht="15.75" customHeight="1">
      <c r="I336" s="117"/>
      <c r="K336" s="117"/>
      <c r="L336" s="118"/>
    </row>
    <row r="337" ht="15.75" customHeight="1">
      <c r="I337" s="117"/>
      <c r="K337" s="117"/>
      <c r="L337" s="118"/>
    </row>
    <row r="338" ht="15.75" customHeight="1">
      <c r="I338" s="117"/>
      <c r="K338" s="117"/>
      <c r="L338" s="118"/>
    </row>
    <row r="339" ht="15.75" customHeight="1">
      <c r="I339" s="117"/>
      <c r="K339" s="117"/>
      <c r="L339" s="118"/>
    </row>
    <row r="340" ht="15.75" customHeight="1">
      <c r="I340" s="117"/>
      <c r="K340" s="117"/>
      <c r="L340" s="118"/>
    </row>
    <row r="341" ht="15.75" customHeight="1">
      <c r="I341" s="117"/>
      <c r="K341" s="117"/>
      <c r="L341" s="118"/>
    </row>
    <row r="342" ht="15.75" customHeight="1">
      <c r="I342" s="117"/>
      <c r="K342" s="117"/>
      <c r="L342" s="118"/>
    </row>
    <row r="343" ht="15.75" customHeight="1">
      <c r="I343" s="117"/>
      <c r="K343" s="117"/>
      <c r="L343" s="118"/>
    </row>
    <row r="344" ht="15.75" customHeight="1">
      <c r="I344" s="117"/>
      <c r="K344" s="117"/>
      <c r="L344" s="118"/>
    </row>
    <row r="345" ht="15.75" customHeight="1">
      <c r="I345" s="117"/>
      <c r="K345" s="117"/>
      <c r="L345" s="118"/>
    </row>
    <row r="346" ht="15.75" customHeight="1">
      <c r="I346" s="117"/>
      <c r="K346" s="117"/>
      <c r="L346" s="118"/>
    </row>
    <row r="347" ht="15.75" customHeight="1">
      <c r="I347" s="117"/>
      <c r="K347" s="117"/>
      <c r="L347" s="118"/>
    </row>
    <row r="348" ht="15.75" customHeight="1">
      <c r="I348" s="117"/>
      <c r="K348" s="117"/>
      <c r="L348" s="118"/>
    </row>
    <row r="349" ht="15.75" customHeight="1">
      <c r="I349" s="117"/>
      <c r="K349" s="117"/>
      <c r="L349" s="118"/>
    </row>
    <row r="350" ht="15.75" customHeight="1">
      <c r="I350" s="117"/>
      <c r="K350" s="117"/>
      <c r="L350" s="118"/>
    </row>
    <row r="351" ht="15.75" customHeight="1">
      <c r="I351" s="117"/>
      <c r="K351" s="117"/>
      <c r="L351" s="118"/>
    </row>
    <row r="352" ht="15.75" customHeight="1">
      <c r="I352" s="117"/>
      <c r="K352" s="117"/>
      <c r="L352" s="118"/>
    </row>
    <row r="353" ht="15.75" customHeight="1">
      <c r="I353" s="117"/>
      <c r="K353" s="117"/>
      <c r="L353" s="118"/>
    </row>
    <row r="354" ht="15.75" customHeight="1">
      <c r="I354" s="117"/>
      <c r="K354" s="117"/>
      <c r="L354" s="118"/>
    </row>
    <row r="355" ht="15.75" customHeight="1">
      <c r="I355" s="117"/>
      <c r="K355" s="117"/>
      <c r="L355" s="118"/>
    </row>
    <row r="356" ht="15.75" customHeight="1">
      <c r="I356" s="117"/>
      <c r="K356" s="117"/>
      <c r="L356" s="118"/>
    </row>
    <row r="357" ht="15.75" customHeight="1">
      <c r="I357" s="117"/>
      <c r="K357" s="117"/>
      <c r="L357" s="118"/>
    </row>
    <row r="358" ht="15.75" customHeight="1">
      <c r="I358" s="117"/>
      <c r="K358" s="117"/>
      <c r="L358" s="118"/>
    </row>
    <row r="359" ht="15.75" customHeight="1">
      <c r="I359" s="117"/>
      <c r="K359" s="117"/>
      <c r="L359" s="118"/>
    </row>
    <row r="360" ht="15.75" customHeight="1">
      <c r="I360" s="117"/>
      <c r="K360" s="117"/>
      <c r="L360" s="118"/>
    </row>
    <row r="361" ht="15.75" customHeight="1">
      <c r="I361" s="117"/>
      <c r="K361" s="117"/>
      <c r="L361" s="118"/>
    </row>
    <row r="362" ht="15.75" customHeight="1">
      <c r="I362" s="117"/>
      <c r="K362" s="117"/>
      <c r="L362" s="118"/>
    </row>
    <row r="363" ht="15.75" customHeight="1">
      <c r="I363" s="117"/>
      <c r="K363" s="117"/>
      <c r="L363" s="118"/>
    </row>
    <row r="364" ht="15.75" customHeight="1">
      <c r="I364" s="117"/>
      <c r="K364" s="117"/>
      <c r="L364" s="118"/>
    </row>
    <row r="365" ht="15.75" customHeight="1">
      <c r="I365" s="117"/>
      <c r="K365" s="117"/>
      <c r="L365" s="118"/>
    </row>
    <row r="366" ht="15.75" customHeight="1">
      <c r="I366" s="117"/>
      <c r="K366" s="117"/>
      <c r="L366" s="118"/>
    </row>
    <row r="367" ht="15.75" customHeight="1">
      <c r="I367" s="117"/>
      <c r="K367" s="117"/>
      <c r="L367" s="118"/>
    </row>
    <row r="368" ht="15.75" customHeight="1">
      <c r="I368" s="117"/>
      <c r="K368" s="117"/>
      <c r="L368" s="118"/>
    </row>
    <row r="369" ht="15.75" customHeight="1">
      <c r="I369" s="117"/>
      <c r="K369" s="117"/>
      <c r="L369" s="118"/>
    </row>
    <row r="370" ht="15.75" customHeight="1">
      <c r="I370" s="117"/>
      <c r="K370" s="117"/>
      <c r="L370" s="118"/>
    </row>
    <row r="371" ht="15.75" customHeight="1">
      <c r="I371" s="117"/>
      <c r="K371" s="117"/>
      <c r="L371" s="118"/>
    </row>
    <row r="372" ht="15.75" customHeight="1">
      <c r="I372" s="117"/>
      <c r="K372" s="117"/>
      <c r="L372" s="118"/>
    </row>
    <row r="373" ht="15.75" customHeight="1">
      <c r="I373" s="117"/>
      <c r="K373" s="117"/>
      <c r="L373" s="118"/>
    </row>
    <row r="374" ht="15.75" customHeight="1">
      <c r="I374" s="117"/>
      <c r="K374" s="117"/>
      <c r="L374" s="118"/>
    </row>
    <row r="375" ht="15.75" customHeight="1">
      <c r="I375" s="117"/>
      <c r="K375" s="117"/>
      <c r="L375" s="118"/>
    </row>
    <row r="376" ht="15.75" customHeight="1">
      <c r="I376" s="117"/>
      <c r="K376" s="117"/>
      <c r="L376" s="118"/>
    </row>
    <row r="377" ht="15.75" customHeight="1">
      <c r="I377" s="117"/>
      <c r="K377" s="117"/>
      <c r="L377" s="118"/>
    </row>
    <row r="378" ht="15.75" customHeight="1">
      <c r="I378" s="117"/>
      <c r="K378" s="117"/>
      <c r="L378" s="118"/>
    </row>
    <row r="379" ht="15.75" customHeight="1">
      <c r="I379" s="117"/>
      <c r="K379" s="117"/>
      <c r="L379" s="118"/>
    </row>
    <row r="380" ht="15.75" customHeight="1">
      <c r="I380" s="117"/>
      <c r="K380" s="117"/>
      <c r="L380" s="118"/>
    </row>
    <row r="381" ht="15.75" customHeight="1">
      <c r="I381" s="117"/>
      <c r="K381" s="117"/>
      <c r="L381" s="118"/>
    </row>
    <row r="382" ht="15.75" customHeight="1">
      <c r="I382" s="117"/>
      <c r="K382" s="117"/>
      <c r="L382" s="118"/>
    </row>
    <row r="383" ht="15.75" customHeight="1">
      <c r="I383" s="117"/>
      <c r="K383" s="117"/>
      <c r="L383" s="118"/>
    </row>
    <row r="384" ht="15.75" customHeight="1">
      <c r="I384" s="117"/>
      <c r="K384" s="117"/>
      <c r="L384" s="118"/>
    </row>
    <row r="385" ht="15.75" customHeight="1">
      <c r="I385" s="117"/>
      <c r="K385" s="117"/>
      <c r="L385" s="118"/>
    </row>
    <row r="386" ht="15.75" customHeight="1">
      <c r="I386" s="117"/>
      <c r="K386" s="117"/>
      <c r="L386" s="118"/>
    </row>
    <row r="387" ht="15.75" customHeight="1">
      <c r="I387" s="117"/>
      <c r="K387" s="117"/>
      <c r="L387" s="118"/>
    </row>
    <row r="388" ht="15.75" customHeight="1">
      <c r="I388" s="117"/>
      <c r="K388" s="117"/>
      <c r="L388" s="118"/>
    </row>
    <row r="389" ht="15.75" customHeight="1">
      <c r="I389" s="117"/>
      <c r="K389" s="117"/>
      <c r="L389" s="118"/>
    </row>
    <row r="390" ht="15.75" customHeight="1">
      <c r="I390" s="117"/>
      <c r="K390" s="117"/>
      <c r="L390" s="118"/>
    </row>
    <row r="391" ht="15.75" customHeight="1">
      <c r="I391" s="117"/>
      <c r="K391" s="117"/>
      <c r="L391" s="118"/>
    </row>
    <row r="392" ht="15.75" customHeight="1">
      <c r="I392" s="117"/>
      <c r="K392" s="117"/>
      <c r="L392" s="118"/>
    </row>
    <row r="393" ht="15.75" customHeight="1">
      <c r="I393" s="117"/>
      <c r="K393" s="117"/>
      <c r="L393" s="118"/>
    </row>
    <row r="394" ht="15.75" customHeight="1">
      <c r="I394" s="117"/>
      <c r="K394" s="117"/>
      <c r="L394" s="118"/>
    </row>
    <row r="395" ht="15.75" customHeight="1">
      <c r="I395" s="117"/>
      <c r="K395" s="117"/>
      <c r="L395" s="118"/>
    </row>
    <row r="396" ht="15.75" customHeight="1">
      <c r="I396" s="117"/>
      <c r="K396" s="117"/>
      <c r="L396" s="118"/>
    </row>
    <row r="397" ht="15.75" customHeight="1">
      <c r="I397" s="117"/>
      <c r="K397" s="117"/>
      <c r="L397" s="118"/>
    </row>
    <row r="398" ht="15.75" customHeight="1">
      <c r="I398" s="117"/>
      <c r="K398" s="117"/>
      <c r="L398" s="118"/>
    </row>
    <row r="399" ht="15.75" customHeight="1">
      <c r="I399" s="117"/>
      <c r="K399" s="117"/>
      <c r="L399" s="118"/>
    </row>
    <row r="400" ht="15.75" customHeight="1">
      <c r="I400" s="117"/>
      <c r="K400" s="117"/>
      <c r="L400" s="118"/>
    </row>
    <row r="401" ht="15.75" customHeight="1">
      <c r="I401" s="117"/>
      <c r="K401" s="117"/>
      <c r="L401" s="118"/>
    </row>
    <row r="402" ht="15.75" customHeight="1">
      <c r="I402" s="117"/>
      <c r="K402" s="117"/>
      <c r="L402" s="118"/>
    </row>
    <row r="403" ht="15.75" customHeight="1">
      <c r="I403" s="117"/>
      <c r="K403" s="117"/>
      <c r="L403" s="118"/>
    </row>
    <row r="404" ht="15.75" customHeight="1">
      <c r="I404" s="117"/>
      <c r="K404" s="117"/>
      <c r="L404" s="118"/>
    </row>
    <row r="405" ht="15.75" customHeight="1">
      <c r="I405" s="117"/>
      <c r="K405" s="117"/>
      <c r="L405" s="118"/>
    </row>
    <row r="406" ht="15.75" customHeight="1">
      <c r="I406" s="117"/>
      <c r="K406" s="117"/>
      <c r="L406" s="118"/>
    </row>
    <row r="407" ht="15.75" customHeight="1">
      <c r="I407" s="117"/>
      <c r="K407" s="117"/>
      <c r="L407" s="118"/>
    </row>
    <row r="408" ht="15.75" customHeight="1">
      <c r="I408" s="117"/>
      <c r="K408" s="117"/>
      <c r="L408" s="118"/>
    </row>
    <row r="409" ht="15.75" customHeight="1">
      <c r="I409" s="117"/>
      <c r="K409" s="117"/>
      <c r="L409" s="118"/>
    </row>
    <row r="410" ht="15.75" customHeight="1">
      <c r="I410" s="117"/>
      <c r="K410" s="117"/>
      <c r="L410" s="118"/>
    </row>
    <row r="411" ht="15.75" customHeight="1">
      <c r="I411" s="117"/>
      <c r="K411" s="117"/>
      <c r="L411" s="118"/>
    </row>
    <row r="412" ht="15.75" customHeight="1">
      <c r="I412" s="117"/>
      <c r="K412" s="117"/>
      <c r="L412" s="118"/>
    </row>
    <row r="413" ht="15.75" customHeight="1">
      <c r="I413" s="117"/>
      <c r="K413" s="117"/>
      <c r="L413" s="118"/>
    </row>
    <row r="414" ht="15.75" customHeight="1">
      <c r="I414" s="117"/>
      <c r="K414" s="117"/>
      <c r="L414" s="118"/>
    </row>
    <row r="415" ht="15.75" customHeight="1">
      <c r="I415" s="117"/>
      <c r="K415" s="117"/>
      <c r="L415" s="118"/>
    </row>
    <row r="416" ht="15.75" customHeight="1">
      <c r="I416" s="117"/>
      <c r="K416" s="117"/>
      <c r="L416" s="118"/>
    </row>
    <row r="417" ht="15.75" customHeight="1">
      <c r="I417" s="117"/>
      <c r="K417" s="117"/>
      <c r="L417" s="118"/>
    </row>
    <row r="418" ht="15.75" customHeight="1">
      <c r="I418" s="117"/>
      <c r="K418" s="117"/>
      <c r="L418" s="118"/>
    </row>
    <row r="419" ht="15.75" customHeight="1">
      <c r="I419" s="117"/>
      <c r="K419" s="117"/>
      <c r="L419" s="118"/>
    </row>
    <row r="420" ht="15.75" customHeight="1">
      <c r="I420" s="117"/>
      <c r="K420" s="117"/>
      <c r="L420" s="118"/>
    </row>
    <row r="421" ht="15.75" customHeight="1">
      <c r="I421" s="117"/>
      <c r="K421" s="117"/>
      <c r="L421" s="118"/>
    </row>
    <row r="422" ht="15.75" customHeight="1">
      <c r="I422" s="117"/>
      <c r="K422" s="117"/>
      <c r="L422" s="118"/>
    </row>
    <row r="423" ht="15.75" customHeight="1">
      <c r="I423" s="117"/>
      <c r="K423" s="117"/>
      <c r="L423" s="118"/>
    </row>
    <row r="424" ht="15.75" customHeight="1">
      <c r="I424" s="117"/>
      <c r="K424" s="117"/>
      <c r="L424" s="118"/>
    </row>
    <row r="425" ht="15.75" customHeight="1">
      <c r="I425" s="117"/>
      <c r="K425" s="117"/>
      <c r="L425" s="118"/>
    </row>
    <row r="426" ht="15.75" customHeight="1">
      <c r="I426" s="117"/>
      <c r="K426" s="117"/>
      <c r="L426" s="118"/>
    </row>
    <row r="427" ht="15.75" customHeight="1">
      <c r="I427" s="117"/>
      <c r="K427" s="117"/>
      <c r="L427" s="118"/>
    </row>
    <row r="428" ht="15.75" customHeight="1">
      <c r="I428" s="117"/>
      <c r="K428" s="117"/>
      <c r="L428" s="118"/>
    </row>
    <row r="429" ht="15.75" customHeight="1">
      <c r="I429" s="117"/>
      <c r="K429" s="117"/>
      <c r="L429" s="118"/>
    </row>
    <row r="430" ht="15.75" customHeight="1">
      <c r="I430" s="117"/>
      <c r="K430" s="117"/>
      <c r="L430" s="118"/>
    </row>
    <row r="431" ht="15.75" customHeight="1">
      <c r="I431" s="117"/>
      <c r="K431" s="117"/>
      <c r="L431" s="118"/>
    </row>
    <row r="432" ht="15.75" customHeight="1">
      <c r="I432" s="117"/>
      <c r="K432" s="117"/>
      <c r="L432" s="118"/>
    </row>
    <row r="433" ht="15.75" customHeight="1">
      <c r="I433" s="117"/>
      <c r="K433" s="117"/>
      <c r="L433" s="118"/>
    </row>
    <row r="434" ht="15.75" customHeight="1">
      <c r="I434" s="117"/>
      <c r="K434" s="117"/>
      <c r="L434" s="118"/>
    </row>
    <row r="435" ht="15.75" customHeight="1">
      <c r="I435" s="117"/>
      <c r="K435" s="117"/>
      <c r="L435" s="118"/>
    </row>
    <row r="436" ht="15.75" customHeight="1">
      <c r="I436" s="117"/>
      <c r="K436" s="117"/>
      <c r="L436" s="118"/>
    </row>
    <row r="437" ht="15.75" customHeight="1">
      <c r="I437" s="117"/>
      <c r="K437" s="117"/>
      <c r="L437" s="118"/>
    </row>
    <row r="438" ht="15.75" customHeight="1">
      <c r="I438" s="117"/>
      <c r="K438" s="117"/>
      <c r="L438" s="118"/>
    </row>
    <row r="439" ht="15.75" customHeight="1">
      <c r="I439" s="117"/>
      <c r="K439" s="117"/>
      <c r="L439" s="118"/>
    </row>
    <row r="440" ht="15.75" customHeight="1">
      <c r="I440" s="117"/>
      <c r="K440" s="117"/>
      <c r="L440" s="118"/>
    </row>
    <row r="441" ht="15.75" customHeight="1">
      <c r="I441" s="117"/>
      <c r="K441" s="117"/>
      <c r="L441" s="118"/>
    </row>
    <row r="442" ht="15.75" customHeight="1">
      <c r="I442" s="117"/>
      <c r="K442" s="117"/>
      <c r="L442" s="118"/>
    </row>
    <row r="443" ht="15.75" customHeight="1">
      <c r="I443" s="117"/>
      <c r="K443" s="117"/>
      <c r="L443" s="118"/>
    </row>
    <row r="444" ht="15.75" customHeight="1">
      <c r="I444" s="117"/>
      <c r="K444" s="117"/>
      <c r="L444" s="118"/>
    </row>
    <row r="445" ht="15.75" customHeight="1">
      <c r="I445" s="117"/>
      <c r="K445" s="117"/>
      <c r="L445" s="118"/>
    </row>
    <row r="446" ht="15.75" customHeight="1">
      <c r="I446" s="117"/>
      <c r="K446" s="117"/>
      <c r="L446" s="118"/>
    </row>
    <row r="447" ht="15.75" customHeight="1">
      <c r="I447" s="117"/>
      <c r="K447" s="117"/>
      <c r="L447" s="118"/>
    </row>
    <row r="448" ht="15.75" customHeight="1">
      <c r="I448" s="117"/>
      <c r="K448" s="117"/>
      <c r="L448" s="118"/>
    </row>
    <row r="449" ht="15.75" customHeight="1">
      <c r="I449" s="117"/>
      <c r="K449" s="117"/>
      <c r="L449" s="118"/>
    </row>
    <row r="450" ht="15.75" customHeight="1">
      <c r="I450" s="117"/>
      <c r="K450" s="117"/>
      <c r="L450" s="118"/>
    </row>
    <row r="451" ht="15.75" customHeight="1">
      <c r="I451" s="117"/>
      <c r="K451" s="117"/>
      <c r="L451" s="118"/>
    </row>
    <row r="452" ht="15.75" customHeight="1">
      <c r="I452" s="117"/>
      <c r="K452" s="117"/>
      <c r="L452" s="118"/>
    </row>
    <row r="453" ht="15.75" customHeight="1">
      <c r="I453" s="117"/>
      <c r="K453" s="117"/>
      <c r="L453" s="118"/>
    </row>
    <row r="454" ht="15.75" customHeight="1">
      <c r="I454" s="117"/>
      <c r="K454" s="117"/>
      <c r="L454" s="118"/>
    </row>
    <row r="455" ht="15.75" customHeight="1">
      <c r="I455" s="117"/>
      <c r="K455" s="117"/>
      <c r="L455" s="118"/>
    </row>
    <row r="456" ht="15.75" customHeight="1">
      <c r="I456" s="117"/>
      <c r="K456" s="117"/>
      <c r="L456" s="118"/>
    </row>
    <row r="457" ht="15.75" customHeight="1">
      <c r="I457" s="117"/>
      <c r="K457" s="117"/>
      <c r="L457" s="118"/>
    </row>
    <row r="458" ht="15.75" customHeight="1">
      <c r="I458" s="117"/>
      <c r="K458" s="117"/>
      <c r="L458" s="118"/>
    </row>
    <row r="459" ht="15.75" customHeight="1">
      <c r="I459" s="117"/>
      <c r="K459" s="117"/>
      <c r="L459" s="118"/>
    </row>
    <row r="460" ht="15.75" customHeight="1">
      <c r="I460" s="117"/>
      <c r="K460" s="117"/>
      <c r="L460" s="118"/>
    </row>
    <row r="461" ht="15.75" customHeight="1">
      <c r="I461" s="117"/>
      <c r="K461" s="117"/>
      <c r="L461" s="118"/>
    </row>
    <row r="462" ht="15.75" customHeight="1">
      <c r="I462" s="117"/>
      <c r="K462" s="117"/>
      <c r="L462" s="118"/>
    </row>
    <row r="463" ht="15.75" customHeight="1">
      <c r="I463" s="117"/>
      <c r="K463" s="117"/>
      <c r="L463" s="118"/>
    </row>
    <row r="464" ht="15.75" customHeight="1">
      <c r="I464" s="117"/>
      <c r="K464" s="117"/>
      <c r="L464" s="118"/>
    </row>
    <row r="465" ht="15.75" customHeight="1">
      <c r="I465" s="117"/>
      <c r="K465" s="117"/>
      <c r="L465" s="118"/>
    </row>
    <row r="466" ht="15.75" customHeight="1">
      <c r="I466" s="117"/>
      <c r="K466" s="117"/>
      <c r="L466" s="118"/>
    </row>
    <row r="467" ht="15.75" customHeight="1">
      <c r="I467" s="117"/>
      <c r="K467" s="117"/>
      <c r="L467" s="118"/>
    </row>
    <row r="468" ht="15.75" customHeight="1">
      <c r="I468" s="117"/>
      <c r="K468" s="117"/>
      <c r="L468" s="118"/>
    </row>
    <row r="469" ht="15.75" customHeight="1">
      <c r="I469" s="117"/>
      <c r="K469" s="117"/>
      <c r="L469" s="118"/>
    </row>
    <row r="470" ht="15.75" customHeight="1">
      <c r="I470" s="117"/>
      <c r="K470" s="117"/>
      <c r="L470" s="118"/>
    </row>
    <row r="471" ht="15.75" customHeight="1">
      <c r="I471" s="117"/>
      <c r="K471" s="117"/>
      <c r="L471" s="118"/>
    </row>
    <row r="472" ht="15.75" customHeight="1">
      <c r="I472" s="117"/>
      <c r="K472" s="117"/>
      <c r="L472" s="118"/>
    </row>
    <row r="473" ht="15.75" customHeight="1">
      <c r="I473" s="117"/>
      <c r="K473" s="117"/>
      <c r="L473" s="118"/>
    </row>
    <row r="474" ht="15.75" customHeight="1">
      <c r="I474" s="117"/>
      <c r="K474" s="117"/>
      <c r="L474" s="118"/>
    </row>
    <row r="475" ht="15.75" customHeight="1">
      <c r="I475" s="117"/>
      <c r="K475" s="117"/>
      <c r="L475" s="118"/>
    </row>
    <row r="476" ht="15.75" customHeight="1">
      <c r="I476" s="117"/>
      <c r="K476" s="117"/>
      <c r="L476" s="118"/>
    </row>
    <row r="477" ht="15.75" customHeight="1">
      <c r="I477" s="117"/>
      <c r="K477" s="117"/>
      <c r="L477" s="118"/>
    </row>
    <row r="478" ht="15.75" customHeight="1">
      <c r="I478" s="117"/>
      <c r="K478" s="117"/>
      <c r="L478" s="118"/>
    </row>
    <row r="479" ht="15.75" customHeight="1">
      <c r="I479" s="117"/>
      <c r="K479" s="117"/>
      <c r="L479" s="118"/>
    </row>
    <row r="480" ht="15.75" customHeight="1">
      <c r="I480" s="117"/>
      <c r="K480" s="117"/>
      <c r="L480" s="118"/>
    </row>
    <row r="481" ht="15.75" customHeight="1">
      <c r="I481" s="117"/>
      <c r="K481" s="117"/>
      <c r="L481" s="118"/>
    </row>
    <row r="482" ht="15.75" customHeight="1">
      <c r="I482" s="117"/>
      <c r="K482" s="117"/>
      <c r="L482" s="118"/>
    </row>
    <row r="483" ht="15.75" customHeight="1">
      <c r="I483" s="117"/>
      <c r="K483" s="117"/>
      <c r="L483" s="118"/>
    </row>
    <row r="484" ht="15.75" customHeight="1">
      <c r="I484" s="117"/>
      <c r="K484" s="117"/>
      <c r="L484" s="118"/>
    </row>
    <row r="485" ht="15.75" customHeight="1">
      <c r="I485" s="117"/>
      <c r="K485" s="117"/>
      <c r="L485" s="118"/>
    </row>
    <row r="486" ht="15.75" customHeight="1">
      <c r="I486" s="117"/>
      <c r="K486" s="117"/>
      <c r="L486" s="118"/>
    </row>
    <row r="487" ht="15.75" customHeight="1">
      <c r="I487" s="117"/>
      <c r="K487" s="117"/>
      <c r="L487" s="118"/>
    </row>
    <row r="488" ht="15.75" customHeight="1">
      <c r="I488" s="117"/>
      <c r="K488" s="117"/>
      <c r="L488" s="118"/>
    </row>
    <row r="489" ht="15.75" customHeight="1">
      <c r="I489" s="117"/>
      <c r="K489" s="117"/>
      <c r="L489" s="118"/>
    </row>
    <row r="490" ht="15.75" customHeight="1">
      <c r="I490" s="117"/>
      <c r="K490" s="117"/>
      <c r="L490" s="118"/>
    </row>
    <row r="491" ht="15.75" customHeight="1">
      <c r="I491" s="117"/>
      <c r="K491" s="117"/>
      <c r="L491" s="118"/>
    </row>
    <row r="492" ht="15.75" customHeight="1">
      <c r="I492" s="117"/>
      <c r="K492" s="117"/>
      <c r="L492" s="118"/>
    </row>
    <row r="493" ht="15.75" customHeight="1">
      <c r="I493" s="117"/>
      <c r="K493" s="117"/>
      <c r="L493" s="118"/>
    </row>
    <row r="494" ht="15.75" customHeight="1">
      <c r="I494" s="117"/>
      <c r="K494" s="117"/>
      <c r="L494" s="118"/>
    </row>
    <row r="495" ht="15.75" customHeight="1">
      <c r="I495" s="117"/>
      <c r="K495" s="117"/>
      <c r="L495" s="118"/>
    </row>
    <row r="496" ht="15.75" customHeight="1">
      <c r="I496" s="117"/>
      <c r="K496" s="117"/>
      <c r="L496" s="118"/>
    </row>
    <row r="497" ht="15.75" customHeight="1">
      <c r="I497" s="117"/>
      <c r="K497" s="117"/>
      <c r="L497" s="118"/>
    </row>
    <row r="498" ht="15.75" customHeight="1">
      <c r="I498" s="117"/>
      <c r="K498" s="117"/>
      <c r="L498" s="118"/>
    </row>
    <row r="499" ht="15.75" customHeight="1">
      <c r="I499" s="117"/>
      <c r="K499" s="117"/>
      <c r="L499" s="118"/>
    </row>
    <row r="500" ht="15.75" customHeight="1">
      <c r="I500" s="117"/>
      <c r="K500" s="117"/>
      <c r="L500" s="118"/>
    </row>
    <row r="501" ht="15.75" customHeight="1">
      <c r="I501" s="117"/>
      <c r="K501" s="117"/>
      <c r="L501" s="118"/>
    </row>
    <row r="502" ht="15.75" customHeight="1">
      <c r="I502" s="117"/>
      <c r="K502" s="117"/>
      <c r="L502" s="118"/>
    </row>
    <row r="503" ht="15.75" customHeight="1">
      <c r="I503" s="117"/>
      <c r="K503" s="117"/>
      <c r="L503" s="118"/>
    </row>
    <row r="504" ht="15.75" customHeight="1">
      <c r="I504" s="117"/>
      <c r="K504" s="117"/>
      <c r="L504" s="118"/>
    </row>
    <row r="505" ht="15.75" customHeight="1">
      <c r="I505" s="117"/>
      <c r="K505" s="117"/>
      <c r="L505" s="118"/>
    </row>
    <row r="506" ht="15.75" customHeight="1">
      <c r="I506" s="117"/>
      <c r="K506" s="117"/>
      <c r="L506" s="118"/>
    </row>
    <row r="507" ht="15.75" customHeight="1">
      <c r="I507" s="117"/>
      <c r="K507" s="117"/>
      <c r="L507" s="118"/>
    </row>
    <row r="508" ht="15.75" customHeight="1">
      <c r="I508" s="117"/>
      <c r="K508" s="117"/>
      <c r="L508" s="118"/>
    </row>
    <row r="509" ht="15.75" customHeight="1">
      <c r="I509" s="117"/>
      <c r="K509" s="117"/>
      <c r="L509" s="118"/>
    </row>
    <row r="510" ht="15.75" customHeight="1">
      <c r="I510" s="117"/>
      <c r="K510" s="117"/>
      <c r="L510" s="118"/>
    </row>
    <row r="511" ht="15.75" customHeight="1">
      <c r="I511" s="117"/>
      <c r="K511" s="117"/>
      <c r="L511" s="118"/>
    </row>
    <row r="512" ht="15.75" customHeight="1">
      <c r="I512" s="117"/>
      <c r="K512" s="117"/>
      <c r="L512" s="118"/>
    </row>
    <row r="513" ht="15.75" customHeight="1">
      <c r="I513" s="117"/>
      <c r="K513" s="117"/>
      <c r="L513" s="118"/>
    </row>
    <row r="514" ht="15.75" customHeight="1">
      <c r="I514" s="117"/>
      <c r="K514" s="117"/>
      <c r="L514" s="118"/>
    </row>
    <row r="515" ht="15.75" customHeight="1">
      <c r="I515" s="117"/>
      <c r="K515" s="117"/>
      <c r="L515" s="118"/>
    </row>
    <row r="516" ht="15.75" customHeight="1">
      <c r="I516" s="117"/>
      <c r="K516" s="117"/>
      <c r="L516" s="118"/>
    </row>
    <row r="517" ht="15.75" customHeight="1">
      <c r="I517" s="117"/>
      <c r="K517" s="117"/>
      <c r="L517" s="118"/>
    </row>
    <row r="518" ht="15.75" customHeight="1">
      <c r="I518" s="117"/>
      <c r="K518" s="117"/>
      <c r="L518" s="118"/>
    </row>
    <row r="519" ht="15.75" customHeight="1">
      <c r="I519" s="117"/>
      <c r="K519" s="117"/>
      <c r="L519" s="118"/>
    </row>
    <row r="520" ht="15.75" customHeight="1">
      <c r="I520" s="117"/>
      <c r="K520" s="117"/>
      <c r="L520" s="118"/>
    </row>
    <row r="521" ht="15.75" customHeight="1">
      <c r="I521" s="117"/>
      <c r="K521" s="117"/>
      <c r="L521" s="118"/>
    </row>
    <row r="522" ht="15.75" customHeight="1">
      <c r="I522" s="117"/>
      <c r="K522" s="117"/>
      <c r="L522" s="118"/>
    </row>
    <row r="523" ht="15.75" customHeight="1">
      <c r="I523" s="117"/>
      <c r="K523" s="117"/>
      <c r="L523" s="118"/>
    </row>
    <row r="524" ht="15.75" customHeight="1">
      <c r="I524" s="117"/>
      <c r="K524" s="117"/>
      <c r="L524" s="118"/>
    </row>
    <row r="525" ht="15.75" customHeight="1">
      <c r="I525" s="117"/>
      <c r="K525" s="117"/>
      <c r="L525" s="118"/>
    </row>
    <row r="526" ht="15.75" customHeight="1">
      <c r="I526" s="117"/>
      <c r="K526" s="117"/>
      <c r="L526" s="118"/>
    </row>
    <row r="527" ht="15.75" customHeight="1">
      <c r="I527" s="117"/>
      <c r="K527" s="117"/>
      <c r="L527" s="118"/>
    </row>
    <row r="528" ht="15.75" customHeight="1">
      <c r="I528" s="117"/>
      <c r="K528" s="117"/>
      <c r="L528" s="118"/>
    </row>
    <row r="529" ht="15.75" customHeight="1">
      <c r="I529" s="117"/>
      <c r="K529" s="117"/>
      <c r="L529" s="118"/>
    </row>
    <row r="530" ht="15.75" customHeight="1">
      <c r="I530" s="117"/>
      <c r="K530" s="117"/>
      <c r="L530" s="118"/>
    </row>
    <row r="531" ht="15.75" customHeight="1">
      <c r="I531" s="117"/>
      <c r="K531" s="117"/>
      <c r="L531" s="118"/>
    </row>
    <row r="532" ht="15.75" customHeight="1">
      <c r="I532" s="117"/>
      <c r="K532" s="117"/>
      <c r="L532" s="118"/>
    </row>
    <row r="533" ht="15.75" customHeight="1">
      <c r="I533" s="117"/>
      <c r="K533" s="117"/>
      <c r="L533" s="118"/>
    </row>
    <row r="534" ht="15.75" customHeight="1">
      <c r="I534" s="117"/>
      <c r="K534" s="117"/>
      <c r="L534" s="118"/>
    </row>
    <row r="535" ht="15.75" customHeight="1">
      <c r="I535" s="117"/>
      <c r="K535" s="117"/>
      <c r="L535" s="118"/>
    </row>
    <row r="536" ht="15.75" customHeight="1">
      <c r="I536" s="117"/>
      <c r="K536" s="117"/>
      <c r="L536" s="118"/>
    </row>
    <row r="537" ht="15.75" customHeight="1">
      <c r="I537" s="117"/>
      <c r="K537" s="117"/>
      <c r="L537" s="118"/>
    </row>
    <row r="538" ht="15.75" customHeight="1">
      <c r="I538" s="117"/>
      <c r="K538" s="117"/>
      <c r="L538" s="118"/>
    </row>
    <row r="539" ht="15.75" customHeight="1">
      <c r="I539" s="117"/>
      <c r="K539" s="117"/>
      <c r="L539" s="118"/>
    </row>
    <row r="540" ht="15.75" customHeight="1">
      <c r="I540" s="117"/>
      <c r="K540" s="117"/>
      <c r="L540" s="118"/>
    </row>
    <row r="541" ht="15.75" customHeight="1">
      <c r="I541" s="117"/>
      <c r="K541" s="117"/>
      <c r="L541" s="118"/>
    </row>
    <row r="542" ht="15.75" customHeight="1">
      <c r="I542" s="117"/>
      <c r="K542" s="117"/>
      <c r="L542" s="118"/>
    </row>
    <row r="543" ht="15.75" customHeight="1">
      <c r="I543" s="117"/>
      <c r="K543" s="117"/>
      <c r="L543" s="118"/>
    </row>
    <row r="544" ht="15.75" customHeight="1">
      <c r="I544" s="117"/>
      <c r="K544" s="117"/>
      <c r="L544" s="118"/>
    </row>
    <row r="545" ht="15.75" customHeight="1">
      <c r="I545" s="117"/>
      <c r="K545" s="117"/>
      <c r="L545" s="118"/>
    </row>
    <row r="546" ht="15.75" customHeight="1">
      <c r="I546" s="117"/>
      <c r="K546" s="117"/>
      <c r="L546" s="118"/>
    </row>
    <row r="547" ht="15.75" customHeight="1">
      <c r="I547" s="117"/>
      <c r="K547" s="117"/>
      <c r="L547" s="118"/>
    </row>
    <row r="548" ht="15.75" customHeight="1">
      <c r="I548" s="117"/>
      <c r="K548" s="117"/>
      <c r="L548" s="118"/>
    </row>
    <row r="549" ht="15.75" customHeight="1">
      <c r="I549" s="117"/>
      <c r="K549" s="117"/>
      <c r="L549" s="118"/>
    </row>
    <row r="550" ht="15.75" customHeight="1">
      <c r="I550" s="117"/>
      <c r="K550" s="117"/>
      <c r="L550" s="118"/>
    </row>
    <row r="551" ht="15.75" customHeight="1">
      <c r="I551" s="117"/>
      <c r="K551" s="117"/>
      <c r="L551" s="118"/>
    </row>
    <row r="552" ht="15.75" customHeight="1">
      <c r="I552" s="117"/>
      <c r="K552" s="117"/>
      <c r="L552" s="118"/>
    </row>
    <row r="553" ht="15.75" customHeight="1">
      <c r="I553" s="117"/>
      <c r="K553" s="117"/>
      <c r="L553" s="118"/>
    </row>
    <row r="554" ht="15.75" customHeight="1">
      <c r="I554" s="117"/>
      <c r="K554" s="117"/>
      <c r="L554" s="118"/>
    </row>
    <row r="555" ht="15.75" customHeight="1">
      <c r="I555" s="117"/>
      <c r="K555" s="117"/>
      <c r="L555" s="118"/>
    </row>
    <row r="556" ht="15.75" customHeight="1">
      <c r="I556" s="117"/>
      <c r="K556" s="117"/>
      <c r="L556" s="118"/>
    </row>
    <row r="557" ht="15.75" customHeight="1">
      <c r="I557" s="117"/>
      <c r="K557" s="117"/>
      <c r="L557" s="118"/>
    </row>
    <row r="558" ht="15.75" customHeight="1">
      <c r="I558" s="117"/>
      <c r="K558" s="117"/>
      <c r="L558" s="118"/>
    </row>
    <row r="559" ht="15.75" customHeight="1">
      <c r="I559" s="117"/>
      <c r="K559" s="117"/>
      <c r="L559" s="118"/>
    </row>
    <row r="560" ht="15.75" customHeight="1">
      <c r="I560" s="117"/>
      <c r="K560" s="117"/>
      <c r="L560" s="118"/>
    </row>
    <row r="561" ht="15.75" customHeight="1">
      <c r="I561" s="117"/>
      <c r="K561" s="117"/>
      <c r="L561" s="118"/>
    </row>
    <row r="562" ht="15.75" customHeight="1">
      <c r="I562" s="117"/>
      <c r="K562" s="117"/>
      <c r="L562" s="118"/>
    </row>
    <row r="563" ht="15.75" customHeight="1">
      <c r="I563" s="117"/>
      <c r="K563" s="117"/>
      <c r="L563" s="118"/>
    </row>
    <row r="564" ht="15.75" customHeight="1">
      <c r="I564" s="117"/>
      <c r="K564" s="117"/>
      <c r="L564" s="118"/>
    </row>
    <row r="565" ht="15.75" customHeight="1">
      <c r="I565" s="117"/>
      <c r="K565" s="117"/>
      <c r="L565" s="118"/>
    </row>
    <row r="566" ht="15.75" customHeight="1">
      <c r="I566" s="117"/>
      <c r="K566" s="117"/>
      <c r="L566" s="118"/>
    </row>
    <row r="567" ht="15.75" customHeight="1">
      <c r="I567" s="117"/>
      <c r="K567" s="117"/>
      <c r="L567" s="118"/>
    </row>
    <row r="568" ht="15.75" customHeight="1">
      <c r="I568" s="117"/>
      <c r="K568" s="117"/>
      <c r="L568" s="118"/>
    </row>
    <row r="569" ht="15.75" customHeight="1">
      <c r="I569" s="117"/>
      <c r="K569" s="117"/>
      <c r="L569" s="118"/>
    </row>
    <row r="570" ht="15.75" customHeight="1">
      <c r="I570" s="117"/>
      <c r="K570" s="117"/>
      <c r="L570" s="118"/>
    </row>
    <row r="571" ht="15.75" customHeight="1">
      <c r="I571" s="117"/>
      <c r="K571" s="117"/>
      <c r="L571" s="118"/>
    </row>
    <row r="572" ht="15.75" customHeight="1">
      <c r="I572" s="117"/>
      <c r="K572" s="117"/>
      <c r="L572" s="118"/>
    </row>
    <row r="573" ht="15.75" customHeight="1">
      <c r="I573" s="117"/>
      <c r="K573" s="117"/>
      <c r="L573" s="118"/>
    </row>
    <row r="574" ht="15.75" customHeight="1">
      <c r="I574" s="117"/>
      <c r="K574" s="117"/>
      <c r="L574" s="118"/>
    </row>
    <row r="575" ht="15.75" customHeight="1">
      <c r="I575" s="117"/>
      <c r="K575" s="117"/>
      <c r="L575" s="118"/>
    </row>
    <row r="576" ht="15.75" customHeight="1">
      <c r="I576" s="117"/>
      <c r="K576" s="117"/>
      <c r="L576" s="118"/>
    </row>
    <row r="577" ht="15.75" customHeight="1">
      <c r="I577" s="117"/>
      <c r="K577" s="117"/>
      <c r="L577" s="118"/>
    </row>
    <row r="578" ht="15.75" customHeight="1">
      <c r="I578" s="117"/>
      <c r="K578" s="117"/>
      <c r="L578" s="118"/>
    </row>
    <row r="579" ht="15.75" customHeight="1">
      <c r="I579" s="117"/>
      <c r="K579" s="117"/>
      <c r="L579" s="118"/>
    </row>
    <row r="580" ht="15.75" customHeight="1">
      <c r="I580" s="117"/>
      <c r="K580" s="117"/>
      <c r="L580" s="118"/>
    </row>
    <row r="581" ht="15.75" customHeight="1">
      <c r="I581" s="117"/>
      <c r="K581" s="117"/>
      <c r="L581" s="118"/>
    </row>
    <row r="582" ht="15.75" customHeight="1">
      <c r="I582" s="117"/>
      <c r="K582" s="117"/>
      <c r="L582" s="118"/>
    </row>
    <row r="583" ht="15.75" customHeight="1">
      <c r="I583" s="117"/>
      <c r="K583" s="117"/>
      <c r="L583" s="118"/>
    </row>
    <row r="584" ht="15.75" customHeight="1">
      <c r="I584" s="117"/>
      <c r="K584" s="117"/>
      <c r="L584" s="118"/>
    </row>
    <row r="585" ht="15.75" customHeight="1">
      <c r="I585" s="117"/>
      <c r="K585" s="117"/>
      <c r="L585" s="118"/>
    </row>
    <row r="586" ht="15.75" customHeight="1">
      <c r="I586" s="117"/>
      <c r="K586" s="117"/>
      <c r="L586" s="118"/>
    </row>
    <row r="587" ht="15.75" customHeight="1">
      <c r="I587" s="117"/>
      <c r="K587" s="117"/>
      <c r="L587" s="118"/>
    </row>
    <row r="588" ht="15.75" customHeight="1">
      <c r="I588" s="117"/>
      <c r="K588" s="117"/>
      <c r="L588" s="118"/>
    </row>
    <row r="589" ht="15.75" customHeight="1">
      <c r="I589" s="117"/>
      <c r="K589" s="117"/>
      <c r="L589" s="118"/>
    </row>
    <row r="590" ht="15.75" customHeight="1">
      <c r="I590" s="117"/>
      <c r="K590" s="117"/>
      <c r="L590" s="118"/>
    </row>
    <row r="591" ht="15.75" customHeight="1">
      <c r="I591" s="117"/>
      <c r="K591" s="117"/>
      <c r="L591" s="118"/>
    </row>
    <row r="592" ht="15.75" customHeight="1">
      <c r="I592" s="117"/>
      <c r="K592" s="117"/>
      <c r="L592" s="118"/>
    </row>
    <row r="593" ht="15.75" customHeight="1">
      <c r="I593" s="117"/>
      <c r="K593" s="117"/>
      <c r="L593" s="118"/>
    </row>
    <row r="594" ht="15.75" customHeight="1">
      <c r="I594" s="117"/>
      <c r="K594" s="117"/>
      <c r="L594" s="118"/>
    </row>
    <row r="595" ht="15.75" customHeight="1">
      <c r="I595" s="117"/>
      <c r="K595" s="117"/>
      <c r="L595" s="118"/>
    </row>
    <row r="596" ht="15.75" customHeight="1">
      <c r="I596" s="117"/>
      <c r="K596" s="117"/>
      <c r="L596" s="118"/>
    </row>
    <row r="597" ht="15.75" customHeight="1">
      <c r="I597" s="117"/>
      <c r="K597" s="117"/>
      <c r="L597" s="118"/>
    </row>
    <row r="598" ht="15.75" customHeight="1">
      <c r="I598" s="117"/>
      <c r="K598" s="117"/>
      <c r="L598" s="118"/>
    </row>
    <row r="599" ht="15.75" customHeight="1">
      <c r="I599" s="117"/>
      <c r="K599" s="117"/>
      <c r="L599" s="118"/>
    </row>
    <row r="600" ht="15.75" customHeight="1">
      <c r="I600" s="117"/>
      <c r="K600" s="117"/>
      <c r="L600" s="118"/>
    </row>
    <row r="601" ht="15.75" customHeight="1">
      <c r="I601" s="117"/>
      <c r="K601" s="117"/>
      <c r="L601" s="118"/>
    </row>
    <row r="602" ht="15.75" customHeight="1">
      <c r="I602" s="117"/>
      <c r="K602" s="117"/>
      <c r="L602" s="118"/>
    </row>
    <row r="603" ht="15.75" customHeight="1">
      <c r="I603" s="117"/>
      <c r="K603" s="117"/>
      <c r="L603" s="118"/>
    </row>
    <row r="604" ht="15.75" customHeight="1">
      <c r="I604" s="117"/>
      <c r="K604" s="117"/>
      <c r="L604" s="118"/>
    </row>
    <row r="605" ht="15.75" customHeight="1">
      <c r="I605" s="117"/>
      <c r="K605" s="117"/>
      <c r="L605" s="118"/>
    </row>
    <row r="606" ht="15.75" customHeight="1">
      <c r="I606" s="117"/>
      <c r="K606" s="117"/>
      <c r="L606" s="118"/>
    </row>
    <row r="607" ht="15.75" customHeight="1">
      <c r="I607" s="117"/>
      <c r="K607" s="117"/>
      <c r="L607" s="118"/>
    </row>
    <row r="608" ht="15.75" customHeight="1">
      <c r="I608" s="117"/>
      <c r="K608" s="117"/>
      <c r="L608" s="118"/>
    </row>
    <row r="609" ht="15.75" customHeight="1">
      <c r="I609" s="117"/>
      <c r="K609" s="117"/>
      <c r="L609" s="118"/>
    </row>
    <row r="610" ht="15.75" customHeight="1">
      <c r="I610" s="117"/>
      <c r="K610" s="117"/>
      <c r="L610" s="118"/>
    </row>
    <row r="611" ht="15.75" customHeight="1">
      <c r="I611" s="117"/>
      <c r="K611" s="117"/>
      <c r="L611" s="118"/>
    </row>
    <row r="612" ht="15.75" customHeight="1">
      <c r="I612" s="117"/>
      <c r="K612" s="117"/>
      <c r="L612" s="118"/>
    </row>
    <row r="613" ht="15.75" customHeight="1">
      <c r="I613" s="117"/>
      <c r="K613" s="117"/>
      <c r="L613" s="118"/>
    </row>
    <row r="614" ht="15.75" customHeight="1">
      <c r="I614" s="117"/>
      <c r="K614" s="117"/>
      <c r="L614" s="118"/>
    </row>
    <row r="615" ht="15.75" customHeight="1">
      <c r="I615" s="117"/>
      <c r="K615" s="117"/>
      <c r="L615" s="118"/>
    </row>
    <row r="616" ht="15.75" customHeight="1">
      <c r="I616" s="117"/>
      <c r="K616" s="117"/>
      <c r="L616" s="118"/>
    </row>
    <row r="617" ht="15.75" customHeight="1">
      <c r="I617" s="117"/>
      <c r="K617" s="117"/>
      <c r="L617" s="118"/>
    </row>
    <row r="618" ht="15.75" customHeight="1">
      <c r="I618" s="117"/>
      <c r="K618" s="117"/>
      <c r="L618" s="118"/>
    </row>
    <row r="619" ht="15.75" customHeight="1">
      <c r="I619" s="117"/>
      <c r="K619" s="117"/>
      <c r="L619" s="118"/>
    </row>
    <row r="620" ht="15.75" customHeight="1">
      <c r="I620" s="117"/>
      <c r="K620" s="117"/>
      <c r="L620" s="118"/>
    </row>
    <row r="621" ht="15.75" customHeight="1">
      <c r="I621" s="117"/>
      <c r="K621" s="117"/>
      <c r="L621" s="118"/>
    </row>
    <row r="622" ht="15.75" customHeight="1">
      <c r="I622" s="117"/>
      <c r="K622" s="117"/>
      <c r="L622" s="118"/>
    </row>
    <row r="623" ht="15.75" customHeight="1">
      <c r="I623" s="117"/>
      <c r="K623" s="117"/>
      <c r="L623" s="118"/>
    </row>
    <row r="624" ht="15.75" customHeight="1">
      <c r="I624" s="117"/>
      <c r="K624" s="117"/>
      <c r="L624" s="118"/>
    </row>
    <row r="625" ht="15.75" customHeight="1">
      <c r="I625" s="117"/>
      <c r="K625" s="117"/>
      <c r="L625" s="118"/>
    </row>
    <row r="626" ht="15.75" customHeight="1">
      <c r="I626" s="117"/>
      <c r="K626" s="117"/>
      <c r="L626" s="118"/>
    </row>
    <row r="627" ht="15.75" customHeight="1">
      <c r="I627" s="117"/>
      <c r="K627" s="117"/>
      <c r="L627" s="118"/>
    </row>
    <row r="628" ht="15.75" customHeight="1">
      <c r="I628" s="117"/>
      <c r="K628" s="117"/>
      <c r="L628" s="118"/>
    </row>
    <row r="629" ht="15.75" customHeight="1">
      <c r="I629" s="117"/>
      <c r="K629" s="117"/>
      <c r="L629" s="118"/>
    </row>
    <row r="630" ht="15.75" customHeight="1">
      <c r="I630" s="117"/>
      <c r="K630" s="117"/>
      <c r="L630" s="118"/>
    </row>
    <row r="631" ht="15.75" customHeight="1">
      <c r="I631" s="117"/>
      <c r="K631" s="117"/>
      <c r="L631" s="118"/>
    </row>
    <row r="632" ht="15.75" customHeight="1">
      <c r="I632" s="117"/>
      <c r="K632" s="117"/>
      <c r="L632" s="118"/>
    </row>
    <row r="633" ht="15.75" customHeight="1">
      <c r="I633" s="117"/>
      <c r="K633" s="117"/>
      <c r="L633" s="118"/>
    </row>
    <row r="634" ht="15.75" customHeight="1">
      <c r="I634" s="117"/>
      <c r="K634" s="117"/>
      <c r="L634" s="118"/>
    </row>
    <row r="635" ht="15.75" customHeight="1">
      <c r="I635" s="117"/>
      <c r="K635" s="117"/>
      <c r="L635" s="118"/>
    </row>
    <row r="636" ht="15.75" customHeight="1">
      <c r="I636" s="117"/>
      <c r="K636" s="117"/>
      <c r="L636" s="118"/>
    </row>
    <row r="637" ht="15.75" customHeight="1">
      <c r="I637" s="117"/>
      <c r="K637" s="117"/>
      <c r="L637" s="118"/>
    </row>
    <row r="638" ht="15.75" customHeight="1">
      <c r="I638" s="117"/>
      <c r="K638" s="117"/>
      <c r="L638" s="118"/>
    </row>
    <row r="639" ht="15.75" customHeight="1">
      <c r="I639" s="117"/>
      <c r="K639" s="117"/>
      <c r="L639" s="118"/>
    </row>
    <row r="640" ht="15.75" customHeight="1">
      <c r="I640" s="117"/>
      <c r="K640" s="117"/>
      <c r="L640" s="118"/>
    </row>
    <row r="641" ht="15.75" customHeight="1">
      <c r="I641" s="117"/>
      <c r="K641" s="117"/>
      <c r="L641" s="118"/>
    </row>
    <row r="642" ht="15.75" customHeight="1">
      <c r="I642" s="117"/>
      <c r="K642" s="117"/>
      <c r="L642" s="118"/>
    </row>
    <row r="643" ht="15.75" customHeight="1">
      <c r="I643" s="117"/>
      <c r="K643" s="117"/>
      <c r="L643" s="118"/>
    </row>
    <row r="644" ht="15.75" customHeight="1">
      <c r="I644" s="117"/>
      <c r="K644" s="117"/>
      <c r="L644" s="118"/>
    </row>
    <row r="645" ht="15.75" customHeight="1">
      <c r="I645" s="117"/>
      <c r="K645" s="117"/>
      <c r="L645" s="118"/>
    </row>
    <row r="646" ht="15.75" customHeight="1">
      <c r="I646" s="117"/>
      <c r="K646" s="117"/>
      <c r="L646" s="118"/>
    </row>
    <row r="647" ht="15.75" customHeight="1">
      <c r="I647" s="117"/>
      <c r="K647" s="117"/>
      <c r="L647" s="118"/>
    </row>
    <row r="648" ht="15.75" customHeight="1">
      <c r="I648" s="117"/>
      <c r="K648" s="117"/>
      <c r="L648" s="118"/>
    </row>
    <row r="649" ht="15.75" customHeight="1">
      <c r="I649" s="117"/>
      <c r="K649" s="117"/>
      <c r="L649" s="118"/>
    </row>
    <row r="650" ht="15.75" customHeight="1">
      <c r="I650" s="117"/>
      <c r="K650" s="117"/>
      <c r="L650" s="118"/>
    </row>
    <row r="651" ht="15.75" customHeight="1">
      <c r="I651" s="117"/>
      <c r="K651" s="117"/>
      <c r="L651" s="118"/>
    </row>
    <row r="652" ht="15.75" customHeight="1">
      <c r="I652" s="117"/>
      <c r="K652" s="117"/>
      <c r="L652" s="118"/>
    </row>
    <row r="653" ht="15.75" customHeight="1">
      <c r="I653" s="117"/>
      <c r="K653" s="117"/>
      <c r="L653" s="118"/>
    </row>
    <row r="654" ht="15.75" customHeight="1">
      <c r="I654" s="117"/>
      <c r="K654" s="117"/>
      <c r="L654" s="118"/>
    </row>
    <row r="655" ht="15.75" customHeight="1">
      <c r="I655" s="117"/>
      <c r="K655" s="117"/>
      <c r="L655" s="118"/>
    </row>
    <row r="656" ht="15.75" customHeight="1">
      <c r="I656" s="117"/>
      <c r="K656" s="117"/>
      <c r="L656" s="118"/>
    </row>
    <row r="657" ht="15.75" customHeight="1">
      <c r="I657" s="117"/>
      <c r="K657" s="117"/>
      <c r="L657" s="118"/>
    </row>
    <row r="658" ht="15.75" customHeight="1">
      <c r="I658" s="117"/>
      <c r="K658" s="117"/>
      <c r="L658" s="118"/>
    </row>
    <row r="659" ht="15.75" customHeight="1">
      <c r="I659" s="117"/>
      <c r="K659" s="117"/>
      <c r="L659" s="118"/>
    </row>
    <row r="660" ht="15.75" customHeight="1">
      <c r="I660" s="117"/>
      <c r="K660" s="117"/>
      <c r="L660" s="118"/>
    </row>
    <row r="661" ht="15.75" customHeight="1">
      <c r="I661" s="117"/>
      <c r="K661" s="117"/>
      <c r="L661" s="118"/>
    </row>
    <row r="662" ht="15.75" customHeight="1">
      <c r="I662" s="117"/>
      <c r="K662" s="117"/>
      <c r="L662" s="118"/>
    </row>
    <row r="663" ht="15.75" customHeight="1">
      <c r="I663" s="117"/>
      <c r="K663" s="117"/>
      <c r="L663" s="118"/>
    </row>
    <row r="664" ht="15.75" customHeight="1">
      <c r="I664" s="117"/>
      <c r="K664" s="117"/>
      <c r="L664" s="118"/>
    </row>
    <row r="665" ht="15.75" customHeight="1">
      <c r="I665" s="117"/>
      <c r="K665" s="117"/>
      <c r="L665" s="118"/>
    </row>
    <row r="666" ht="15.75" customHeight="1">
      <c r="I666" s="117"/>
      <c r="K666" s="117"/>
      <c r="L666" s="118"/>
    </row>
    <row r="667" ht="15.75" customHeight="1">
      <c r="I667" s="117"/>
      <c r="K667" s="117"/>
      <c r="L667" s="118"/>
    </row>
    <row r="668" ht="15.75" customHeight="1">
      <c r="I668" s="117"/>
      <c r="K668" s="117"/>
      <c r="L668" s="118"/>
    </row>
    <row r="669" ht="15.75" customHeight="1">
      <c r="I669" s="117"/>
      <c r="K669" s="117"/>
      <c r="L669" s="118"/>
    </row>
    <row r="670" ht="15.75" customHeight="1">
      <c r="I670" s="117"/>
      <c r="K670" s="117"/>
      <c r="L670" s="118"/>
    </row>
    <row r="671" ht="15.75" customHeight="1">
      <c r="I671" s="117"/>
      <c r="K671" s="117"/>
      <c r="L671" s="118"/>
    </row>
    <row r="672" ht="15.75" customHeight="1">
      <c r="I672" s="117"/>
      <c r="K672" s="117"/>
      <c r="L672" s="118"/>
    </row>
    <row r="673" ht="15.75" customHeight="1">
      <c r="I673" s="117"/>
      <c r="K673" s="117"/>
      <c r="L673" s="118"/>
    </row>
    <row r="674" ht="15.75" customHeight="1">
      <c r="I674" s="117"/>
      <c r="K674" s="117"/>
      <c r="L674" s="118"/>
    </row>
    <row r="675" ht="15.75" customHeight="1">
      <c r="I675" s="117"/>
      <c r="K675" s="117"/>
      <c r="L675" s="118"/>
    </row>
    <row r="676" ht="15.75" customHeight="1">
      <c r="I676" s="117"/>
      <c r="K676" s="117"/>
      <c r="L676" s="118"/>
    </row>
    <row r="677" ht="15.75" customHeight="1">
      <c r="I677" s="117"/>
      <c r="K677" s="117"/>
      <c r="L677" s="118"/>
    </row>
    <row r="678" ht="15.75" customHeight="1">
      <c r="I678" s="117"/>
      <c r="K678" s="117"/>
      <c r="L678" s="118"/>
    </row>
    <row r="679" ht="15.75" customHeight="1">
      <c r="I679" s="117"/>
      <c r="K679" s="117"/>
      <c r="L679" s="118"/>
    </row>
    <row r="680" ht="15.75" customHeight="1">
      <c r="I680" s="117"/>
      <c r="K680" s="117"/>
      <c r="L680" s="118"/>
    </row>
    <row r="681" ht="15.75" customHeight="1">
      <c r="I681" s="117"/>
      <c r="K681" s="117"/>
      <c r="L681" s="118"/>
    </row>
    <row r="682" ht="15.75" customHeight="1">
      <c r="I682" s="117"/>
      <c r="K682" s="117"/>
      <c r="L682" s="118"/>
    </row>
    <row r="683" ht="15.75" customHeight="1">
      <c r="I683" s="117"/>
      <c r="K683" s="117"/>
      <c r="L683" s="118"/>
    </row>
    <row r="684" ht="15.75" customHeight="1">
      <c r="I684" s="117"/>
      <c r="K684" s="117"/>
      <c r="L684" s="118"/>
    </row>
    <row r="685" ht="15.75" customHeight="1">
      <c r="I685" s="117"/>
      <c r="K685" s="117"/>
      <c r="L685" s="118"/>
    </row>
    <row r="686" ht="15.75" customHeight="1">
      <c r="I686" s="117"/>
      <c r="K686" s="117"/>
      <c r="L686" s="118"/>
    </row>
    <row r="687" ht="15.75" customHeight="1">
      <c r="I687" s="117"/>
      <c r="K687" s="117"/>
      <c r="L687" s="118"/>
    </row>
    <row r="688" ht="15.75" customHeight="1">
      <c r="I688" s="117"/>
      <c r="K688" s="117"/>
      <c r="L688" s="118"/>
    </row>
    <row r="689" ht="15.75" customHeight="1">
      <c r="I689" s="117"/>
      <c r="K689" s="117"/>
      <c r="L689" s="118"/>
    </row>
    <row r="690" ht="15.75" customHeight="1">
      <c r="I690" s="117"/>
      <c r="K690" s="117"/>
      <c r="L690" s="118"/>
    </row>
    <row r="691" ht="15.75" customHeight="1">
      <c r="I691" s="117"/>
      <c r="K691" s="117"/>
      <c r="L691" s="118"/>
    </row>
    <row r="692" ht="15.75" customHeight="1">
      <c r="I692" s="117"/>
      <c r="K692" s="117"/>
      <c r="L692" s="118"/>
    </row>
    <row r="693" ht="15.75" customHeight="1">
      <c r="I693" s="117"/>
      <c r="K693" s="117"/>
      <c r="L693" s="118"/>
    </row>
    <row r="694" ht="15.75" customHeight="1">
      <c r="I694" s="117"/>
      <c r="K694" s="117"/>
      <c r="L694" s="118"/>
    </row>
    <row r="695" ht="15.75" customHeight="1">
      <c r="I695" s="117"/>
      <c r="K695" s="117"/>
      <c r="L695" s="118"/>
    </row>
    <row r="696" ht="15.75" customHeight="1">
      <c r="I696" s="117"/>
      <c r="K696" s="117"/>
      <c r="L696" s="118"/>
    </row>
    <row r="697" ht="15.75" customHeight="1">
      <c r="I697" s="117"/>
      <c r="K697" s="117"/>
      <c r="L697" s="118"/>
    </row>
    <row r="698" ht="15.75" customHeight="1">
      <c r="I698" s="117"/>
      <c r="K698" s="117"/>
      <c r="L698" s="118"/>
    </row>
    <row r="699" ht="15.75" customHeight="1">
      <c r="I699" s="117"/>
      <c r="K699" s="117"/>
      <c r="L699" s="118"/>
    </row>
    <row r="700" ht="15.75" customHeight="1">
      <c r="I700" s="117"/>
      <c r="K700" s="117"/>
      <c r="L700" s="118"/>
    </row>
    <row r="701" ht="15.75" customHeight="1">
      <c r="I701" s="117"/>
      <c r="K701" s="117"/>
      <c r="L701" s="118"/>
    </row>
    <row r="702" ht="15.75" customHeight="1">
      <c r="I702" s="117"/>
      <c r="K702" s="117"/>
      <c r="L702" s="118"/>
    </row>
    <row r="703" ht="15.75" customHeight="1">
      <c r="I703" s="117"/>
      <c r="K703" s="117"/>
      <c r="L703" s="118"/>
    </row>
    <row r="704" ht="15.75" customHeight="1">
      <c r="I704" s="117"/>
      <c r="K704" s="117"/>
      <c r="L704" s="118"/>
    </row>
    <row r="705" ht="15.75" customHeight="1">
      <c r="I705" s="117"/>
      <c r="K705" s="117"/>
      <c r="L705" s="118"/>
    </row>
    <row r="706" ht="15.75" customHeight="1">
      <c r="I706" s="117"/>
      <c r="K706" s="117"/>
      <c r="L706" s="118"/>
    </row>
    <row r="707" ht="15.75" customHeight="1">
      <c r="I707" s="117"/>
      <c r="K707" s="117"/>
      <c r="L707" s="118"/>
    </row>
    <row r="708" ht="15.75" customHeight="1">
      <c r="I708" s="117"/>
      <c r="K708" s="117"/>
      <c r="L708" s="118"/>
    </row>
    <row r="709" ht="15.75" customHeight="1">
      <c r="I709" s="117"/>
      <c r="K709" s="117"/>
      <c r="L709" s="118"/>
    </row>
    <row r="710" ht="15.75" customHeight="1">
      <c r="I710" s="117"/>
      <c r="K710" s="117"/>
      <c r="L710" s="118"/>
    </row>
    <row r="711" ht="15.75" customHeight="1">
      <c r="I711" s="117"/>
      <c r="K711" s="117"/>
      <c r="L711" s="118"/>
    </row>
    <row r="712" ht="15.75" customHeight="1">
      <c r="I712" s="117"/>
      <c r="K712" s="117"/>
      <c r="L712" s="118"/>
    </row>
    <row r="713" ht="15.75" customHeight="1">
      <c r="I713" s="117"/>
      <c r="K713" s="117"/>
      <c r="L713" s="118"/>
    </row>
    <row r="714" ht="15.75" customHeight="1">
      <c r="I714" s="117"/>
      <c r="K714" s="117"/>
      <c r="L714" s="118"/>
    </row>
    <row r="715" ht="15.75" customHeight="1">
      <c r="I715" s="117"/>
      <c r="K715" s="117"/>
      <c r="L715" s="118"/>
    </row>
    <row r="716" ht="15.75" customHeight="1">
      <c r="I716" s="117"/>
      <c r="K716" s="117"/>
      <c r="L716" s="118"/>
    </row>
    <row r="717" ht="15.75" customHeight="1">
      <c r="I717" s="117"/>
      <c r="K717" s="117"/>
      <c r="L717" s="118"/>
    </row>
    <row r="718" ht="15.75" customHeight="1">
      <c r="I718" s="117"/>
      <c r="K718" s="117"/>
      <c r="L718" s="118"/>
    </row>
    <row r="719" ht="15.75" customHeight="1">
      <c r="I719" s="117"/>
      <c r="K719" s="117"/>
      <c r="L719" s="118"/>
    </row>
    <row r="720" ht="15.75" customHeight="1">
      <c r="I720" s="117"/>
      <c r="K720" s="117"/>
      <c r="L720" s="118"/>
    </row>
    <row r="721" ht="15.75" customHeight="1">
      <c r="I721" s="117"/>
      <c r="K721" s="117"/>
      <c r="L721" s="118"/>
    </row>
    <row r="722" ht="15.75" customHeight="1">
      <c r="I722" s="117"/>
      <c r="K722" s="117"/>
      <c r="L722" s="118"/>
    </row>
    <row r="723" ht="15.75" customHeight="1">
      <c r="I723" s="117"/>
      <c r="K723" s="117"/>
      <c r="L723" s="118"/>
    </row>
    <row r="724" ht="15.75" customHeight="1">
      <c r="I724" s="117"/>
      <c r="K724" s="117"/>
      <c r="L724" s="118"/>
    </row>
    <row r="725" ht="15.75" customHeight="1">
      <c r="I725" s="117"/>
      <c r="K725" s="117"/>
      <c r="L725" s="118"/>
    </row>
    <row r="726" ht="15.75" customHeight="1">
      <c r="I726" s="117"/>
      <c r="K726" s="117"/>
      <c r="L726" s="118"/>
    </row>
    <row r="727" ht="15.75" customHeight="1">
      <c r="I727" s="117"/>
      <c r="K727" s="117"/>
      <c r="L727" s="118"/>
    </row>
    <row r="728" ht="15.75" customHeight="1">
      <c r="I728" s="117"/>
      <c r="K728" s="117"/>
      <c r="L728" s="118"/>
    </row>
    <row r="729" ht="15.75" customHeight="1">
      <c r="I729" s="117"/>
      <c r="K729" s="117"/>
      <c r="L729" s="118"/>
    </row>
    <row r="730" ht="15.75" customHeight="1">
      <c r="I730" s="117"/>
      <c r="K730" s="117"/>
      <c r="L730" s="118"/>
    </row>
    <row r="731" ht="15.75" customHeight="1">
      <c r="I731" s="117"/>
      <c r="K731" s="117"/>
      <c r="L731" s="118"/>
    </row>
    <row r="732" ht="15.75" customHeight="1">
      <c r="I732" s="117"/>
      <c r="K732" s="117"/>
      <c r="L732" s="118"/>
    </row>
    <row r="733" ht="15.75" customHeight="1">
      <c r="I733" s="117"/>
      <c r="K733" s="117"/>
      <c r="L733" s="118"/>
    </row>
    <row r="734" ht="15.75" customHeight="1">
      <c r="I734" s="117"/>
      <c r="K734" s="117"/>
      <c r="L734" s="118"/>
    </row>
    <row r="735" ht="15.75" customHeight="1">
      <c r="I735" s="117"/>
      <c r="K735" s="117"/>
      <c r="L735" s="118"/>
    </row>
    <row r="736" ht="15.75" customHeight="1">
      <c r="I736" s="117"/>
      <c r="K736" s="117"/>
      <c r="L736" s="118"/>
    </row>
    <row r="737" ht="15.75" customHeight="1">
      <c r="I737" s="117"/>
      <c r="K737" s="117"/>
      <c r="L737" s="118"/>
    </row>
    <row r="738" ht="15.75" customHeight="1">
      <c r="I738" s="117"/>
      <c r="K738" s="117"/>
      <c r="L738" s="118"/>
    </row>
    <row r="739" ht="15.75" customHeight="1">
      <c r="I739" s="117"/>
      <c r="K739" s="117"/>
      <c r="L739" s="118"/>
    </row>
    <row r="740" ht="15.75" customHeight="1">
      <c r="I740" s="117"/>
      <c r="K740" s="117"/>
      <c r="L740" s="118"/>
    </row>
    <row r="741" ht="15.75" customHeight="1">
      <c r="I741" s="117"/>
      <c r="K741" s="117"/>
      <c r="L741" s="118"/>
    </row>
    <row r="742" ht="15.75" customHeight="1">
      <c r="I742" s="117"/>
      <c r="K742" s="117"/>
      <c r="L742" s="118"/>
    </row>
    <row r="743" ht="15.75" customHeight="1">
      <c r="I743" s="117"/>
      <c r="K743" s="117"/>
      <c r="L743" s="118"/>
    </row>
    <row r="744" ht="15.75" customHeight="1">
      <c r="I744" s="117"/>
      <c r="K744" s="117"/>
      <c r="L744" s="118"/>
    </row>
    <row r="745" ht="15.75" customHeight="1">
      <c r="I745" s="117"/>
      <c r="K745" s="117"/>
      <c r="L745" s="118"/>
    </row>
    <row r="746" ht="15.75" customHeight="1">
      <c r="I746" s="117"/>
      <c r="K746" s="117"/>
      <c r="L746" s="118"/>
    </row>
    <row r="747" ht="15.75" customHeight="1">
      <c r="I747" s="117"/>
      <c r="K747" s="117"/>
      <c r="L747" s="118"/>
    </row>
    <row r="748" ht="15.75" customHeight="1">
      <c r="I748" s="117"/>
      <c r="K748" s="117"/>
      <c r="L748" s="118"/>
    </row>
    <row r="749" ht="15.75" customHeight="1">
      <c r="I749" s="117"/>
      <c r="K749" s="117"/>
      <c r="L749" s="118"/>
    </row>
    <row r="750" ht="15.75" customHeight="1">
      <c r="I750" s="117"/>
      <c r="K750" s="117"/>
      <c r="L750" s="118"/>
    </row>
    <row r="751" ht="15.75" customHeight="1">
      <c r="I751" s="117"/>
      <c r="K751" s="117"/>
      <c r="L751" s="118"/>
    </row>
    <row r="752" ht="15.75" customHeight="1">
      <c r="I752" s="117"/>
      <c r="K752" s="117"/>
      <c r="L752" s="118"/>
    </row>
    <row r="753" ht="15.75" customHeight="1">
      <c r="I753" s="117"/>
      <c r="K753" s="117"/>
      <c r="L753" s="118"/>
    </row>
    <row r="754" ht="15.75" customHeight="1">
      <c r="I754" s="117"/>
      <c r="K754" s="117"/>
      <c r="L754" s="118"/>
    </row>
    <row r="755" ht="15.75" customHeight="1">
      <c r="I755" s="117"/>
      <c r="K755" s="117"/>
      <c r="L755" s="118"/>
    </row>
    <row r="756" ht="15.75" customHeight="1">
      <c r="I756" s="117"/>
      <c r="K756" s="117"/>
      <c r="L756" s="118"/>
    </row>
    <row r="757" ht="15.75" customHeight="1">
      <c r="I757" s="117"/>
      <c r="K757" s="117"/>
      <c r="L757" s="118"/>
    </row>
    <row r="758" ht="15.75" customHeight="1">
      <c r="I758" s="117"/>
      <c r="K758" s="117"/>
      <c r="L758" s="118"/>
    </row>
    <row r="759" ht="15.75" customHeight="1">
      <c r="I759" s="117"/>
      <c r="K759" s="117"/>
      <c r="L759" s="118"/>
    </row>
    <row r="760" ht="15.75" customHeight="1">
      <c r="I760" s="117"/>
      <c r="K760" s="117"/>
      <c r="L760" s="118"/>
    </row>
    <row r="761" ht="15.75" customHeight="1">
      <c r="I761" s="117"/>
      <c r="K761" s="117"/>
      <c r="L761" s="118"/>
    </row>
    <row r="762" ht="15.75" customHeight="1">
      <c r="I762" s="117"/>
      <c r="K762" s="117"/>
      <c r="L762" s="118"/>
    </row>
    <row r="763" ht="15.75" customHeight="1">
      <c r="I763" s="117"/>
      <c r="K763" s="117"/>
      <c r="L763" s="118"/>
    </row>
    <row r="764" ht="15.75" customHeight="1">
      <c r="I764" s="117"/>
      <c r="K764" s="117"/>
      <c r="L764" s="118"/>
    </row>
    <row r="765" ht="15.75" customHeight="1">
      <c r="I765" s="117"/>
      <c r="K765" s="117"/>
      <c r="L765" s="118"/>
    </row>
    <row r="766" ht="15.75" customHeight="1">
      <c r="I766" s="117"/>
      <c r="K766" s="117"/>
      <c r="L766" s="118"/>
    </row>
    <row r="767" ht="15.75" customHeight="1">
      <c r="I767" s="117"/>
      <c r="K767" s="117"/>
      <c r="L767" s="118"/>
    </row>
    <row r="768" ht="15.75" customHeight="1">
      <c r="I768" s="117"/>
      <c r="K768" s="117"/>
      <c r="L768" s="118"/>
    </row>
    <row r="769" ht="15.75" customHeight="1">
      <c r="I769" s="117"/>
      <c r="K769" s="117"/>
      <c r="L769" s="118"/>
    </row>
    <row r="770" ht="15.75" customHeight="1">
      <c r="I770" s="117"/>
      <c r="K770" s="117"/>
      <c r="L770" s="118"/>
    </row>
    <row r="771" ht="15.75" customHeight="1">
      <c r="I771" s="117"/>
      <c r="K771" s="117"/>
      <c r="L771" s="118"/>
    </row>
    <row r="772" ht="15.75" customHeight="1">
      <c r="I772" s="117"/>
      <c r="K772" s="117"/>
      <c r="L772" s="118"/>
    </row>
    <row r="773" ht="15.75" customHeight="1">
      <c r="I773" s="117"/>
      <c r="K773" s="117"/>
      <c r="L773" s="118"/>
    </row>
    <row r="774" ht="15.75" customHeight="1">
      <c r="I774" s="117"/>
      <c r="K774" s="117"/>
      <c r="L774" s="118"/>
    </row>
    <row r="775" ht="15.75" customHeight="1">
      <c r="I775" s="117"/>
      <c r="K775" s="117"/>
      <c r="L775" s="118"/>
    </row>
    <row r="776" ht="15.75" customHeight="1">
      <c r="I776" s="117"/>
      <c r="K776" s="117"/>
      <c r="L776" s="118"/>
    </row>
    <row r="777" ht="15.75" customHeight="1">
      <c r="I777" s="117"/>
      <c r="K777" s="117"/>
      <c r="L777" s="118"/>
    </row>
    <row r="778" ht="15.75" customHeight="1">
      <c r="I778" s="117"/>
      <c r="K778" s="117"/>
      <c r="L778" s="118"/>
    </row>
    <row r="779" ht="15.75" customHeight="1">
      <c r="I779" s="117"/>
      <c r="K779" s="117"/>
      <c r="L779" s="118"/>
    </row>
    <row r="780" ht="15.75" customHeight="1">
      <c r="I780" s="117"/>
      <c r="K780" s="117"/>
      <c r="L780" s="118"/>
    </row>
    <row r="781" ht="15.75" customHeight="1">
      <c r="I781" s="117"/>
      <c r="K781" s="117"/>
      <c r="L781" s="118"/>
    </row>
    <row r="782" ht="15.75" customHeight="1">
      <c r="I782" s="117"/>
      <c r="K782" s="117"/>
      <c r="L782" s="118"/>
    </row>
    <row r="783" ht="15.75" customHeight="1">
      <c r="I783" s="117"/>
      <c r="K783" s="117"/>
      <c r="L783" s="118"/>
    </row>
    <row r="784" ht="15.75" customHeight="1">
      <c r="I784" s="117"/>
      <c r="K784" s="117"/>
      <c r="L784" s="118"/>
    </row>
    <row r="785" ht="15.75" customHeight="1">
      <c r="I785" s="117"/>
      <c r="K785" s="117"/>
      <c r="L785" s="118"/>
    </row>
    <row r="786" ht="15.75" customHeight="1">
      <c r="I786" s="117"/>
      <c r="K786" s="117"/>
      <c r="L786" s="118"/>
    </row>
    <row r="787" ht="15.75" customHeight="1">
      <c r="I787" s="117"/>
      <c r="K787" s="117"/>
      <c r="L787" s="118"/>
    </row>
    <row r="788" ht="15.75" customHeight="1">
      <c r="I788" s="117"/>
      <c r="K788" s="117"/>
      <c r="L788" s="118"/>
    </row>
    <row r="789" ht="15.75" customHeight="1">
      <c r="I789" s="117"/>
      <c r="K789" s="117"/>
      <c r="L789" s="118"/>
    </row>
    <row r="790" ht="15.75" customHeight="1">
      <c r="I790" s="117"/>
      <c r="K790" s="117"/>
      <c r="L790" s="118"/>
    </row>
    <row r="791" ht="15.75" customHeight="1">
      <c r="I791" s="117"/>
      <c r="K791" s="117"/>
      <c r="L791" s="118"/>
    </row>
    <row r="792" ht="15.75" customHeight="1">
      <c r="I792" s="117"/>
      <c r="K792" s="117"/>
      <c r="L792" s="118"/>
    </row>
    <row r="793" ht="15.75" customHeight="1">
      <c r="I793" s="117"/>
      <c r="K793" s="117"/>
      <c r="L793" s="118"/>
    </row>
    <row r="794" ht="15.75" customHeight="1">
      <c r="I794" s="117"/>
      <c r="K794" s="117"/>
      <c r="L794" s="118"/>
    </row>
    <row r="795" ht="15.75" customHeight="1">
      <c r="I795" s="117"/>
      <c r="K795" s="117"/>
      <c r="L795" s="118"/>
    </row>
    <row r="796" ht="15.75" customHeight="1">
      <c r="I796" s="117"/>
      <c r="K796" s="117"/>
      <c r="L796" s="118"/>
    </row>
    <row r="797" ht="15.75" customHeight="1">
      <c r="I797" s="117"/>
      <c r="K797" s="117"/>
      <c r="L797" s="118"/>
    </row>
    <row r="798" ht="15.75" customHeight="1">
      <c r="I798" s="117"/>
      <c r="K798" s="117"/>
      <c r="L798" s="118"/>
    </row>
    <row r="799" ht="15.75" customHeight="1">
      <c r="I799" s="117"/>
      <c r="K799" s="117"/>
      <c r="L799" s="118"/>
    </row>
    <row r="800" ht="15.75" customHeight="1">
      <c r="I800" s="117"/>
      <c r="K800" s="117"/>
      <c r="L800" s="118"/>
    </row>
    <row r="801" ht="15.75" customHeight="1">
      <c r="I801" s="117"/>
      <c r="K801" s="117"/>
      <c r="L801" s="118"/>
    </row>
    <row r="802" ht="15.75" customHeight="1">
      <c r="I802" s="117"/>
      <c r="K802" s="117"/>
      <c r="L802" s="118"/>
    </row>
    <row r="803" ht="15.75" customHeight="1">
      <c r="I803" s="117"/>
      <c r="K803" s="117"/>
      <c r="L803" s="118"/>
    </row>
    <row r="804" ht="15.75" customHeight="1">
      <c r="I804" s="117"/>
      <c r="K804" s="117"/>
      <c r="L804" s="118"/>
    </row>
    <row r="805" ht="15.75" customHeight="1">
      <c r="I805" s="117"/>
      <c r="K805" s="117"/>
      <c r="L805" s="118"/>
    </row>
    <row r="806" ht="15.75" customHeight="1">
      <c r="I806" s="117"/>
      <c r="K806" s="117"/>
      <c r="L806" s="118"/>
    </row>
    <row r="807" ht="15.75" customHeight="1">
      <c r="I807" s="117"/>
      <c r="K807" s="117"/>
      <c r="L807" s="118"/>
    </row>
    <row r="808" ht="15.75" customHeight="1">
      <c r="I808" s="117"/>
      <c r="K808" s="117"/>
      <c r="L808" s="118"/>
    </row>
    <row r="809" ht="15.75" customHeight="1">
      <c r="I809" s="117"/>
      <c r="K809" s="117"/>
      <c r="L809" s="118"/>
    </row>
    <row r="810" ht="15.75" customHeight="1">
      <c r="I810" s="117"/>
      <c r="K810" s="117"/>
      <c r="L810" s="118"/>
    </row>
    <row r="811" ht="15.75" customHeight="1">
      <c r="I811" s="117"/>
      <c r="K811" s="117"/>
      <c r="L811" s="118"/>
    </row>
    <row r="812" ht="15.75" customHeight="1">
      <c r="I812" s="117"/>
      <c r="K812" s="117"/>
      <c r="L812" s="118"/>
    </row>
    <row r="813" ht="15.75" customHeight="1">
      <c r="I813" s="117"/>
      <c r="K813" s="117"/>
      <c r="L813" s="118"/>
    </row>
    <row r="814" ht="15.75" customHeight="1">
      <c r="I814" s="117"/>
      <c r="K814" s="117"/>
      <c r="L814" s="118"/>
    </row>
    <row r="815" ht="15.75" customHeight="1">
      <c r="I815" s="117"/>
      <c r="K815" s="117"/>
      <c r="L815" s="118"/>
    </row>
    <row r="816" ht="15.75" customHeight="1">
      <c r="I816" s="117"/>
      <c r="K816" s="117"/>
      <c r="L816" s="118"/>
    </row>
    <row r="817" ht="15.75" customHeight="1">
      <c r="I817" s="117"/>
      <c r="K817" s="117"/>
      <c r="L817" s="118"/>
    </row>
    <row r="818" ht="15.75" customHeight="1">
      <c r="I818" s="117"/>
      <c r="K818" s="117"/>
      <c r="L818" s="118"/>
    </row>
    <row r="819" ht="15.75" customHeight="1">
      <c r="I819" s="117"/>
      <c r="K819" s="117"/>
      <c r="L819" s="118"/>
    </row>
    <row r="820" ht="15.75" customHeight="1">
      <c r="I820" s="117"/>
      <c r="K820" s="117"/>
      <c r="L820" s="118"/>
    </row>
    <row r="821" ht="15.75" customHeight="1">
      <c r="I821" s="117"/>
      <c r="K821" s="117"/>
      <c r="L821" s="118"/>
    </row>
    <row r="822" ht="15.75" customHeight="1">
      <c r="I822" s="117"/>
      <c r="K822" s="117"/>
      <c r="L822" s="118"/>
    </row>
    <row r="823" ht="15.75" customHeight="1">
      <c r="I823" s="117"/>
      <c r="K823" s="117"/>
      <c r="L823" s="118"/>
    </row>
    <row r="824" ht="15.75" customHeight="1">
      <c r="I824" s="117"/>
      <c r="K824" s="117"/>
      <c r="L824" s="118"/>
    </row>
    <row r="825" ht="15.75" customHeight="1">
      <c r="I825" s="117"/>
      <c r="K825" s="117"/>
      <c r="L825" s="118"/>
    </row>
    <row r="826" ht="15.75" customHeight="1">
      <c r="I826" s="117"/>
      <c r="K826" s="117"/>
      <c r="L826" s="118"/>
    </row>
    <row r="827" ht="15.75" customHeight="1">
      <c r="I827" s="117"/>
      <c r="K827" s="117"/>
      <c r="L827" s="118"/>
    </row>
    <row r="828" ht="15.75" customHeight="1">
      <c r="I828" s="117"/>
      <c r="K828" s="117"/>
      <c r="L828" s="118"/>
    </row>
    <row r="829" ht="15.75" customHeight="1">
      <c r="I829" s="117"/>
      <c r="K829" s="117"/>
      <c r="L829" s="118"/>
    </row>
    <row r="830" ht="15.75" customHeight="1">
      <c r="I830" s="117"/>
      <c r="K830" s="117"/>
      <c r="L830" s="118"/>
    </row>
    <row r="831" ht="15.75" customHeight="1">
      <c r="I831" s="117"/>
      <c r="K831" s="117"/>
      <c r="L831" s="118"/>
    </row>
    <row r="832" ht="15.75" customHeight="1">
      <c r="I832" s="117"/>
      <c r="K832" s="117"/>
      <c r="L832" s="118"/>
    </row>
    <row r="833" ht="15.75" customHeight="1">
      <c r="I833" s="117"/>
      <c r="K833" s="117"/>
      <c r="L833" s="118"/>
    </row>
    <row r="834" ht="15.75" customHeight="1">
      <c r="I834" s="117"/>
      <c r="K834" s="117"/>
      <c r="L834" s="118"/>
    </row>
    <row r="835" ht="15.75" customHeight="1">
      <c r="I835" s="117"/>
      <c r="K835" s="117"/>
      <c r="L835" s="118"/>
    </row>
    <row r="836" ht="15.75" customHeight="1">
      <c r="I836" s="117"/>
      <c r="K836" s="117"/>
      <c r="L836" s="118"/>
    </row>
    <row r="837" ht="15.75" customHeight="1">
      <c r="I837" s="117"/>
      <c r="K837" s="117"/>
      <c r="L837" s="118"/>
    </row>
    <row r="838" ht="15.75" customHeight="1">
      <c r="I838" s="117"/>
      <c r="K838" s="117"/>
      <c r="L838" s="118"/>
    </row>
    <row r="839" ht="15.75" customHeight="1">
      <c r="I839" s="117"/>
      <c r="K839" s="117"/>
      <c r="L839" s="118"/>
    </row>
    <row r="840" ht="15.75" customHeight="1">
      <c r="I840" s="117"/>
      <c r="K840" s="117"/>
      <c r="L840" s="118"/>
    </row>
    <row r="841" ht="15.75" customHeight="1">
      <c r="I841" s="117"/>
      <c r="K841" s="117"/>
      <c r="L841" s="118"/>
    </row>
    <row r="842" ht="15.75" customHeight="1">
      <c r="I842" s="117"/>
      <c r="K842" s="117"/>
      <c r="L842" s="118"/>
    </row>
    <row r="843" ht="15.75" customHeight="1">
      <c r="I843" s="117"/>
      <c r="K843" s="117"/>
      <c r="L843" s="118"/>
    </row>
    <row r="844" ht="15.75" customHeight="1">
      <c r="I844" s="117"/>
      <c r="K844" s="117"/>
      <c r="L844" s="118"/>
    </row>
    <row r="845" ht="15.75" customHeight="1">
      <c r="I845" s="117"/>
      <c r="K845" s="117"/>
      <c r="L845" s="118"/>
    </row>
    <row r="846" ht="15.75" customHeight="1">
      <c r="I846" s="117"/>
      <c r="K846" s="117"/>
      <c r="L846" s="118"/>
    </row>
    <row r="847" ht="15.75" customHeight="1">
      <c r="I847" s="117"/>
      <c r="K847" s="117"/>
      <c r="L847" s="118"/>
    </row>
    <row r="848" ht="15.75" customHeight="1">
      <c r="I848" s="117"/>
      <c r="K848" s="117"/>
      <c r="L848" s="118"/>
    </row>
    <row r="849" ht="15.75" customHeight="1">
      <c r="I849" s="117"/>
      <c r="K849" s="117"/>
      <c r="L849" s="118"/>
    </row>
    <row r="850" ht="15.75" customHeight="1">
      <c r="I850" s="117"/>
      <c r="K850" s="117"/>
      <c r="L850" s="118"/>
    </row>
    <row r="851" ht="15.75" customHeight="1">
      <c r="I851" s="117"/>
      <c r="K851" s="117"/>
      <c r="L851" s="118"/>
    </row>
    <row r="852" ht="15.75" customHeight="1">
      <c r="I852" s="117"/>
      <c r="K852" s="117"/>
      <c r="L852" s="118"/>
    </row>
    <row r="853" ht="15.75" customHeight="1">
      <c r="I853" s="117"/>
      <c r="K853" s="117"/>
      <c r="L853" s="118"/>
    </row>
    <row r="854" ht="15.75" customHeight="1">
      <c r="I854" s="117"/>
      <c r="K854" s="117"/>
      <c r="L854" s="118"/>
    </row>
    <row r="855" ht="15.75" customHeight="1">
      <c r="I855" s="117"/>
      <c r="K855" s="117"/>
      <c r="L855" s="118"/>
    </row>
    <row r="856" ht="15.75" customHeight="1">
      <c r="I856" s="117"/>
      <c r="K856" s="117"/>
      <c r="L856" s="118"/>
    </row>
    <row r="857" ht="15.75" customHeight="1">
      <c r="I857" s="117"/>
      <c r="K857" s="117"/>
      <c r="L857" s="118"/>
    </row>
    <row r="858" ht="15.75" customHeight="1">
      <c r="I858" s="117"/>
      <c r="K858" s="117"/>
      <c r="L858" s="118"/>
    </row>
    <row r="859" ht="15.75" customHeight="1">
      <c r="I859" s="117"/>
      <c r="K859" s="117"/>
      <c r="L859" s="118"/>
    </row>
    <row r="860" ht="15.75" customHeight="1">
      <c r="I860" s="117"/>
      <c r="K860" s="117"/>
      <c r="L860" s="118"/>
    </row>
    <row r="861" ht="15.75" customHeight="1">
      <c r="I861" s="117"/>
      <c r="K861" s="117"/>
      <c r="L861" s="118"/>
    </row>
    <row r="862" ht="15.75" customHeight="1">
      <c r="I862" s="117"/>
      <c r="K862" s="117"/>
      <c r="L862" s="118"/>
    </row>
    <row r="863" ht="15.75" customHeight="1">
      <c r="I863" s="117"/>
      <c r="K863" s="117"/>
      <c r="L863" s="118"/>
    </row>
    <row r="864" ht="15.75" customHeight="1">
      <c r="I864" s="117"/>
      <c r="K864" s="117"/>
      <c r="L864" s="118"/>
    </row>
    <row r="865" ht="15.75" customHeight="1">
      <c r="I865" s="117"/>
      <c r="K865" s="117"/>
      <c r="L865" s="118"/>
    </row>
    <row r="866" ht="15.75" customHeight="1">
      <c r="I866" s="117"/>
      <c r="K866" s="117"/>
      <c r="L866" s="118"/>
    </row>
    <row r="867" ht="15.75" customHeight="1">
      <c r="I867" s="117"/>
      <c r="K867" s="117"/>
      <c r="L867" s="118"/>
    </row>
    <row r="868" ht="15.75" customHeight="1">
      <c r="I868" s="117"/>
      <c r="K868" s="117"/>
      <c r="L868" s="118"/>
    </row>
    <row r="869" ht="15.75" customHeight="1">
      <c r="I869" s="117"/>
      <c r="K869" s="117"/>
      <c r="L869" s="118"/>
    </row>
    <row r="870" ht="15.75" customHeight="1">
      <c r="I870" s="117"/>
      <c r="K870" s="117"/>
      <c r="L870" s="118"/>
    </row>
    <row r="871" ht="15.75" customHeight="1">
      <c r="I871" s="117"/>
      <c r="K871" s="117"/>
      <c r="L871" s="118"/>
    </row>
    <row r="872" ht="15.75" customHeight="1">
      <c r="I872" s="117"/>
      <c r="K872" s="117"/>
      <c r="L872" s="118"/>
    </row>
    <row r="873" ht="15.75" customHeight="1">
      <c r="I873" s="117"/>
      <c r="K873" s="117"/>
      <c r="L873" s="118"/>
    </row>
    <row r="874" ht="15.75" customHeight="1">
      <c r="I874" s="117"/>
      <c r="K874" s="117"/>
      <c r="L874" s="118"/>
    </row>
    <row r="875" ht="15.75" customHeight="1">
      <c r="I875" s="117"/>
      <c r="K875" s="117"/>
      <c r="L875" s="118"/>
    </row>
    <row r="876" ht="15.75" customHeight="1">
      <c r="I876" s="117"/>
      <c r="K876" s="117"/>
      <c r="L876" s="118"/>
    </row>
    <row r="877" ht="15.75" customHeight="1">
      <c r="I877" s="117"/>
      <c r="K877" s="117"/>
      <c r="L877" s="118"/>
    </row>
    <row r="878" ht="15.75" customHeight="1">
      <c r="I878" s="117"/>
      <c r="K878" s="117"/>
      <c r="L878" s="118"/>
    </row>
    <row r="879" ht="15.75" customHeight="1">
      <c r="I879" s="117"/>
      <c r="K879" s="117"/>
      <c r="L879" s="118"/>
    </row>
    <row r="880" ht="15.75" customHeight="1">
      <c r="I880" s="117"/>
      <c r="K880" s="117"/>
      <c r="L880" s="118"/>
    </row>
    <row r="881" ht="15.75" customHeight="1">
      <c r="I881" s="117"/>
      <c r="K881" s="117"/>
      <c r="L881" s="118"/>
    </row>
    <row r="882" ht="15.75" customHeight="1">
      <c r="I882" s="117"/>
      <c r="K882" s="117"/>
      <c r="L882" s="118"/>
    </row>
    <row r="883" ht="15.75" customHeight="1">
      <c r="I883" s="117"/>
      <c r="K883" s="117"/>
      <c r="L883" s="118"/>
    </row>
    <row r="884" ht="15.75" customHeight="1">
      <c r="I884" s="117"/>
      <c r="K884" s="117"/>
      <c r="L884" s="118"/>
    </row>
    <row r="885" ht="15.75" customHeight="1">
      <c r="I885" s="117"/>
      <c r="K885" s="117"/>
      <c r="L885" s="118"/>
    </row>
    <row r="886" ht="15.75" customHeight="1">
      <c r="I886" s="117"/>
      <c r="K886" s="117"/>
      <c r="L886" s="118"/>
    </row>
    <row r="887" ht="15.75" customHeight="1">
      <c r="I887" s="117"/>
      <c r="K887" s="117"/>
      <c r="L887" s="118"/>
    </row>
    <row r="888" ht="15.75" customHeight="1">
      <c r="I888" s="117"/>
      <c r="K888" s="117"/>
      <c r="L888" s="118"/>
    </row>
    <row r="889" ht="15.75" customHeight="1">
      <c r="I889" s="117"/>
      <c r="K889" s="117"/>
      <c r="L889" s="118"/>
    </row>
    <row r="890" ht="15.75" customHeight="1">
      <c r="I890" s="117"/>
      <c r="K890" s="117"/>
      <c r="L890" s="118"/>
    </row>
    <row r="891" ht="15.75" customHeight="1">
      <c r="I891" s="117"/>
      <c r="K891" s="117"/>
      <c r="L891" s="118"/>
    </row>
    <row r="892" ht="15.75" customHeight="1">
      <c r="I892" s="117"/>
      <c r="K892" s="117"/>
      <c r="L892" s="118"/>
    </row>
    <row r="893" ht="15.75" customHeight="1">
      <c r="I893" s="117"/>
      <c r="K893" s="117"/>
      <c r="L893" s="118"/>
    </row>
    <row r="894" ht="15.75" customHeight="1">
      <c r="I894" s="117"/>
      <c r="K894" s="117"/>
      <c r="L894" s="118"/>
    </row>
    <row r="895" ht="15.75" customHeight="1">
      <c r="I895" s="117"/>
      <c r="K895" s="117"/>
      <c r="L895" s="118"/>
    </row>
    <row r="896" ht="15.75" customHeight="1">
      <c r="I896" s="117"/>
      <c r="K896" s="117"/>
      <c r="L896" s="118"/>
    </row>
    <row r="897" ht="15.75" customHeight="1">
      <c r="I897" s="117"/>
      <c r="K897" s="117"/>
      <c r="L897" s="118"/>
    </row>
    <row r="898" ht="15.75" customHeight="1">
      <c r="I898" s="117"/>
      <c r="K898" s="117"/>
      <c r="L898" s="118"/>
    </row>
    <row r="899" ht="15.75" customHeight="1">
      <c r="I899" s="117"/>
      <c r="K899" s="117"/>
      <c r="L899" s="118"/>
    </row>
    <row r="900" ht="15.75" customHeight="1">
      <c r="I900" s="117"/>
      <c r="K900" s="117"/>
      <c r="L900" s="118"/>
    </row>
    <row r="901" ht="15.75" customHeight="1">
      <c r="I901" s="117"/>
      <c r="K901" s="117"/>
      <c r="L901" s="118"/>
    </row>
    <row r="902" ht="15.75" customHeight="1">
      <c r="I902" s="117"/>
      <c r="K902" s="117"/>
      <c r="L902" s="118"/>
    </row>
    <row r="903" ht="15.75" customHeight="1">
      <c r="I903" s="117"/>
      <c r="K903" s="117"/>
      <c r="L903" s="118"/>
    </row>
    <row r="904" ht="15.75" customHeight="1">
      <c r="I904" s="117"/>
      <c r="K904" s="117"/>
      <c r="L904" s="118"/>
    </row>
    <row r="905" ht="15.75" customHeight="1">
      <c r="I905" s="117"/>
      <c r="K905" s="117"/>
      <c r="L905" s="118"/>
    </row>
    <row r="906" ht="15.75" customHeight="1">
      <c r="I906" s="117"/>
      <c r="K906" s="117"/>
      <c r="L906" s="118"/>
    </row>
    <row r="907" ht="15.75" customHeight="1">
      <c r="I907" s="117"/>
      <c r="K907" s="117"/>
      <c r="L907" s="118"/>
    </row>
    <row r="908" ht="15.75" customHeight="1">
      <c r="I908" s="117"/>
      <c r="K908" s="117"/>
      <c r="L908" s="118"/>
    </row>
    <row r="909" ht="15.75" customHeight="1">
      <c r="I909" s="117"/>
      <c r="K909" s="117"/>
      <c r="L909" s="118"/>
    </row>
    <row r="910" ht="15.75" customHeight="1">
      <c r="I910" s="117"/>
      <c r="K910" s="117"/>
      <c r="L910" s="118"/>
    </row>
    <row r="911" ht="15.75" customHeight="1">
      <c r="I911" s="117"/>
      <c r="K911" s="117"/>
      <c r="L911" s="118"/>
    </row>
    <row r="912" ht="15.75" customHeight="1">
      <c r="I912" s="117"/>
      <c r="K912" s="117"/>
      <c r="L912" s="118"/>
    </row>
    <row r="913" ht="15.75" customHeight="1">
      <c r="I913" s="117"/>
      <c r="K913" s="117"/>
      <c r="L913" s="118"/>
    </row>
    <row r="914" ht="15.75" customHeight="1">
      <c r="I914" s="117"/>
      <c r="K914" s="117"/>
      <c r="L914" s="118"/>
    </row>
    <row r="915" ht="15.75" customHeight="1">
      <c r="I915" s="117"/>
      <c r="K915" s="117"/>
      <c r="L915" s="118"/>
    </row>
    <row r="916" ht="15.75" customHeight="1">
      <c r="I916" s="117"/>
      <c r="K916" s="117"/>
      <c r="L916" s="118"/>
    </row>
    <row r="917" ht="15.75" customHeight="1">
      <c r="I917" s="117"/>
      <c r="K917" s="117"/>
      <c r="L917" s="118"/>
    </row>
    <row r="918" ht="15.75" customHeight="1">
      <c r="I918" s="117"/>
      <c r="K918" s="117"/>
      <c r="L918" s="118"/>
    </row>
    <row r="919" ht="15.75" customHeight="1">
      <c r="I919" s="117"/>
      <c r="K919" s="117"/>
      <c r="L919" s="118"/>
    </row>
    <row r="920" ht="15.75" customHeight="1">
      <c r="I920" s="117"/>
      <c r="K920" s="117"/>
      <c r="L920" s="118"/>
    </row>
    <row r="921" ht="15.75" customHeight="1">
      <c r="I921" s="117"/>
      <c r="K921" s="117"/>
      <c r="L921" s="118"/>
    </row>
    <row r="922" ht="15.75" customHeight="1">
      <c r="I922" s="117"/>
      <c r="K922" s="117"/>
      <c r="L922" s="118"/>
    </row>
    <row r="923" ht="15.75" customHeight="1">
      <c r="I923" s="117"/>
      <c r="K923" s="117"/>
      <c r="L923" s="118"/>
    </row>
    <row r="924" ht="15.75" customHeight="1">
      <c r="I924" s="117"/>
      <c r="K924" s="117"/>
      <c r="L924" s="118"/>
    </row>
    <row r="925" ht="15.75" customHeight="1">
      <c r="I925" s="117"/>
      <c r="K925" s="117"/>
      <c r="L925" s="118"/>
    </row>
    <row r="926" ht="15.75" customHeight="1">
      <c r="I926" s="117"/>
      <c r="K926" s="117"/>
      <c r="L926" s="118"/>
    </row>
    <row r="927" ht="15.75" customHeight="1">
      <c r="I927" s="117"/>
      <c r="K927" s="117"/>
      <c r="L927" s="118"/>
    </row>
    <row r="928" ht="15.75" customHeight="1">
      <c r="I928" s="117"/>
      <c r="K928" s="117"/>
      <c r="L928" s="118"/>
    </row>
    <row r="929" ht="15.75" customHeight="1">
      <c r="I929" s="117"/>
      <c r="K929" s="117"/>
      <c r="L929" s="118"/>
    </row>
    <row r="930" ht="15.75" customHeight="1">
      <c r="I930" s="117"/>
      <c r="K930" s="117"/>
      <c r="L930" s="118"/>
    </row>
    <row r="931" ht="15.75" customHeight="1">
      <c r="I931" s="117"/>
      <c r="K931" s="117"/>
      <c r="L931" s="118"/>
    </row>
    <row r="932" ht="15.75" customHeight="1">
      <c r="I932" s="117"/>
      <c r="K932" s="117"/>
      <c r="L932" s="118"/>
    </row>
    <row r="933" ht="15.75" customHeight="1">
      <c r="I933" s="117"/>
      <c r="K933" s="117"/>
      <c r="L933" s="118"/>
    </row>
    <row r="934" ht="15.75" customHeight="1">
      <c r="I934" s="117"/>
      <c r="K934" s="117"/>
      <c r="L934" s="118"/>
    </row>
    <row r="935" ht="15.75" customHeight="1">
      <c r="I935" s="117"/>
      <c r="K935" s="117"/>
      <c r="L935" s="118"/>
    </row>
    <row r="936" ht="15.75" customHeight="1">
      <c r="I936" s="117"/>
      <c r="K936" s="117"/>
      <c r="L936" s="118"/>
    </row>
    <row r="937" ht="15.75" customHeight="1">
      <c r="I937" s="117"/>
      <c r="K937" s="117"/>
      <c r="L937" s="118"/>
    </row>
    <row r="938" ht="15.75" customHeight="1">
      <c r="I938" s="117"/>
      <c r="K938" s="117"/>
      <c r="L938" s="118"/>
    </row>
    <row r="939" ht="15.75" customHeight="1">
      <c r="I939" s="117"/>
      <c r="K939" s="117"/>
      <c r="L939" s="118"/>
    </row>
    <row r="940" ht="15.75" customHeight="1">
      <c r="I940" s="117"/>
      <c r="K940" s="117"/>
      <c r="L940" s="118"/>
    </row>
    <row r="941" ht="15.75" customHeight="1">
      <c r="I941" s="117"/>
      <c r="K941" s="117"/>
      <c r="L941" s="118"/>
    </row>
    <row r="942" ht="15.75" customHeight="1">
      <c r="I942" s="117"/>
      <c r="K942" s="117"/>
      <c r="L942" s="118"/>
    </row>
    <row r="943" ht="15.75" customHeight="1">
      <c r="I943" s="117"/>
      <c r="K943" s="117"/>
      <c r="L943" s="118"/>
    </row>
    <row r="944" ht="15.75" customHeight="1">
      <c r="I944" s="117"/>
      <c r="K944" s="117"/>
      <c r="L944" s="118"/>
    </row>
    <row r="945" ht="15.75" customHeight="1">
      <c r="I945" s="117"/>
      <c r="K945" s="117"/>
      <c r="L945" s="118"/>
    </row>
    <row r="946" ht="15.75" customHeight="1">
      <c r="I946" s="117"/>
      <c r="K946" s="117"/>
      <c r="L946" s="118"/>
    </row>
    <row r="947" ht="15.75" customHeight="1">
      <c r="I947" s="117"/>
      <c r="K947" s="117"/>
      <c r="L947" s="118"/>
    </row>
    <row r="948" ht="15.75" customHeight="1">
      <c r="I948" s="117"/>
      <c r="K948" s="117"/>
      <c r="L948" s="118"/>
    </row>
    <row r="949" ht="15.75" customHeight="1">
      <c r="I949" s="117"/>
      <c r="K949" s="117"/>
      <c r="L949" s="118"/>
    </row>
    <row r="950" ht="15.75" customHeight="1">
      <c r="I950" s="117"/>
      <c r="K950" s="117"/>
      <c r="L950" s="118"/>
    </row>
    <row r="951" ht="15.75" customHeight="1">
      <c r="I951" s="117"/>
      <c r="K951" s="117"/>
      <c r="L951" s="118"/>
    </row>
    <row r="952" ht="15.75" customHeight="1">
      <c r="I952" s="117"/>
      <c r="K952" s="117"/>
      <c r="L952" s="118"/>
    </row>
    <row r="953" ht="15.75" customHeight="1">
      <c r="I953" s="117"/>
      <c r="K953" s="117"/>
      <c r="L953" s="118"/>
    </row>
    <row r="954" ht="15.75" customHeight="1">
      <c r="I954" s="117"/>
      <c r="K954" s="117"/>
      <c r="L954" s="118"/>
    </row>
    <row r="955" ht="15.75" customHeight="1">
      <c r="I955" s="117"/>
      <c r="K955" s="117"/>
      <c r="L955" s="118"/>
    </row>
    <row r="956" ht="15.75" customHeight="1">
      <c r="I956" s="117"/>
      <c r="K956" s="117"/>
      <c r="L956" s="118"/>
    </row>
    <row r="957" ht="15.75" customHeight="1">
      <c r="I957" s="117"/>
      <c r="K957" s="117"/>
      <c r="L957" s="118"/>
    </row>
    <row r="958" ht="15.75" customHeight="1">
      <c r="I958" s="117"/>
      <c r="K958" s="117"/>
      <c r="L958" s="118"/>
    </row>
    <row r="959" ht="15.75" customHeight="1">
      <c r="I959" s="117"/>
      <c r="K959" s="117"/>
      <c r="L959" s="118"/>
    </row>
    <row r="960" ht="15.75" customHeight="1">
      <c r="I960" s="117"/>
      <c r="K960" s="117"/>
      <c r="L960" s="118"/>
    </row>
    <row r="961" ht="15.75" customHeight="1">
      <c r="I961" s="117"/>
      <c r="K961" s="117"/>
      <c r="L961" s="118"/>
    </row>
    <row r="962" ht="15.75" customHeight="1">
      <c r="I962" s="117"/>
      <c r="K962" s="117"/>
      <c r="L962" s="118"/>
    </row>
    <row r="963" ht="15.75" customHeight="1">
      <c r="I963" s="117"/>
      <c r="K963" s="117"/>
      <c r="L963" s="118"/>
    </row>
    <row r="964" ht="15.75" customHeight="1">
      <c r="I964" s="117"/>
      <c r="K964" s="117"/>
      <c r="L964" s="118"/>
    </row>
    <row r="965" ht="15.75" customHeight="1">
      <c r="I965" s="117"/>
      <c r="K965" s="117"/>
      <c r="L965" s="118"/>
    </row>
    <row r="966" ht="15.75" customHeight="1">
      <c r="I966" s="117"/>
      <c r="K966" s="117"/>
      <c r="L966" s="118"/>
    </row>
    <row r="967" ht="15.75" customHeight="1">
      <c r="I967" s="117"/>
      <c r="K967" s="117"/>
      <c r="L967" s="118"/>
    </row>
    <row r="968" ht="15.75" customHeight="1">
      <c r="I968" s="117"/>
      <c r="K968" s="117"/>
      <c r="L968" s="118"/>
    </row>
    <row r="969" ht="15.75" customHeight="1">
      <c r="I969" s="117"/>
      <c r="K969" s="117"/>
      <c r="L969" s="118"/>
    </row>
    <row r="970" ht="15.75" customHeight="1">
      <c r="I970" s="117"/>
      <c r="K970" s="117"/>
      <c r="L970" s="118"/>
    </row>
    <row r="971" ht="15.75" customHeight="1">
      <c r="I971" s="117"/>
      <c r="K971" s="117"/>
      <c r="L971" s="118"/>
    </row>
    <row r="972" ht="15.75" customHeight="1">
      <c r="I972" s="117"/>
      <c r="K972" s="117"/>
      <c r="L972" s="118"/>
    </row>
    <row r="973" ht="15.75" customHeight="1">
      <c r="I973" s="117"/>
      <c r="K973" s="117"/>
      <c r="L973" s="118"/>
    </row>
    <row r="974" ht="15.75" customHeight="1">
      <c r="I974" s="117"/>
      <c r="K974" s="117"/>
      <c r="L974" s="118"/>
    </row>
    <row r="975" ht="15.75" customHeight="1">
      <c r="I975" s="117"/>
      <c r="K975" s="117"/>
      <c r="L975" s="118"/>
    </row>
    <row r="976" ht="15.75" customHeight="1">
      <c r="I976" s="117"/>
      <c r="K976" s="117"/>
      <c r="L976" s="118"/>
    </row>
    <row r="977" ht="15.75" customHeight="1">
      <c r="I977" s="117"/>
      <c r="K977" s="117"/>
      <c r="L977" s="118"/>
    </row>
    <row r="978" ht="15.75" customHeight="1">
      <c r="I978" s="117"/>
      <c r="K978" s="117"/>
      <c r="L978" s="118"/>
    </row>
    <row r="979" ht="15.75" customHeight="1">
      <c r="I979" s="117"/>
      <c r="K979" s="117"/>
      <c r="L979" s="118"/>
    </row>
    <row r="980" ht="15.75" customHeight="1">
      <c r="I980" s="117"/>
      <c r="K980" s="117"/>
      <c r="L980" s="118"/>
    </row>
    <row r="981" ht="15.75" customHeight="1">
      <c r="I981" s="117"/>
      <c r="K981" s="117"/>
      <c r="L981" s="118"/>
    </row>
    <row r="982" ht="15.75" customHeight="1">
      <c r="I982" s="117"/>
      <c r="K982" s="117"/>
      <c r="L982" s="118"/>
    </row>
    <row r="983" ht="15.75" customHeight="1">
      <c r="I983" s="117"/>
      <c r="K983" s="117"/>
      <c r="L983" s="118"/>
    </row>
    <row r="984" ht="15.75" customHeight="1">
      <c r="I984" s="117"/>
      <c r="K984" s="117"/>
      <c r="L984" s="118"/>
    </row>
    <row r="985" ht="15.75" customHeight="1">
      <c r="I985" s="117"/>
      <c r="K985" s="117"/>
      <c r="L985" s="118"/>
    </row>
    <row r="986" ht="15.75" customHeight="1">
      <c r="I986" s="117"/>
      <c r="K986" s="117"/>
      <c r="L986" s="118"/>
    </row>
    <row r="987" ht="15.75" customHeight="1">
      <c r="I987" s="117"/>
      <c r="K987" s="117"/>
      <c r="L987" s="118"/>
    </row>
    <row r="988" ht="15.75" customHeight="1">
      <c r="I988" s="117"/>
      <c r="K988" s="117"/>
      <c r="L988" s="118"/>
    </row>
    <row r="989" ht="15.75" customHeight="1">
      <c r="I989" s="117"/>
      <c r="K989" s="117"/>
      <c r="L989" s="118"/>
    </row>
    <row r="990" ht="15.75" customHeight="1">
      <c r="I990" s="117"/>
      <c r="K990" s="117"/>
      <c r="L990" s="118"/>
    </row>
    <row r="991" ht="15.75" customHeight="1">
      <c r="I991" s="117"/>
      <c r="K991" s="117"/>
      <c r="L991" s="118"/>
    </row>
    <row r="992" ht="15.75" customHeight="1">
      <c r="I992" s="117"/>
      <c r="K992" s="117"/>
      <c r="L992" s="118"/>
    </row>
    <row r="993" ht="15.75" customHeight="1">
      <c r="I993" s="117"/>
      <c r="K993" s="117"/>
      <c r="L993" s="118"/>
    </row>
  </sheetData>
  <mergeCells count="16">
    <mergeCell ref="H4:H9"/>
    <mergeCell ref="I4:I9"/>
    <mergeCell ref="J4:J9"/>
    <mergeCell ref="K4:K9"/>
    <mergeCell ref="L4:L9"/>
    <mergeCell ref="M4:M9"/>
    <mergeCell ref="A10:B10"/>
    <mergeCell ref="A11:B11"/>
    <mergeCell ref="D56:D58"/>
    <mergeCell ref="A4:A9"/>
    <mergeCell ref="B4:B9"/>
    <mergeCell ref="C4:C9"/>
    <mergeCell ref="D4:D9"/>
    <mergeCell ref="E4:E9"/>
    <mergeCell ref="F4:F9"/>
    <mergeCell ref="G4:G9"/>
  </mergeCells>
  <conditionalFormatting sqref="F11:F58">
    <cfRule type="cellIs" dxfId="8" priority="1" operator="equal">
      <formula>"Positive"</formula>
    </cfRule>
  </conditionalFormatting>
  <conditionalFormatting sqref="F11:F58">
    <cfRule type="containsText" dxfId="9" priority="2" operator="containsText" text="Negative">
      <formula>NOT(ISERROR(SEARCH(("Negative"),(F11))))</formula>
    </cfRule>
  </conditionalFormatting>
  <conditionalFormatting sqref="G10:M11">
    <cfRule type="cellIs" dxfId="4" priority="3" operator="equal">
      <formula>"Positive"</formula>
    </cfRule>
  </conditionalFormatting>
  <conditionalFormatting sqref="G10:M11">
    <cfRule type="containsText" dxfId="5" priority="4" operator="containsText" text="Negative">
      <formula>NOT(ISERROR(SEARCH(("Negative"),(G10))))</formula>
    </cfRule>
  </conditionalFormatting>
  <conditionalFormatting sqref="G11:G58">
    <cfRule type="containsText" dxfId="10" priority="5" operator="containsText" text="High">
      <formula>NOT(ISERROR(SEARCH(("High"),(G11))))</formula>
    </cfRule>
  </conditionalFormatting>
  <conditionalFormatting sqref="G11:G58">
    <cfRule type="cellIs" dxfId="11" priority="6" operator="equal">
      <formula>"Medium"</formula>
    </cfRule>
  </conditionalFormatting>
  <conditionalFormatting sqref="G11:G58">
    <cfRule type="containsText" dxfId="12" priority="7" operator="containsText" text="Low">
      <formula>NOT(ISERROR(SEARCH(("Low"),(G11))))</formula>
    </cfRule>
  </conditionalFormatting>
  <conditionalFormatting sqref="L1:L58">
    <cfRule type="containsText" dxfId="13" priority="8" operator="containsText" text="Deferred">
      <formula>NOT(ISERROR(SEARCH(("Deferred"),(L1))))</formula>
    </cfRule>
  </conditionalFormatting>
  <conditionalFormatting sqref="L1:L58">
    <cfRule type="containsText" dxfId="14" priority="9" operator="containsText" text="Not Start">
      <formula>NOT(ISERROR(SEARCH(("Not Start"),(L1))))</formula>
    </cfRule>
  </conditionalFormatting>
  <conditionalFormatting sqref="L1:L58">
    <cfRule type="containsText" dxfId="15" priority="10" operator="containsText" text="Blocked">
      <formula>NOT(ISERROR(SEARCH(("Blocked"),(L1))))</formula>
    </cfRule>
  </conditionalFormatting>
  <conditionalFormatting sqref="L1:L58">
    <cfRule type="containsText" dxfId="6" priority="11" operator="containsText" text="FAIL">
      <formula>NOT(ISERROR(SEARCH(("FAIL"),(L1))))</formula>
    </cfRule>
  </conditionalFormatting>
  <conditionalFormatting sqref="L1:L58">
    <cfRule type="cellIs" dxfId="7" priority="12" operator="equal">
      <formula>"PASS"</formula>
    </cfRule>
  </conditionalFormatting>
  <conditionalFormatting sqref="L11:L58">
    <cfRule type="cellIs" dxfId="16" priority="13" operator="equal">
      <formula>"N/A"</formula>
    </cfRule>
  </conditionalFormatting>
  <conditionalFormatting sqref="L11:L58">
    <cfRule type="containsText" dxfId="17" priority="14" operator="containsText" text="N/A">
      <formula>NOT(ISERROR(SEARCH(("N/A"),(L11))))</formula>
    </cfRule>
  </conditionalFormatting>
  <conditionalFormatting sqref="L11:L58">
    <cfRule type="containsText" dxfId="18" priority="15" operator="containsText" text="In Progress">
      <formula>NOT(ISERROR(SEARCH(("In Progress"),(L11))))</formula>
    </cfRule>
  </conditionalFormatting>
  <conditionalFormatting sqref="M10:M11">
    <cfRule type="expression" dxfId="6" priority="16" stopIfTrue="1">
      <formula>NOT(ISERROR(SEARCH("Negative",M10)))</formula>
    </cfRule>
  </conditionalFormatting>
  <conditionalFormatting sqref="M10:M11">
    <cfRule type="expression" dxfId="7" priority="17" stopIfTrue="1">
      <formula>NOT(ISERROR(SEARCH("Positive",M10)))</formula>
    </cfRule>
  </conditionalFormatting>
  <conditionalFormatting sqref="L1:L993">
    <cfRule type="cellIs" dxfId="19" priority="18" operator="equal">
      <formula>"In Progress"</formula>
    </cfRule>
  </conditionalFormatting>
  <conditionalFormatting sqref="G10:M11">
    <cfRule type="expression" dxfId="6" priority="19" stopIfTrue="1">
      <formula>NOT(ISERROR(SEARCH("Negative",G10)))</formula>
    </cfRule>
  </conditionalFormatting>
  <conditionalFormatting sqref="G10:M11">
    <cfRule type="expression" dxfId="7" priority="20" stopIfTrue="1">
      <formula>NOT(ISERROR(SEARCH("Positive",G10)))</formula>
    </cfRule>
  </conditionalFormatting>
  <dataValidations>
    <dataValidation type="list" allowBlank="1" sqref="L12:L58">
      <formula1>"PASS,FAIL,In Progress,Blocked,Not Start,N/A,Deferred"</formula1>
    </dataValidation>
    <dataValidation type="list" allowBlank="1" showErrorMessage="1" sqref="F12:F58">
      <formula1>"Positive,Negative"</formula1>
    </dataValidation>
    <dataValidation type="list" allowBlank="1" showErrorMessage="1" sqref="G12:G58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7.0"/>
    <col customWidth="1" min="2" max="2" width="74.63"/>
    <col customWidth="1" hidden="1" min="3" max="3" width="47.38"/>
    <col customWidth="1" min="4" max="4" width="55.0"/>
    <col customWidth="1" min="5" max="5" width="66.0"/>
    <col customWidth="1" min="6" max="6" width="9.88"/>
    <col customWidth="1" min="7" max="7" width="10.88"/>
    <col customWidth="1" min="8" max="11" width="30.13"/>
    <col customWidth="1" min="12" max="12" width="31.25"/>
    <col customWidth="1" min="13" max="13" width="30.13"/>
    <col customWidth="1" min="14" max="20" width="8.63"/>
  </cols>
  <sheetData>
    <row r="1" ht="12.75" customHeight="1">
      <c r="B1" s="7" t="str">
        <f>HYPERLINK("#Document!A1", "Refer to sheet Document")</f>
        <v>Refer to sheet Document</v>
      </c>
      <c r="C1" s="9"/>
      <c r="D1" s="9"/>
      <c r="E1" s="9"/>
      <c r="F1" s="12"/>
      <c r="G1" s="13"/>
      <c r="H1" s="13"/>
      <c r="I1" s="13"/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</row>
    <row r="2">
      <c r="A2" s="17"/>
      <c r="B2" s="9"/>
      <c r="C2" s="19"/>
      <c r="D2" s="9"/>
      <c r="E2" s="9"/>
      <c r="F2" s="12"/>
      <c r="G2" s="13"/>
      <c r="H2" s="13"/>
      <c r="I2" s="13"/>
      <c r="J2" s="13"/>
      <c r="K2" s="13"/>
      <c r="L2" s="13"/>
      <c r="M2" s="16"/>
      <c r="N2" s="13"/>
      <c r="O2" s="13"/>
      <c r="P2" s="13"/>
      <c r="Q2" s="13"/>
      <c r="R2" s="13"/>
      <c r="S2" s="13"/>
      <c r="T2" s="13"/>
    </row>
    <row r="3">
      <c r="A3" s="23" t="s">
        <v>17</v>
      </c>
      <c r="B3" s="23">
        <f>COUNTIF(A11:A83,"TC_*")</f>
        <v>13</v>
      </c>
      <c r="C3" s="27"/>
      <c r="D3" s="27"/>
      <c r="E3" s="27"/>
      <c r="F3" s="28"/>
      <c r="G3" s="30"/>
      <c r="H3" s="30"/>
      <c r="I3" s="30"/>
      <c r="J3" s="30"/>
      <c r="K3" s="30"/>
      <c r="L3" s="30"/>
      <c r="M3" s="32"/>
      <c r="N3" s="13"/>
      <c r="O3" s="13"/>
      <c r="P3" s="13"/>
      <c r="Q3" s="13"/>
      <c r="R3" s="13"/>
      <c r="S3" s="13"/>
      <c r="T3" s="13"/>
    </row>
    <row r="4" ht="26.25" customHeight="1">
      <c r="A4" s="35" t="s">
        <v>26</v>
      </c>
      <c r="B4" s="35" t="s">
        <v>27</v>
      </c>
      <c r="C4" s="40" t="s">
        <v>28</v>
      </c>
      <c r="D4" s="35" t="s">
        <v>30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35" t="s">
        <v>38</v>
      </c>
      <c r="K4" s="35" t="s">
        <v>39</v>
      </c>
      <c r="L4" s="35" t="s">
        <v>40</v>
      </c>
      <c r="M4" s="35" t="s">
        <v>25</v>
      </c>
      <c r="N4" s="13"/>
      <c r="O4" s="13"/>
      <c r="P4" s="13"/>
      <c r="Q4" s="13"/>
      <c r="R4" s="13"/>
      <c r="S4" s="13"/>
      <c r="T4" s="13"/>
    </row>
    <row r="5" ht="39.0" customHeight="1">
      <c r="A5" s="46"/>
      <c r="B5" s="46"/>
      <c r="C5" s="48"/>
      <c r="D5" s="46"/>
      <c r="E5" s="46"/>
      <c r="F5" s="46"/>
      <c r="G5" s="46"/>
      <c r="H5" s="46"/>
      <c r="I5" s="46"/>
      <c r="J5" s="46"/>
      <c r="K5" s="46"/>
      <c r="L5" s="46"/>
      <c r="M5" s="46"/>
      <c r="N5" s="49"/>
      <c r="O5" s="49"/>
      <c r="P5" s="49"/>
      <c r="Q5" s="49"/>
      <c r="R5" s="49"/>
      <c r="S5" s="49"/>
      <c r="T5" s="49"/>
    </row>
    <row r="6" ht="42.0" customHeight="1">
      <c r="A6" s="46"/>
      <c r="B6" s="46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51"/>
      <c r="O6" s="51"/>
      <c r="P6" s="51"/>
      <c r="Q6" s="51"/>
      <c r="R6" s="51"/>
      <c r="S6" s="51"/>
      <c r="T6" s="51"/>
    </row>
    <row r="7" ht="58.5" customHeight="1">
      <c r="A7" s="46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51"/>
      <c r="O7" s="51"/>
      <c r="P7" s="51"/>
      <c r="Q7" s="51"/>
      <c r="R7" s="51"/>
      <c r="S7" s="51"/>
      <c r="T7" s="51"/>
    </row>
    <row r="8" ht="45.0" customHeight="1">
      <c r="A8" s="46"/>
      <c r="B8" s="46"/>
      <c r="C8" s="48"/>
      <c r="D8" s="46"/>
      <c r="E8" s="46"/>
      <c r="F8" s="46"/>
      <c r="G8" s="46"/>
      <c r="H8" s="46"/>
      <c r="I8" s="46"/>
      <c r="J8" s="46"/>
      <c r="K8" s="46"/>
      <c r="L8" s="46"/>
      <c r="M8" s="46"/>
      <c r="N8" s="51"/>
      <c r="O8" s="51"/>
      <c r="P8" s="51"/>
      <c r="Q8" s="51"/>
      <c r="R8" s="51"/>
      <c r="S8" s="51"/>
      <c r="T8" s="51"/>
    </row>
    <row r="9" ht="84.0" customHeight="1">
      <c r="A9" s="38"/>
      <c r="B9" s="38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1"/>
      <c r="O9" s="51"/>
      <c r="P9" s="51"/>
      <c r="Q9" s="51"/>
      <c r="R9" s="51"/>
      <c r="S9" s="51"/>
      <c r="T9" s="51"/>
    </row>
    <row r="10" ht="42.0" customHeight="1">
      <c r="A10" s="55" t="s">
        <v>46</v>
      </c>
      <c r="B10" s="10"/>
      <c r="C10" s="57"/>
      <c r="D10" s="58"/>
      <c r="E10" s="58"/>
      <c r="F10" s="58"/>
      <c r="G10" s="60"/>
      <c r="H10" s="60"/>
      <c r="I10" s="60"/>
      <c r="J10" s="60"/>
      <c r="K10" s="60"/>
      <c r="L10" s="60"/>
      <c r="M10" s="60"/>
      <c r="N10" s="49"/>
      <c r="O10" s="49"/>
      <c r="P10" s="49"/>
      <c r="Q10" s="49"/>
      <c r="R10" s="49"/>
      <c r="S10" s="49"/>
      <c r="T10" s="49"/>
    </row>
    <row r="11" ht="39.0" customHeight="1" outlineLevel="1">
      <c r="A11" s="55" t="s">
        <v>614</v>
      </c>
      <c r="B11" s="10"/>
      <c r="C11" s="73"/>
      <c r="D11" s="58"/>
      <c r="E11" s="58"/>
      <c r="F11" s="58"/>
      <c r="G11" s="60"/>
      <c r="H11" s="60"/>
      <c r="I11" s="60"/>
      <c r="J11" s="60"/>
      <c r="K11" s="60"/>
      <c r="L11" s="60"/>
      <c r="M11" s="60"/>
      <c r="N11" s="86"/>
      <c r="O11" s="86"/>
      <c r="P11" s="86"/>
      <c r="Q11" s="86"/>
      <c r="R11" s="86"/>
      <c r="S11" s="86"/>
      <c r="T11" s="86"/>
    </row>
    <row r="12" ht="123.75" customHeight="1" outlineLevel="1">
      <c r="A12" s="70" t="str">
        <f t="shared" ref="A12:A24" si="1">"TC_Business_Profile_"&amp;(ROW()-ROW($A$12)+1)</f>
        <v>TC_Business_Profile_1</v>
      </c>
      <c r="B12" s="72" t="s">
        <v>616</v>
      </c>
      <c r="C12" s="73"/>
      <c r="D12" s="72"/>
      <c r="E12" s="78"/>
      <c r="F12" s="76" t="s">
        <v>56</v>
      </c>
      <c r="G12" s="76" t="s">
        <v>57</v>
      </c>
      <c r="H12" s="78"/>
      <c r="I12" s="77"/>
      <c r="J12" s="84"/>
      <c r="K12" s="80"/>
      <c r="L12" s="82" t="s">
        <v>12</v>
      </c>
      <c r="M12" s="84"/>
      <c r="N12" s="86"/>
      <c r="O12" s="86"/>
      <c r="P12" s="86"/>
      <c r="Q12" s="86"/>
      <c r="R12" s="86"/>
      <c r="S12" s="86"/>
      <c r="T12" s="86"/>
    </row>
    <row r="13" ht="123.75" customHeight="1" outlineLevel="1">
      <c r="A13" s="70" t="str">
        <f t="shared" si="1"/>
        <v>TC_Business_Profile_2</v>
      </c>
      <c r="B13" s="72" t="s">
        <v>618</v>
      </c>
      <c r="C13" s="73"/>
      <c r="D13" s="72"/>
      <c r="E13" s="78"/>
      <c r="F13" s="76" t="s">
        <v>109</v>
      </c>
      <c r="G13" s="76" t="s">
        <v>101</v>
      </c>
      <c r="H13" s="78"/>
      <c r="I13" s="77"/>
      <c r="J13" s="84"/>
      <c r="K13" s="80"/>
      <c r="L13" s="82" t="s">
        <v>12</v>
      </c>
      <c r="M13" s="84"/>
      <c r="N13" s="86"/>
      <c r="O13" s="86"/>
      <c r="P13" s="86"/>
      <c r="Q13" s="86"/>
      <c r="R13" s="86"/>
      <c r="S13" s="86"/>
      <c r="T13" s="86"/>
    </row>
    <row r="14" ht="123.75" customHeight="1" outlineLevel="1">
      <c r="A14" s="70" t="str">
        <f t="shared" si="1"/>
        <v>TC_Business_Profile_3</v>
      </c>
      <c r="B14" s="72" t="s">
        <v>620</v>
      </c>
      <c r="C14" s="73"/>
      <c r="D14" s="72"/>
      <c r="E14" s="78"/>
      <c r="F14" s="76" t="s">
        <v>109</v>
      </c>
      <c r="G14" s="76" t="s">
        <v>101</v>
      </c>
      <c r="H14" s="78"/>
      <c r="I14" s="77"/>
      <c r="J14" s="84"/>
      <c r="K14" s="80"/>
      <c r="L14" s="82" t="s">
        <v>12</v>
      </c>
      <c r="M14" s="84"/>
      <c r="N14" s="86"/>
      <c r="O14" s="86"/>
      <c r="P14" s="86"/>
      <c r="Q14" s="86"/>
      <c r="R14" s="86"/>
      <c r="S14" s="86"/>
      <c r="T14" s="86"/>
    </row>
    <row r="15" ht="123.75" customHeight="1" outlineLevel="1">
      <c r="A15" s="70" t="str">
        <f t="shared" si="1"/>
        <v>TC_Business_Profile_4</v>
      </c>
      <c r="B15" s="72" t="s">
        <v>623</v>
      </c>
      <c r="C15" s="73"/>
      <c r="D15" s="72"/>
      <c r="E15" s="78"/>
      <c r="F15" s="76" t="s">
        <v>109</v>
      </c>
      <c r="G15" s="76" t="s">
        <v>214</v>
      </c>
      <c r="H15" s="78"/>
      <c r="I15" s="77"/>
      <c r="J15" s="84"/>
      <c r="K15" s="80"/>
      <c r="L15" s="82" t="s">
        <v>12</v>
      </c>
      <c r="M15" s="84"/>
      <c r="N15" s="86"/>
      <c r="O15" s="86"/>
      <c r="P15" s="86"/>
      <c r="Q15" s="86"/>
      <c r="R15" s="86"/>
      <c r="S15" s="86"/>
      <c r="T15" s="86"/>
    </row>
    <row r="16" ht="123.75" customHeight="1" outlineLevel="1">
      <c r="A16" s="70" t="str">
        <f t="shared" si="1"/>
        <v>TC_Business_Profile_5</v>
      </c>
      <c r="B16" s="72" t="s">
        <v>625</v>
      </c>
      <c r="C16" s="73"/>
      <c r="D16" s="72"/>
      <c r="E16" s="78"/>
      <c r="F16" s="76" t="s">
        <v>109</v>
      </c>
      <c r="G16" s="76" t="s">
        <v>214</v>
      </c>
      <c r="H16" s="78"/>
      <c r="I16" s="77"/>
      <c r="J16" s="84"/>
      <c r="K16" s="80"/>
      <c r="L16" s="82" t="s">
        <v>12</v>
      </c>
      <c r="M16" s="84"/>
      <c r="N16" s="86"/>
      <c r="O16" s="86"/>
      <c r="P16" s="86"/>
      <c r="Q16" s="86"/>
      <c r="R16" s="86"/>
      <c r="S16" s="86"/>
      <c r="T16" s="86"/>
    </row>
    <row r="17" ht="123.75" customHeight="1" outlineLevel="1">
      <c r="A17" s="70" t="str">
        <f t="shared" si="1"/>
        <v>TC_Business_Profile_6</v>
      </c>
      <c r="B17" s="72" t="s">
        <v>627</v>
      </c>
      <c r="C17" s="73"/>
      <c r="D17" s="72"/>
      <c r="E17" s="78"/>
      <c r="F17" s="76" t="s">
        <v>109</v>
      </c>
      <c r="G17" s="76" t="s">
        <v>214</v>
      </c>
      <c r="H17" s="78"/>
      <c r="I17" s="77"/>
      <c r="J17" s="84"/>
      <c r="K17" s="80"/>
      <c r="L17" s="82" t="s">
        <v>12</v>
      </c>
      <c r="M17" s="84"/>
      <c r="N17" s="86"/>
      <c r="O17" s="86"/>
      <c r="P17" s="86"/>
      <c r="Q17" s="86"/>
      <c r="R17" s="86"/>
      <c r="S17" s="86"/>
      <c r="T17" s="86"/>
    </row>
    <row r="18" ht="123.75" customHeight="1" outlineLevel="1">
      <c r="A18" s="70" t="str">
        <f t="shared" si="1"/>
        <v>TC_Business_Profile_7</v>
      </c>
      <c r="B18" s="72" t="s">
        <v>628</v>
      </c>
      <c r="C18" s="73"/>
      <c r="D18" s="72"/>
      <c r="E18" s="78"/>
      <c r="F18" s="76" t="s">
        <v>109</v>
      </c>
      <c r="G18" s="76" t="s">
        <v>57</v>
      </c>
      <c r="H18" s="78"/>
      <c r="I18" s="77"/>
      <c r="J18" s="84"/>
      <c r="K18" s="80"/>
      <c r="L18" s="82" t="s">
        <v>12</v>
      </c>
      <c r="M18" s="84"/>
      <c r="N18" s="86"/>
      <c r="O18" s="86"/>
      <c r="P18" s="86"/>
      <c r="Q18" s="86"/>
      <c r="R18" s="86"/>
      <c r="S18" s="86"/>
      <c r="T18" s="86"/>
    </row>
    <row r="19" ht="123.75" customHeight="1" outlineLevel="1">
      <c r="A19" s="70" t="str">
        <f t="shared" si="1"/>
        <v>TC_Business_Profile_8</v>
      </c>
      <c r="B19" s="72" t="s">
        <v>629</v>
      </c>
      <c r="C19" s="73"/>
      <c r="D19" s="72"/>
      <c r="E19" s="78"/>
      <c r="F19" s="76" t="s">
        <v>109</v>
      </c>
      <c r="G19" s="76" t="s">
        <v>101</v>
      </c>
      <c r="H19" s="78"/>
      <c r="I19" s="77"/>
      <c r="J19" s="84"/>
      <c r="K19" s="80"/>
      <c r="L19" s="82" t="s">
        <v>12</v>
      </c>
      <c r="M19" s="84"/>
      <c r="N19" s="86"/>
      <c r="O19" s="86"/>
      <c r="P19" s="86"/>
      <c r="Q19" s="86"/>
      <c r="R19" s="86"/>
      <c r="S19" s="86"/>
      <c r="T19" s="86"/>
    </row>
    <row r="20" ht="123.75" customHeight="1" outlineLevel="1">
      <c r="A20" s="70" t="str">
        <f t="shared" si="1"/>
        <v>TC_Business_Profile_9</v>
      </c>
      <c r="B20" s="72" t="s">
        <v>631</v>
      </c>
      <c r="C20" s="73"/>
      <c r="D20" s="72"/>
      <c r="E20" s="78"/>
      <c r="F20" s="76" t="s">
        <v>109</v>
      </c>
      <c r="G20" s="76" t="s">
        <v>214</v>
      </c>
      <c r="H20" s="78"/>
      <c r="I20" s="77"/>
      <c r="J20" s="84"/>
      <c r="K20" s="80"/>
      <c r="L20" s="82" t="s">
        <v>12</v>
      </c>
      <c r="M20" s="84"/>
      <c r="N20" s="86"/>
      <c r="O20" s="86"/>
      <c r="P20" s="86"/>
      <c r="Q20" s="86"/>
      <c r="R20" s="86"/>
      <c r="S20" s="86"/>
      <c r="T20" s="86"/>
    </row>
    <row r="21" ht="123.75" customHeight="1" outlineLevel="1">
      <c r="A21" s="70" t="str">
        <f t="shared" si="1"/>
        <v>TC_Business_Profile_10</v>
      </c>
      <c r="B21" s="72" t="s">
        <v>632</v>
      </c>
      <c r="C21" s="73"/>
      <c r="D21" s="72"/>
      <c r="E21" s="78"/>
      <c r="F21" s="76" t="s">
        <v>109</v>
      </c>
      <c r="G21" s="76" t="s">
        <v>101</v>
      </c>
      <c r="H21" s="78"/>
      <c r="I21" s="77"/>
      <c r="J21" s="84"/>
      <c r="K21" s="80"/>
      <c r="L21" s="82" t="s">
        <v>12</v>
      </c>
      <c r="M21" s="84"/>
      <c r="N21" s="86"/>
      <c r="O21" s="86"/>
      <c r="P21" s="86"/>
      <c r="Q21" s="86"/>
      <c r="R21" s="86"/>
      <c r="S21" s="86"/>
      <c r="T21" s="86"/>
    </row>
    <row r="22" ht="123.75" customHeight="1" outlineLevel="1">
      <c r="A22" s="70" t="str">
        <f t="shared" si="1"/>
        <v>TC_Business_Profile_11</v>
      </c>
      <c r="B22" s="72" t="s">
        <v>634</v>
      </c>
      <c r="C22" s="73"/>
      <c r="D22" s="72"/>
      <c r="E22" s="78"/>
      <c r="F22" s="76" t="s">
        <v>109</v>
      </c>
      <c r="G22" s="76" t="s">
        <v>101</v>
      </c>
      <c r="H22" s="78"/>
      <c r="I22" s="77"/>
      <c r="J22" s="84"/>
      <c r="K22" s="80"/>
      <c r="L22" s="82" t="s">
        <v>12</v>
      </c>
      <c r="M22" s="84"/>
      <c r="N22" s="86"/>
      <c r="O22" s="86"/>
      <c r="P22" s="86"/>
      <c r="Q22" s="86"/>
      <c r="R22" s="86"/>
      <c r="S22" s="86"/>
      <c r="T22" s="86"/>
    </row>
    <row r="23" ht="123.75" customHeight="1" outlineLevel="1">
      <c r="A23" s="70" t="str">
        <f t="shared" si="1"/>
        <v>TC_Business_Profile_12</v>
      </c>
      <c r="B23" s="72" t="s">
        <v>635</v>
      </c>
      <c r="C23" s="73"/>
      <c r="D23" s="72"/>
      <c r="E23" s="78"/>
      <c r="F23" s="76" t="s">
        <v>109</v>
      </c>
      <c r="G23" s="76" t="s">
        <v>101</v>
      </c>
      <c r="H23" s="78"/>
      <c r="I23" s="77"/>
      <c r="J23" s="84"/>
      <c r="K23" s="80"/>
      <c r="L23" s="82" t="s">
        <v>12</v>
      </c>
      <c r="M23" s="84"/>
      <c r="N23" s="86"/>
      <c r="O23" s="86"/>
      <c r="P23" s="86"/>
      <c r="Q23" s="86"/>
      <c r="R23" s="86"/>
      <c r="S23" s="86"/>
      <c r="T23" s="86"/>
    </row>
    <row r="24" ht="123.75" customHeight="1" outlineLevel="1">
      <c r="A24" s="70" t="str">
        <f t="shared" si="1"/>
        <v>TC_Business_Profile_13</v>
      </c>
      <c r="B24" s="72" t="s">
        <v>637</v>
      </c>
      <c r="C24" s="73"/>
      <c r="D24" s="72"/>
      <c r="E24" s="78"/>
      <c r="F24" s="76" t="s">
        <v>109</v>
      </c>
      <c r="G24" s="76" t="s">
        <v>101</v>
      </c>
      <c r="H24" s="78"/>
      <c r="I24" s="77"/>
      <c r="J24" s="84"/>
      <c r="K24" s="80"/>
      <c r="L24" s="82" t="s">
        <v>12</v>
      </c>
      <c r="M24" s="84"/>
      <c r="N24" s="86"/>
      <c r="O24" s="86"/>
      <c r="P24" s="86"/>
      <c r="Q24" s="86"/>
      <c r="R24" s="86"/>
      <c r="S24" s="86"/>
      <c r="T24" s="86"/>
    </row>
    <row r="25" ht="15.75" customHeight="1">
      <c r="I25" s="117"/>
      <c r="K25" s="117"/>
      <c r="L25" s="118"/>
    </row>
    <row r="26" ht="15.75" customHeight="1">
      <c r="I26" s="117"/>
      <c r="K26" s="117"/>
      <c r="L26" s="118"/>
    </row>
    <row r="27" ht="15.75" customHeight="1">
      <c r="I27" s="117"/>
      <c r="K27" s="117"/>
      <c r="L27" s="118"/>
    </row>
    <row r="28" ht="15.75" customHeight="1">
      <c r="I28" s="117"/>
      <c r="K28" s="117"/>
      <c r="L28" s="118"/>
    </row>
    <row r="29" ht="15.75" customHeight="1">
      <c r="I29" s="117"/>
      <c r="K29" s="117"/>
      <c r="L29" s="118"/>
    </row>
    <row r="30" ht="15.75" customHeight="1">
      <c r="I30" s="117"/>
      <c r="K30" s="117"/>
      <c r="L30" s="118"/>
    </row>
    <row r="31" ht="15.75" customHeight="1">
      <c r="I31" s="117"/>
      <c r="K31" s="117"/>
      <c r="L31" s="118"/>
    </row>
    <row r="32" ht="15.75" customHeight="1">
      <c r="I32" s="117"/>
      <c r="K32" s="117"/>
      <c r="L32" s="118"/>
    </row>
    <row r="33" ht="15.75" customHeight="1">
      <c r="I33" s="117"/>
      <c r="K33" s="117"/>
      <c r="L33" s="118"/>
    </row>
    <row r="34" ht="15.75" customHeight="1">
      <c r="I34" s="117"/>
      <c r="K34" s="117"/>
      <c r="L34" s="118"/>
    </row>
    <row r="35" ht="15.75" customHeight="1">
      <c r="I35" s="117"/>
      <c r="K35" s="117"/>
      <c r="L35" s="118"/>
    </row>
    <row r="36" ht="15.75" customHeight="1">
      <c r="I36" s="117"/>
      <c r="K36" s="117"/>
      <c r="L36" s="118"/>
    </row>
    <row r="37" ht="15.75" customHeight="1">
      <c r="I37" s="117"/>
      <c r="K37" s="117"/>
      <c r="L37" s="118"/>
    </row>
    <row r="38" ht="15.75" customHeight="1">
      <c r="I38" s="117"/>
      <c r="K38" s="117"/>
      <c r="L38" s="118"/>
    </row>
    <row r="39" ht="15.75" customHeight="1">
      <c r="I39" s="117"/>
      <c r="K39" s="117"/>
      <c r="L39" s="118"/>
    </row>
    <row r="40" ht="15.75" customHeight="1">
      <c r="I40" s="117"/>
      <c r="K40" s="117"/>
      <c r="L40" s="118"/>
    </row>
    <row r="41" ht="15.75" customHeight="1">
      <c r="I41" s="117"/>
      <c r="K41" s="117"/>
      <c r="L41" s="118"/>
    </row>
    <row r="42" ht="15.75" customHeight="1">
      <c r="I42" s="117"/>
      <c r="K42" s="117"/>
      <c r="L42" s="118"/>
    </row>
    <row r="43" ht="16.5" customHeight="1">
      <c r="I43" s="117"/>
      <c r="K43" s="117"/>
      <c r="L43" s="118"/>
    </row>
    <row r="44" ht="15.75" customHeight="1">
      <c r="E44" s="124" t="s">
        <v>462</v>
      </c>
      <c r="F44" s="125">
        <f>COUNTIF(L12:L24,"Pass")</f>
        <v>0</v>
      </c>
      <c r="G44" s="126">
        <f>(F44/F50)*100</f>
        <v>0</v>
      </c>
      <c r="H44" s="127" t="s">
        <v>465</v>
      </c>
      <c r="I44" s="117"/>
      <c r="K44" s="117"/>
      <c r="L44" s="118"/>
    </row>
    <row r="45" ht="15.75" customHeight="1">
      <c r="E45" s="124" t="s">
        <v>467</v>
      </c>
      <c r="F45" s="125">
        <f>COUNTIF(L12:L24,"Pass")</f>
        <v>0</v>
      </c>
      <c r="G45" s="126">
        <f>(F45/F50)*100</f>
        <v>0</v>
      </c>
      <c r="H45" s="127" t="s">
        <v>465</v>
      </c>
      <c r="I45" s="117"/>
      <c r="K45" s="117"/>
      <c r="L45" s="118"/>
    </row>
    <row r="46" ht="15.75" customHeight="1">
      <c r="E46" s="124" t="s">
        <v>12</v>
      </c>
      <c r="F46" s="125">
        <f>COUNTIF(L12:L24,"Not Start")</f>
        <v>13</v>
      </c>
      <c r="G46" s="126">
        <f>(F46/F50)*100</f>
        <v>100</v>
      </c>
      <c r="H46" s="127" t="s">
        <v>465</v>
      </c>
      <c r="I46" s="117"/>
      <c r="K46" s="117"/>
      <c r="L46" s="118"/>
    </row>
    <row r="47" ht="15.75" customHeight="1">
      <c r="E47" s="124" t="s">
        <v>474</v>
      </c>
      <c r="F47" s="125">
        <f>COUNTIF(L12:L24,"Pending")</f>
        <v>0</v>
      </c>
      <c r="G47" s="126">
        <f>(F47/F50)*100</f>
        <v>0</v>
      </c>
      <c r="H47" s="127" t="s">
        <v>465</v>
      </c>
      <c r="I47" s="117"/>
      <c r="K47" s="117"/>
      <c r="L47" s="118"/>
    </row>
    <row r="48" ht="15.75" customHeight="1">
      <c r="E48" s="124" t="s">
        <v>44</v>
      </c>
      <c r="F48" s="125">
        <f>COUNTIF(#REF!,"Deferred")</f>
        <v>0</v>
      </c>
      <c r="G48" s="126">
        <f>(F48/F50)*100</f>
        <v>0</v>
      </c>
      <c r="H48" s="127" t="s">
        <v>465</v>
      </c>
      <c r="I48" s="117"/>
      <c r="K48" s="117"/>
      <c r="L48" s="118"/>
    </row>
    <row r="49" ht="15.75" customHeight="1">
      <c r="E49" s="124" t="s">
        <v>479</v>
      </c>
      <c r="F49" s="125">
        <f>COUNTIF(L12:L24,"Not Applicable")</f>
        <v>0</v>
      </c>
      <c r="G49" s="126">
        <f>(F49/F50)*100</f>
        <v>0</v>
      </c>
      <c r="H49" s="127" t="s">
        <v>465</v>
      </c>
      <c r="I49" s="117"/>
      <c r="K49" s="117"/>
      <c r="L49" s="118"/>
    </row>
    <row r="50" ht="15.75" customHeight="1">
      <c r="E50" s="128" t="s">
        <v>49</v>
      </c>
      <c r="F50" s="129">
        <f t="shared" ref="F50:G50" si="2">SUM(F44:F49)</f>
        <v>13</v>
      </c>
      <c r="G50" s="130">
        <f t="shared" si="2"/>
        <v>100</v>
      </c>
      <c r="H50" s="131" t="s">
        <v>465</v>
      </c>
      <c r="I50" s="117"/>
      <c r="K50" s="117"/>
      <c r="L50" s="118"/>
    </row>
    <row r="51" ht="15.75" customHeight="1">
      <c r="E51" s="132" t="s">
        <v>484</v>
      </c>
      <c r="F51" s="133"/>
      <c r="G51" s="134">
        <f>G44+G45+G47+G49</f>
        <v>0</v>
      </c>
      <c r="H51" s="135"/>
      <c r="I51" s="117"/>
      <c r="K51" s="117"/>
      <c r="L51" s="118"/>
    </row>
    <row r="52" ht="15.75" customHeight="1">
      <c r="E52" s="132" t="s">
        <v>485</v>
      </c>
      <c r="F52" s="36"/>
      <c r="G52" s="136">
        <f>F44/(F50-F49-F47)</f>
        <v>0</v>
      </c>
      <c r="H52" s="137"/>
      <c r="I52" s="117"/>
      <c r="K52" s="117"/>
      <c r="L52" s="118"/>
    </row>
    <row r="53" ht="15.75" customHeight="1">
      <c r="I53" s="117"/>
      <c r="K53" s="117"/>
      <c r="L53" s="118"/>
    </row>
    <row r="54" ht="15.75" customHeight="1">
      <c r="I54" s="117"/>
      <c r="K54" s="117"/>
      <c r="L54" s="118"/>
    </row>
    <row r="55" ht="15.75" customHeight="1">
      <c r="I55" s="117"/>
      <c r="K55" s="117"/>
      <c r="L55" s="118"/>
    </row>
    <row r="56" ht="15.75" customHeight="1">
      <c r="I56" s="117"/>
      <c r="K56" s="117"/>
      <c r="L56" s="118"/>
    </row>
    <row r="57" ht="15.75" customHeight="1">
      <c r="I57" s="117"/>
      <c r="K57" s="117"/>
      <c r="L57" s="118"/>
    </row>
    <row r="58" ht="15.75" customHeight="1">
      <c r="I58" s="117"/>
      <c r="K58" s="117"/>
      <c r="L58" s="118"/>
    </row>
    <row r="59" ht="15.75" customHeight="1">
      <c r="I59" s="117"/>
      <c r="K59" s="117"/>
      <c r="L59" s="118"/>
    </row>
    <row r="60" ht="15.75" customHeight="1">
      <c r="I60" s="117"/>
      <c r="K60" s="117"/>
      <c r="L60" s="118"/>
    </row>
    <row r="61" ht="15.75" customHeight="1">
      <c r="I61" s="117"/>
      <c r="K61" s="117"/>
      <c r="L61" s="118"/>
    </row>
    <row r="62" ht="15.75" customHeight="1">
      <c r="I62" s="117"/>
      <c r="K62" s="117"/>
      <c r="L62" s="118"/>
    </row>
    <row r="63" ht="15.75" customHeight="1">
      <c r="I63" s="117"/>
      <c r="K63" s="117"/>
      <c r="L63" s="118"/>
    </row>
    <row r="64" ht="15.75" customHeight="1">
      <c r="I64" s="117"/>
      <c r="K64" s="117"/>
      <c r="L64" s="118"/>
    </row>
    <row r="65" ht="15.75" customHeight="1">
      <c r="I65" s="117"/>
      <c r="K65" s="117"/>
      <c r="L65" s="118"/>
    </row>
    <row r="66" ht="15.75" customHeight="1">
      <c r="I66" s="117"/>
      <c r="K66" s="117"/>
      <c r="L66" s="118"/>
    </row>
    <row r="67" ht="15.75" customHeight="1">
      <c r="I67" s="117"/>
      <c r="K67" s="117"/>
      <c r="L67" s="118"/>
    </row>
    <row r="68" ht="15.75" customHeight="1">
      <c r="I68" s="117"/>
      <c r="K68" s="117"/>
      <c r="L68" s="118"/>
    </row>
    <row r="69" ht="15.75" customHeight="1">
      <c r="I69" s="117"/>
      <c r="K69" s="117"/>
      <c r="L69" s="118"/>
    </row>
    <row r="70" ht="15.75" customHeight="1">
      <c r="I70" s="117"/>
      <c r="K70" s="117"/>
      <c r="L70" s="118"/>
    </row>
    <row r="71" ht="15.75" customHeight="1">
      <c r="I71" s="117"/>
      <c r="K71" s="117"/>
      <c r="L71" s="118"/>
    </row>
    <row r="72" ht="15.75" customHeight="1">
      <c r="I72" s="117"/>
      <c r="K72" s="117"/>
      <c r="L72" s="118"/>
    </row>
    <row r="73" ht="15.75" customHeight="1">
      <c r="I73" s="117"/>
      <c r="K73" s="117"/>
      <c r="L73" s="118"/>
    </row>
    <row r="74" ht="15.75" customHeight="1">
      <c r="I74" s="117"/>
      <c r="K74" s="117"/>
      <c r="L74" s="118"/>
    </row>
    <row r="75" ht="15.75" customHeight="1">
      <c r="I75" s="117"/>
      <c r="K75" s="117"/>
      <c r="L75" s="118"/>
    </row>
    <row r="76" ht="15.75" customHeight="1">
      <c r="I76" s="117"/>
      <c r="K76" s="117"/>
      <c r="L76" s="118"/>
    </row>
    <row r="77" ht="15.75" customHeight="1">
      <c r="I77" s="117"/>
      <c r="K77" s="117"/>
      <c r="L77" s="118"/>
    </row>
    <row r="78" ht="15.75" customHeight="1">
      <c r="I78" s="117"/>
      <c r="K78" s="117"/>
      <c r="L78" s="118"/>
    </row>
    <row r="79" ht="15.75" customHeight="1">
      <c r="I79" s="117"/>
      <c r="K79" s="117"/>
      <c r="L79" s="118"/>
    </row>
    <row r="80" ht="15.75" customHeight="1">
      <c r="I80" s="117"/>
      <c r="K80" s="117"/>
      <c r="L80" s="118"/>
    </row>
    <row r="81" ht="15.75" customHeight="1">
      <c r="I81" s="117"/>
      <c r="K81" s="117"/>
      <c r="L81" s="118"/>
    </row>
    <row r="82" ht="15.75" customHeight="1">
      <c r="I82" s="117"/>
      <c r="K82" s="117"/>
      <c r="L82" s="118"/>
    </row>
    <row r="83" ht="15.75" customHeight="1">
      <c r="I83" s="117"/>
      <c r="K83" s="117"/>
      <c r="L83" s="118"/>
    </row>
    <row r="84" ht="15.75" customHeight="1">
      <c r="I84" s="117"/>
      <c r="K84" s="117"/>
      <c r="L84" s="118"/>
    </row>
    <row r="85" ht="15.75" customHeight="1">
      <c r="I85" s="117"/>
      <c r="K85" s="117"/>
      <c r="L85" s="118"/>
    </row>
    <row r="86" ht="15.75" customHeight="1">
      <c r="I86" s="117"/>
      <c r="K86" s="117"/>
      <c r="L86" s="118"/>
    </row>
    <row r="87" ht="15.75" customHeight="1">
      <c r="I87" s="117"/>
      <c r="K87" s="117"/>
      <c r="L87" s="118"/>
    </row>
    <row r="88" ht="15.75" customHeight="1">
      <c r="I88" s="117"/>
      <c r="K88" s="117"/>
      <c r="L88" s="118"/>
    </row>
    <row r="89" ht="15.75" customHeight="1">
      <c r="I89" s="117"/>
      <c r="K89" s="117"/>
      <c r="L89" s="118"/>
    </row>
    <row r="90" ht="15.75" customHeight="1">
      <c r="I90" s="117"/>
      <c r="K90" s="117"/>
      <c r="L90" s="118"/>
    </row>
    <row r="91" ht="15.75" customHeight="1">
      <c r="I91" s="117"/>
      <c r="K91" s="117"/>
      <c r="L91" s="118"/>
    </row>
    <row r="92" ht="15.75" customHeight="1">
      <c r="I92" s="117"/>
      <c r="K92" s="117"/>
      <c r="L92" s="118"/>
    </row>
    <row r="93" ht="15.75" customHeight="1">
      <c r="I93" s="117"/>
      <c r="K93" s="117"/>
      <c r="L93" s="118"/>
    </row>
    <row r="94" ht="15.75" customHeight="1">
      <c r="I94" s="117"/>
      <c r="K94" s="117"/>
      <c r="L94" s="118"/>
    </row>
    <row r="95" ht="15.75" customHeight="1">
      <c r="I95" s="117"/>
      <c r="K95" s="117"/>
      <c r="L95" s="118"/>
    </row>
    <row r="96" ht="15.75" customHeight="1">
      <c r="I96" s="117"/>
      <c r="K96" s="117"/>
      <c r="L96" s="118"/>
    </row>
    <row r="97" ht="15.75" customHeight="1">
      <c r="I97" s="117"/>
      <c r="K97" s="117"/>
      <c r="L97" s="118"/>
    </row>
    <row r="98" ht="15.75" customHeight="1">
      <c r="I98" s="117"/>
      <c r="K98" s="117"/>
      <c r="L98" s="118"/>
    </row>
    <row r="99" ht="15.75" customHeight="1">
      <c r="I99" s="117"/>
      <c r="K99" s="117"/>
      <c r="L99" s="118"/>
    </row>
    <row r="100" ht="15.75" customHeight="1">
      <c r="I100" s="117"/>
      <c r="K100" s="117"/>
      <c r="L100" s="118"/>
    </row>
    <row r="101" ht="15.75" customHeight="1">
      <c r="I101" s="117"/>
      <c r="K101" s="117"/>
      <c r="L101" s="118"/>
    </row>
    <row r="102" ht="15.75" customHeight="1">
      <c r="I102" s="117"/>
      <c r="K102" s="117"/>
      <c r="L102" s="118"/>
    </row>
    <row r="103" ht="15.75" customHeight="1">
      <c r="I103" s="117"/>
      <c r="K103" s="117"/>
      <c r="L103" s="118"/>
    </row>
    <row r="104" ht="15.75" customHeight="1">
      <c r="I104" s="117"/>
      <c r="K104" s="117"/>
      <c r="L104" s="118"/>
    </row>
    <row r="105" ht="15.75" customHeight="1">
      <c r="I105" s="117"/>
      <c r="K105" s="117"/>
      <c r="L105" s="118"/>
    </row>
    <row r="106" ht="15.75" customHeight="1">
      <c r="I106" s="117"/>
      <c r="K106" s="117"/>
      <c r="L106" s="118"/>
    </row>
    <row r="107" ht="15.75" customHeight="1">
      <c r="I107" s="117"/>
      <c r="K107" s="117"/>
      <c r="L107" s="118"/>
    </row>
    <row r="108" ht="15.75" customHeight="1">
      <c r="I108" s="117"/>
      <c r="K108" s="117"/>
      <c r="L108" s="118"/>
    </row>
    <row r="109" ht="15.75" customHeight="1">
      <c r="I109" s="117"/>
      <c r="K109" s="117"/>
      <c r="L109" s="118"/>
    </row>
    <row r="110" ht="15.75" customHeight="1">
      <c r="I110" s="117"/>
      <c r="K110" s="117"/>
      <c r="L110" s="118"/>
    </row>
    <row r="111" ht="15.75" customHeight="1">
      <c r="I111" s="117"/>
      <c r="K111" s="117"/>
      <c r="L111" s="118"/>
    </row>
    <row r="112" ht="15.75" customHeight="1">
      <c r="I112" s="117"/>
      <c r="K112" s="117"/>
      <c r="L112" s="118"/>
    </row>
    <row r="113" ht="15.75" customHeight="1">
      <c r="I113" s="117"/>
      <c r="K113" s="117"/>
      <c r="L113" s="118"/>
    </row>
    <row r="114" ht="15.75" customHeight="1">
      <c r="I114" s="117"/>
      <c r="K114" s="117"/>
      <c r="L114" s="118"/>
    </row>
    <row r="115" ht="15.75" customHeight="1">
      <c r="I115" s="117"/>
      <c r="K115" s="117"/>
      <c r="L115" s="118"/>
    </row>
    <row r="116" ht="15.75" customHeight="1">
      <c r="I116" s="117"/>
      <c r="K116" s="117"/>
      <c r="L116" s="118"/>
    </row>
    <row r="117" ht="15.75" customHeight="1">
      <c r="I117" s="117"/>
      <c r="K117" s="117"/>
      <c r="L117" s="118"/>
    </row>
    <row r="118" ht="15.75" customHeight="1">
      <c r="I118" s="117"/>
      <c r="K118" s="117"/>
      <c r="L118" s="118"/>
    </row>
    <row r="119" ht="15.75" customHeight="1">
      <c r="I119" s="117"/>
      <c r="K119" s="117"/>
      <c r="L119" s="118"/>
    </row>
    <row r="120" ht="15.75" customHeight="1">
      <c r="I120" s="117"/>
      <c r="K120" s="117"/>
      <c r="L120" s="118"/>
    </row>
    <row r="121" ht="15.75" customHeight="1">
      <c r="I121" s="117"/>
      <c r="K121" s="117"/>
      <c r="L121" s="118"/>
    </row>
    <row r="122" ht="15.75" customHeight="1">
      <c r="I122" s="117"/>
      <c r="K122" s="117"/>
      <c r="L122" s="118"/>
    </row>
    <row r="123" ht="15.75" customHeight="1">
      <c r="I123" s="117"/>
      <c r="K123" s="117"/>
      <c r="L123" s="118"/>
    </row>
    <row r="124" ht="15.75" customHeight="1">
      <c r="I124" s="117"/>
      <c r="K124" s="117"/>
      <c r="L124" s="118"/>
    </row>
    <row r="125" ht="15.75" customHeight="1">
      <c r="I125" s="117"/>
      <c r="K125" s="117"/>
      <c r="L125" s="118"/>
    </row>
    <row r="126" ht="15.75" customHeight="1">
      <c r="I126" s="117"/>
      <c r="K126" s="117"/>
      <c r="L126" s="118"/>
    </row>
    <row r="127" ht="15.75" customHeight="1">
      <c r="I127" s="117"/>
      <c r="K127" s="117"/>
      <c r="L127" s="118"/>
    </row>
    <row r="128" ht="15.75" customHeight="1">
      <c r="I128" s="117"/>
      <c r="K128" s="117"/>
      <c r="L128" s="118"/>
    </row>
    <row r="129" ht="15.75" customHeight="1">
      <c r="I129" s="117"/>
      <c r="K129" s="117"/>
      <c r="L129" s="118"/>
    </row>
    <row r="130" ht="15.75" customHeight="1">
      <c r="I130" s="117"/>
      <c r="K130" s="117"/>
      <c r="L130" s="118"/>
    </row>
    <row r="131" ht="15.75" customHeight="1">
      <c r="I131" s="117"/>
      <c r="K131" s="117"/>
      <c r="L131" s="118"/>
    </row>
    <row r="132" ht="15.75" customHeight="1">
      <c r="I132" s="117"/>
      <c r="K132" s="117"/>
      <c r="L132" s="118"/>
    </row>
    <row r="133" ht="15.75" customHeight="1">
      <c r="I133" s="117"/>
      <c r="K133" s="117"/>
      <c r="L133" s="118"/>
    </row>
    <row r="134" ht="15.75" customHeight="1">
      <c r="I134" s="117"/>
      <c r="K134" s="117"/>
      <c r="L134" s="118"/>
    </row>
    <row r="135" ht="15.75" customHeight="1">
      <c r="I135" s="117"/>
      <c r="K135" s="117"/>
      <c r="L135" s="118"/>
    </row>
    <row r="136" ht="15.75" customHeight="1">
      <c r="I136" s="117"/>
      <c r="K136" s="117"/>
      <c r="L136" s="118"/>
    </row>
    <row r="137" ht="15.75" customHeight="1">
      <c r="I137" s="117"/>
      <c r="K137" s="117"/>
      <c r="L137" s="118"/>
    </row>
    <row r="138" ht="15.75" customHeight="1">
      <c r="I138" s="117"/>
      <c r="K138" s="117"/>
      <c r="L138" s="118"/>
    </row>
    <row r="139" ht="15.75" customHeight="1">
      <c r="I139" s="117"/>
      <c r="K139" s="117"/>
      <c r="L139" s="118"/>
    </row>
    <row r="140" ht="15.75" customHeight="1">
      <c r="I140" s="117"/>
      <c r="K140" s="117"/>
      <c r="L140" s="118"/>
    </row>
    <row r="141" ht="15.75" customHeight="1">
      <c r="I141" s="117"/>
      <c r="K141" s="117"/>
      <c r="L141" s="118"/>
    </row>
    <row r="142" ht="15.75" customHeight="1">
      <c r="I142" s="117"/>
      <c r="K142" s="117"/>
      <c r="L142" s="118"/>
    </row>
    <row r="143" ht="15.75" customHeight="1">
      <c r="I143" s="117"/>
      <c r="K143" s="117"/>
      <c r="L143" s="118"/>
    </row>
    <row r="144" ht="15.75" customHeight="1">
      <c r="I144" s="117"/>
      <c r="K144" s="117"/>
      <c r="L144" s="118"/>
    </row>
    <row r="145" ht="15.75" customHeight="1">
      <c r="I145" s="117"/>
      <c r="K145" s="117"/>
      <c r="L145" s="118"/>
    </row>
    <row r="146" ht="15.75" customHeight="1">
      <c r="I146" s="117"/>
      <c r="K146" s="117"/>
      <c r="L146" s="118"/>
    </row>
    <row r="147" ht="15.75" customHeight="1">
      <c r="I147" s="117"/>
      <c r="K147" s="117"/>
      <c r="L147" s="118"/>
    </row>
    <row r="148" ht="15.75" customHeight="1">
      <c r="I148" s="117"/>
      <c r="K148" s="117"/>
      <c r="L148" s="118"/>
    </row>
    <row r="149" ht="15.75" customHeight="1">
      <c r="I149" s="117"/>
      <c r="K149" s="117"/>
      <c r="L149" s="118"/>
    </row>
    <row r="150" ht="15.75" customHeight="1">
      <c r="I150" s="117"/>
      <c r="K150" s="117"/>
      <c r="L150" s="118"/>
    </row>
    <row r="151" ht="15.75" customHeight="1">
      <c r="I151" s="117"/>
      <c r="K151" s="117"/>
      <c r="L151" s="118"/>
    </row>
    <row r="152" ht="15.75" customHeight="1">
      <c r="I152" s="117"/>
      <c r="K152" s="117"/>
      <c r="L152" s="118"/>
    </row>
    <row r="153" ht="15.75" customHeight="1">
      <c r="I153" s="117"/>
      <c r="K153" s="117"/>
      <c r="L153" s="118"/>
    </row>
    <row r="154" ht="15.75" customHeight="1">
      <c r="I154" s="117"/>
      <c r="K154" s="117"/>
      <c r="L154" s="118"/>
    </row>
    <row r="155" ht="15.75" customHeight="1">
      <c r="I155" s="117"/>
      <c r="K155" s="117"/>
      <c r="L155" s="118"/>
    </row>
    <row r="156" ht="15.75" customHeight="1">
      <c r="I156" s="117"/>
      <c r="K156" s="117"/>
      <c r="L156" s="118"/>
    </row>
    <row r="157" ht="15.75" customHeight="1">
      <c r="I157" s="117"/>
      <c r="K157" s="117"/>
      <c r="L157" s="118"/>
    </row>
    <row r="158" ht="15.75" customHeight="1">
      <c r="I158" s="117"/>
      <c r="K158" s="117"/>
      <c r="L158" s="118"/>
    </row>
    <row r="159" ht="15.75" customHeight="1">
      <c r="I159" s="117"/>
      <c r="K159" s="117"/>
      <c r="L159" s="118"/>
    </row>
    <row r="160" ht="15.75" customHeight="1">
      <c r="I160" s="117"/>
      <c r="K160" s="117"/>
      <c r="L160" s="118"/>
    </row>
    <row r="161" ht="15.75" customHeight="1">
      <c r="I161" s="117"/>
      <c r="K161" s="117"/>
      <c r="L161" s="118"/>
    </row>
    <row r="162" ht="15.75" customHeight="1">
      <c r="I162" s="117"/>
      <c r="K162" s="117"/>
      <c r="L162" s="118"/>
    </row>
    <row r="163" ht="15.75" customHeight="1">
      <c r="I163" s="117"/>
      <c r="K163" s="117"/>
      <c r="L163" s="118"/>
    </row>
    <row r="164" ht="15.75" customHeight="1">
      <c r="I164" s="117"/>
      <c r="K164" s="117"/>
      <c r="L164" s="118"/>
    </row>
    <row r="165" ht="15.75" customHeight="1">
      <c r="I165" s="117"/>
      <c r="K165" s="117"/>
      <c r="L165" s="118"/>
    </row>
    <row r="166" ht="15.75" customHeight="1">
      <c r="I166" s="117"/>
      <c r="K166" s="117"/>
      <c r="L166" s="118"/>
    </row>
    <row r="167" ht="15.75" customHeight="1">
      <c r="I167" s="117"/>
      <c r="K167" s="117"/>
      <c r="L167" s="118"/>
    </row>
    <row r="168" ht="15.75" customHeight="1">
      <c r="I168" s="117"/>
      <c r="K168" s="117"/>
      <c r="L168" s="118"/>
    </row>
    <row r="169" ht="15.75" customHeight="1">
      <c r="I169" s="117"/>
      <c r="K169" s="117"/>
      <c r="L169" s="118"/>
    </row>
    <row r="170" ht="15.75" customHeight="1">
      <c r="I170" s="117"/>
      <c r="K170" s="117"/>
      <c r="L170" s="118"/>
    </row>
    <row r="171" ht="15.75" customHeight="1">
      <c r="I171" s="117"/>
      <c r="K171" s="117"/>
      <c r="L171" s="118"/>
    </row>
    <row r="172" ht="15.75" customHeight="1">
      <c r="I172" s="117"/>
      <c r="K172" s="117"/>
      <c r="L172" s="118"/>
    </row>
    <row r="173" ht="15.75" customHeight="1">
      <c r="I173" s="117"/>
      <c r="K173" s="117"/>
      <c r="L173" s="118"/>
    </row>
    <row r="174" ht="15.75" customHeight="1">
      <c r="I174" s="117"/>
      <c r="K174" s="117"/>
      <c r="L174" s="118"/>
    </row>
    <row r="175" ht="15.75" customHeight="1">
      <c r="I175" s="117"/>
      <c r="K175" s="117"/>
      <c r="L175" s="118"/>
    </row>
    <row r="176" ht="15.75" customHeight="1">
      <c r="I176" s="117"/>
      <c r="K176" s="117"/>
      <c r="L176" s="118"/>
    </row>
    <row r="177" ht="15.75" customHeight="1">
      <c r="I177" s="117"/>
      <c r="K177" s="117"/>
      <c r="L177" s="118"/>
    </row>
    <row r="178" ht="15.75" customHeight="1">
      <c r="I178" s="117"/>
      <c r="K178" s="117"/>
      <c r="L178" s="118"/>
    </row>
    <row r="179" ht="15.75" customHeight="1">
      <c r="I179" s="117"/>
      <c r="K179" s="117"/>
      <c r="L179" s="118"/>
    </row>
    <row r="180" ht="15.75" customHeight="1">
      <c r="I180" s="117"/>
      <c r="K180" s="117"/>
      <c r="L180" s="118"/>
    </row>
    <row r="181" ht="15.75" customHeight="1">
      <c r="I181" s="117"/>
      <c r="K181" s="117"/>
      <c r="L181" s="118"/>
    </row>
    <row r="182" ht="15.75" customHeight="1">
      <c r="I182" s="117"/>
      <c r="K182" s="117"/>
      <c r="L182" s="118"/>
    </row>
    <row r="183" ht="15.75" customHeight="1">
      <c r="I183" s="117"/>
      <c r="K183" s="117"/>
      <c r="L183" s="118"/>
    </row>
    <row r="184" ht="15.75" customHeight="1">
      <c r="I184" s="117"/>
      <c r="K184" s="117"/>
      <c r="L184" s="118"/>
    </row>
    <row r="185" ht="15.75" customHeight="1">
      <c r="I185" s="117"/>
      <c r="K185" s="117"/>
      <c r="L185" s="118"/>
    </row>
    <row r="186" ht="15.75" customHeight="1">
      <c r="I186" s="117"/>
      <c r="K186" s="117"/>
      <c r="L186" s="118"/>
    </row>
    <row r="187" ht="15.75" customHeight="1">
      <c r="I187" s="117"/>
      <c r="K187" s="117"/>
      <c r="L187" s="118"/>
    </row>
    <row r="188" ht="15.75" customHeight="1">
      <c r="I188" s="117"/>
      <c r="K188" s="117"/>
      <c r="L188" s="118"/>
    </row>
    <row r="189" ht="15.75" customHeight="1">
      <c r="I189" s="117"/>
      <c r="K189" s="117"/>
      <c r="L189" s="118"/>
    </row>
    <row r="190" ht="15.75" customHeight="1">
      <c r="I190" s="117"/>
      <c r="K190" s="117"/>
      <c r="L190" s="118"/>
    </row>
    <row r="191" ht="15.75" customHeight="1">
      <c r="I191" s="117"/>
      <c r="K191" s="117"/>
      <c r="L191" s="118"/>
    </row>
    <row r="192" ht="15.75" customHeight="1">
      <c r="I192" s="117"/>
      <c r="K192" s="117"/>
      <c r="L192" s="118"/>
    </row>
    <row r="193" ht="15.75" customHeight="1">
      <c r="I193" s="117"/>
      <c r="K193" s="117"/>
      <c r="L193" s="118"/>
    </row>
    <row r="194" ht="15.75" customHeight="1">
      <c r="I194" s="117"/>
      <c r="K194" s="117"/>
      <c r="L194" s="118"/>
    </row>
    <row r="195" ht="15.75" customHeight="1">
      <c r="I195" s="117"/>
      <c r="K195" s="117"/>
      <c r="L195" s="118"/>
    </row>
    <row r="196" ht="15.75" customHeight="1">
      <c r="I196" s="117"/>
      <c r="K196" s="117"/>
      <c r="L196" s="118"/>
    </row>
    <row r="197" ht="15.75" customHeight="1">
      <c r="I197" s="117"/>
      <c r="K197" s="117"/>
      <c r="L197" s="118"/>
    </row>
    <row r="198" ht="15.75" customHeight="1">
      <c r="I198" s="117"/>
      <c r="K198" s="117"/>
      <c r="L198" s="118"/>
    </row>
    <row r="199" ht="15.75" customHeight="1">
      <c r="I199" s="117"/>
      <c r="K199" s="117"/>
      <c r="L199" s="118"/>
    </row>
    <row r="200" ht="15.75" customHeight="1">
      <c r="I200" s="117"/>
      <c r="K200" s="117"/>
      <c r="L200" s="118"/>
    </row>
    <row r="201" ht="15.75" customHeight="1">
      <c r="I201" s="117"/>
      <c r="K201" s="117"/>
      <c r="L201" s="118"/>
    </row>
    <row r="202" ht="15.75" customHeight="1">
      <c r="I202" s="117"/>
      <c r="K202" s="117"/>
      <c r="L202" s="118"/>
    </row>
    <row r="203" ht="15.75" customHeight="1">
      <c r="I203" s="117"/>
      <c r="K203" s="117"/>
      <c r="L203" s="118"/>
    </row>
    <row r="204" ht="15.75" customHeight="1">
      <c r="I204" s="117"/>
      <c r="K204" s="117"/>
      <c r="L204" s="118"/>
    </row>
    <row r="205" ht="15.75" customHeight="1">
      <c r="I205" s="117"/>
      <c r="K205" s="117"/>
      <c r="L205" s="118"/>
    </row>
    <row r="206" ht="15.75" customHeight="1">
      <c r="I206" s="117"/>
      <c r="K206" s="117"/>
      <c r="L206" s="118"/>
    </row>
    <row r="207" ht="15.75" customHeight="1">
      <c r="I207" s="117"/>
      <c r="K207" s="117"/>
      <c r="L207" s="118"/>
    </row>
    <row r="208" ht="15.75" customHeight="1">
      <c r="I208" s="117"/>
      <c r="K208" s="117"/>
      <c r="L208" s="118"/>
    </row>
    <row r="209" ht="15.75" customHeight="1">
      <c r="I209" s="117"/>
      <c r="K209" s="117"/>
      <c r="L209" s="118"/>
    </row>
    <row r="210" ht="15.75" customHeight="1">
      <c r="I210" s="117"/>
      <c r="K210" s="117"/>
      <c r="L210" s="118"/>
    </row>
    <row r="211" ht="15.75" customHeight="1">
      <c r="I211" s="117"/>
      <c r="K211" s="117"/>
      <c r="L211" s="118"/>
    </row>
    <row r="212" ht="15.75" customHeight="1">
      <c r="I212" s="117"/>
      <c r="K212" s="117"/>
      <c r="L212" s="118"/>
    </row>
    <row r="213" ht="15.75" customHeight="1">
      <c r="I213" s="117"/>
      <c r="K213" s="117"/>
      <c r="L213" s="118"/>
    </row>
    <row r="214" ht="15.75" customHeight="1">
      <c r="I214" s="117"/>
      <c r="K214" s="117"/>
      <c r="L214" s="118"/>
    </row>
    <row r="215" ht="15.75" customHeight="1">
      <c r="I215" s="117"/>
      <c r="K215" s="117"/>
      <c r="L215" s="118"/>
    </row>
    <row r="216" ht="15.75" customHeight="1">
      <c r="I216" s="117"/>
      <c r="K216" s="117"/>
      <c r="L216" s="118"/>
    </row>
    <row r="217" ht="15.75" customHeight="1">
      <c r="I217" s="117"/>
      <c r="K217" s="117"/>
      <c r="L217" s="118"/>
    </row>
    <row r="218" ht="15.75" customHeight="1">
      <c r="I218" s="117"/>
      <c r="K218" s="117"/>
      <c r="L218" s="118"/>
    </row>
    <row r="219" ht="15.75" customHeight="1">
      <c r="I219" s="117"/>
      <c r="K219" s="117"/>
      <c r="L219" s="118"/>
    </row>
    <row r="220" ht="15.75" customHeight="1">
      <c r="I220" s="117"/>
      <c r="K220" s="117"/>
      <c r="L220" s="118"/>
    </row>
    <row r="221" ht="15.75" customHeight="1">
      <c r="I221" s="117"/>
      <c r="K221" s="117"/>
      <c r="L221" s="118"/>
    </row>
    <row r="222" ht="15.75" customHeight="1">
      <c r="I222" s="117"/>
      <c r="K222" s="117"/>
      <c r="L222" s="118"/>
    </row>
    <row r="223" ht="15.75" customHeight="1">
      <c r="I223" s="117"/>
      <c r="K223" s="117"/>
      <c r="L223" s="118"/>
    </row>
    <row r="224" ht="15.75" customHeight="1">
      <c r="I224" s="117"/>
      <c r="K224" s="117"/>
      <c r="L224" s="118"/>
    </row>
    <row r="225" ht="15.75" customHeight="1">
      <c r="I225" s="117"/>
      <c r="K225" s="117"/>
      <c r="L225" s="118"/>
    </row>
    <row r="226" ht="15.75" customHeight="1">
      <c r="I226" s="117"/>
      <c r="K226" s="117"/>
      <c r="L226" s="118"/>
    </row>
    <row r="227" ht="15.75" customHeight="1">
      <c r="I227" s="117"/>
      <c r="K227" s="117"/>
      <c r="L227" s="118"/>
    </row>
    <row r="228" ht="15.75" customHeight="1">
      <c r="I228" s="117"/>
      <c r="K228" s="117"/>
      <c r="L228" s="118"/>
    </row>
    <row r="229" ht="15.75" customHeight="1">
      <c r="I229" s="117"/>
      <c r="K229" s="117"/>
      <c r="L229" s="118"/>
    </row>
    <row r="230" ht="15.75" customHeight="1">
      <c r="I230" s="117"/>
      <c r="K230" s="117"/>
      <c r="L230" s="118"/>
    </row>
    <row r="231" ht="15.75" customHeight="1">
      <c r="I231" s="117"/>
      <c r="K231" s="117"/>
      <c r="L231" s="118"/>
    </row>
    <row r="232" ht="15.75" customHeight="1">
      <c r="I232" s="117"/>
      <c r="K232" s="117"/>
      <c r="L232" s="118"/>
    </row>
    <row r="233" ht="15.75" customHeight="1">
      <c r="I233" s="117"/>
      <c r="K233" s="117"/>
      <c r="L233" s="118"/>
    </row>
    <row r="234" ht="15.75" customHeight="1">
      <c r="I234" s="117"/>
      <c r="K234" s="117"/>
      <c r="L234" s="118"/>
    </row>
    <row r="235" ht="15.75" customHeight="1">
      <c r="I235" s="117"/>
      <c r="K235" s="117"/>
      <c r="L235" s="118"/>
    </row>
    <row r="236" ht="15.75" customHeight="1">
      <c r="I236" s="117"/>
      <c r="K236" s="117"/>
      <c r="L236" s="118"/>
    </row>
    <row r="237" ht="15.75" customHeight="1">
      <c r="I237" s="117"/>
      <c r="K237" s="117"/>
      <c r="L237" s="118"/>
    </row>
    <row r="238" ht="15.75" customHeight="1">
      <c r="I238" s="117"/>
      <c r="K238" s="117"/>
      <c r="L238" s="118"/>
    </row>
    <row r="239" ht="15.75" customHeight="1">
      <c r="I239" s="117"/>
      <c r="K239" s="117"/>
      <c r="L239" s="118"/>
    </row>
    <row r="240" ht="15.75" customHeight="1">
      <c r="I240" s="117"/>
      <c r="K240" s="117"/>
      <c r="L240" s="118"/>
    </row>
    <row r="241" ht="15.75" customHeight="1">
      <c r="I241" s="117"/>
      <c r="K241" s="117"/>
      <c r="L241" s="118"/>
    </row>
    <row r="242" ht="15.75" customHeight="1">
      <c r="I242" s="117"/>
      <c r="K242" s="117"/>
      <c r="L242" s="118"/>
    </row>
    <row r="243" ht="15.75" customHeight="1">
      <c r="I243" s="117"/>
      <c r="K243" s="117"/>
      <c r="L243" s="118"/>
    </row>
    <row r="244" ht="15.75" customHeight="1">
      <c r="I244" s="117"/>
      <c r="K244" s="117"/>
      <c r="L244" s="118"/>
    </row>
    <row r="245" ht="15.75" customHeight="1">
      <c r="I245" s="117"/>
      <c r="K245" s="117"/>
      <c r="L245" s="118"/>
    </row>
    <row r="246" ht="15.75" customHeight="1">
      <c r="I246" s="117"/>
      <c r="K246" s="117"/>
      <c r="L246" s="118"/>
    </row>
    <row r="247" ht="15.75" customHeight="1">
      <c r="I247" s="117"/>
      <c r="K247" s="117"/>
      <c r="L247" s="118"/>
    </row>
    <row r="248" ht="15.75" customHeight="1">
      <c r="I248" s="117"/>
      <c r="K248" s="117"/>
      <c r="L248" s="118"/>
    </row>
    <row r="249" ht="15.75" customHeight="1">
      <c r="I249" s="117"/>
      <c r="K249" s="117"/>
      <c r="L249" s="118"/>
    </row>
    <row r="250" ht="15.75" customHeight="1">
      <c r="I250" s="117"/>
      <c r="K250" s="117"/>
      <c r="L250" s="118"/>
    </row>
    <row r="251" ht="15.75" customHeight="1">
      <c r="I251" s="117"/>
      <c r="K251" s="117"/>
      <c r="L251" s="118"/>
    </row>
    <row r="252" ht="15.75" customHeight="1">
      <c r="I252" s="117"/>
      <c r="K252" s="117"/>
      <c r="L252" s="118"/>
    </row>
    <row r="253" ht="15.75" customHeight="1">
      <c r="I253" s="117"/>
      <c r="K253" s="117"/>
      <c r="L253" s="118"/>
    </row>
    <row r="254" ht="15.75" customHeight="1">
      <c r="I254" s="117"/>
      <c r="K254" s="117"/>
      <c r="L254" s="118"/>
    </row>
    <row r="255" ht="15.75" customHeight="1">
      <c r="I255" s="117"/>
      <c r="K255" s="117"/>
      <c r="L255" s="118"/>
    </row>
    <row r="256" ht="15.75" customHeight="1">
      <c r="I256" s="117"/>
      <c r="K256" s="117"/>
      <c r="L256" s="118"/>
    </row>
    <row r="257" ht="15.75" customHeight="1">
      <c r="I257" s="117"/>
      <c r="K257" s="117"/>
      <c r="L257" s="118"/>
    </row>
    <row r="258" ht="15.75" customHeight="1">
      <c r="I258" s="117"/>
      <c r="K258" s="117"/>
      <c r="L258" s="118"/>
    </row>
    <row r="259" ht="15.75" customHeight="1">
      <c r="I259" s="117"/>
      <c r="K259" s="117"/>
      <c r="L259" s="118"/>
    </row>
    <row r="260" ht="15.75" customHeight="1">
      <c r="I260" s="117"/>
      <c r="K260" s="117"/>
      <c r="L260" s="118"/>
    </row>
    <row r="261" ht="15.75" customHeight="1">
      <c r="I261" s="117"/>
      <c r="K261" s="117"/>
      <c r="L261" s="118"/>
    </row>
    <row r="262" ht="15.75" customHeight="1">
      <c r="I262" s="117"/>
      <c r="K262" s="117"/>
      <c r="L262" s="118"/>
    </row>
    <row r="263" ht="15.75" customHeight="1">
      <c r="I263" s="117"/>
      <c r="K263" s="117"/>
      <c r="L263" s="118"/>
    </row>
    <row r="264" ht="15.75" customHeight="1">
      <c r="I264" s="117"/>
      <c r="K264" s="117"/>
      <c r="L264" s="118"/>
    </row>
    <row r="265" ht="15.75" customHeight="1">
      <c r="I265" s="117"/>
      <c r="K265" s="117"/>
      <c r="L265" s="118"/>
    </row>
    <row r="266" ht="15.75" customHeight="1">
      <c r="I266" s="117"/>
      <c r="K266" s="117"/>
      <c r="L266" s="118"/>
    </row>
    <row r="267" ht="15.75" customHeight="1">
      <c r="I267" s="117"/>
      <c r="K267" s="117"/>
      <c r="L267" s="118"/>
    </row>
    <row r="268" ht="15.75" customHeight="1">
      <c r="I268" s="117"/>
      <c r="K268" s="117"/>
      <c r="L268" s="118"/>
    </row>
    <row r="269" ht="15.75" customHeight="1">
      <c r="I269" s="117"/>
      <c r="K269" s="117"/>
      <c r="L269" s="118"/>
    </row>
    <row r="270" ht="15.75" customHeight="1">
      <c r="I270" s="117"/>
      <c r="K270" s="117"/>
      <c r="L270" s="118"/>
    </row>
    <row r="271" ht="15.75" customHeight="1">
      <c r="I271" s="117"/>
      <c r="K271" s="117"/>
      <c r="L271" s="118"/>
    </row>
    <row r="272" ht="15.75" customHeight="1">
      <c r="I272" s="117"/>
      <c r="K272" s="117"/>
      <c r="L272" s="118"/>
    </row>
    <row r="273" ht="15.75" customHeight="1">
      <c r="I273" s="117"/>
      <c r="K273" s="117"/>
      <c r="L273" s="118"/>
    </row>
    <row r="274" ht="15.75" customHeight="1">
      <c r="I274" s="117"/>
      <c r="K274" s="117"/>
      <c r="L274" s="118"/>
    </row>
    <row r="275" ht="15.75" customHeight="1">
      <c r="I275" s="117"/>
      <c r="K275" s="117"/>
      <c r="L275" s="118"/>
    </row>
    <row r="276" ht="15.75" customHeight="1">
      <c r="I276" s="117"/>
      <c r="K276" s="117"/>
      <c r="L276" s="118"/>
    </row>
    <row r="277" ht="15.75" customHeight="1">
      <c r="I277" s="117"/>
      <c r="K277" s="117"/>
      <c r="L277" s="118"/>
    </row>
    <row r="278" ht="15.75" customHeight="1">
      <c r="I278" s="117"/>
      <c r="K278" s="117"/>
      <c r="L278" s="118"/>
    </row>
    <row r="279" ht="15.75" customHeight="1">
      <c r="I279" s="117"/>
      <c r="K279" s="117"/>
      <c r="L279" s="118"/>
    </row>
    <row r="280" ht="15.75" customHeight="1">
      <c r="I280" s="117"/>
      <c r="K280" s="117"/>
      <c r="L280" s="118"/>
    </row>
    <row r="281" ht="15.75" customHeight="1">
      <c r="I281" s="117"/>
      <c r="K281" s="117"/>
      <c r="L281" s="118"/>
    </row>
    <row r="282" ht="15.75" customHeight="1">
      <c r="I282" s="117"/>
      <c r="K282" s="117"/>
      <c r="L282" s="118"/>
    </row>
    <row r="283" ht="15.75" customHeight="1">
      <c r="I283" s="117"/>
      <c r="K283" s="117"/>
      <c r="L283" s="118"/>
    </row>
    <row r="284" ht="15.75" customHeight="1">
      <c r="I284" s="117"/>
      <c r="K284" s="117"/>
      <c r="L284" s="118"/>
    </row>
    <row r="285" ht="15.75" customHeight="1">
      <c r="I285" s="117"/>
      <c r="K285" s="117"/>
      <c r="L285" s="118"/>
    </row>
    <row r="286" ht="15.75" customHeight="1">
      <c r="I286" s="117"/>
      <c r="K286" s="117"/>
      <c r="L286" s="118"/>
    </row>
    <row r="287" ht="15.75" customHeight="1">
      <c r="I287" s="117"/>
      <c r="K287" s="117"/>
      <c r="L287" s="118"/>
    </row>
    <row r="288" ht="15.75" customHeight="1">
      <c r="I288" s="117"/>
      <c r="K288" s="117"/>
      <c r="L288" s="118"/>
    </row>
    <row r="289" ht="15.75" customHeight="1">
      <c r="I289" s="117"/>
      <c r="K289" s="117"/>
      <c r="L289" s="118"/>
    </row>
    <row r="290" ht="15.75" customHeight="1">
      <c r="I290" s="117"/>
      <c r="K290" s="117"/>
      <c r="L290" s="118"/>
    </row>
    <row r="291" ht="15.75" customHeight="1">
      <c r="I291" s="117"/>
      <c r="K291" s="117"/>
      <c r="L291" s="118"/>
    </row>
    <row r="292" ht="15.75" customHeight="1">
      <c r="I292" s="117"/>
      <c r="K292" s="117"/>
      <c r="L292" s="118"/>
    </row>
    <row r="293" ht="15.75" customHeight="1">
      <c r="I293" s="117"/>
      <c r="K293" s="117"/>
      <c r="L293" s="118"/>
    </row>
    <row r="294" ht="15.75" customHeight="1">
      <c r="I294" s="117"/>
      <c r="K294" s="117"/>
      <c r="L294" s="118"/>
    </row>
    <row r="295" ht="15.75" customHeight="1">
      <c r="I295" s="117"/>
      <c r="K295" s="117"/>
      <c r="L295" s="118"/>
    </row>
    <row r="296" ht="15.75" customHeight="1">
      <c r="I296" s="117"/>
      <c r="K296" s="117"/>
      <c r="L296" s="118"/>
    </row>
    <row r="297" ht="15.75" customHeight="1">
      <c r="I297" s="117"/>
      <c r="K297" s="117"/>
      <c r="L297" s="118"/>
    </row>
    <row r="298" ht="15.75" customHeight="1">
      <c r="I298" s="117"/>
      <c r="K298" s="117"/>
      <c r="L298" s="118"/>
    </row>
    <row r="299" ht="15.75" customHeight="1">
      <c r="I299" s="117"/>
      <c r="K299" s="117"/>
      <c r="L299" s="118"/>
    </row>
    <row r="300" ht="15.75" customHeight="1">
      <c r="I300" s="117"/>
      <c r="K300" s="117"/>
      <c r="L300" s="118"/>
    </row>
    <row r="301" ht="15.75" customHeight="1">
      <c r="I301" s="117"/>
      <c r="K301" s="117"/>
      <c r="L301" s="118"/>
    </row>
    <row r="302" ht="15.75" customHeight="1">
      <c r="I302" s="117"/>
      <c r="K302" s="117"/>
      <c r="L302" s="118"/>
    </row>
    <row r="303" ht="15.75" customHeight="1">
      <c r="I303" s="117"/>
      <c r="K303" s="117"/>
      <c r="L303" s="118"/>
    </row>
    <row r="304" ht="15.75" customHeight="1">
      <c r="I304" s="117"/>
      <c r="K304" s="117"/>
      <c r="L304" s="118"/>
    </row>
    <row r="305" ht="15.75" customHeight="1">
      <c r="I305" s="117"/>
      <c r="K305" s="117"/>
      <c r="L305" s="118"/>
    </row>
    <row r="306" ht="15.75" customHeight="1">
      <c r="I306" s="117"/>
      <c r="K306" s="117"/>
      <c r="L306" s="118"/>
    </row>
    <row r="307" ht="15.75" customHeight="1">
      <c r="I307" s="117"/>
      <c r="K307" s="117"/>
      <c r="L307" s="118"/>
    </row>
    <row r="308" ht="15.75" customHeight="1">
      <c r="I308" s="117"/>
      <c r="K308" s="117"/>
      <c r="L308" s="118"/>
    </row>
    <row r="309" ht="15.75" customHeight="1">
      <c r="I309" s="117"/>
      <c r="K309" s="117"/>
      <c r="L309" s="118"/>
    </row>
    <row r="310" ht="15.75" customHeight="1">
      <c r="I310" s="117"/>
      <c r="K310" s="117"/>
      <c r="L310" s="118"/>
    </row>
    <row r="311" ht="15.75" customHeight="1">
      <c r="I311" s="117"/>
      <c r="K311" s="117"/>
      <c r="L311" s="118"/>
    </row>
    <row r="312" ht="15.75" customHeight="1">
      <c r="I312" s="117"/>
      <c r="K312" s="117"/>
      <c r="L312" s="118"/>
    </row>
    <row r="313" ht="15.75" customHeight="1">
      <c r="I313" s="117"/>
      <c r="K313" s="117"/>
      <c r="L313" s="118"/>
    </row>
    <row r="314" ht="15.75" customHeight="1">
      <c r="I314" s="117"/>
      <c r="K314" s="117"/>
      <c r="L314" s="118"/>
    </row>
    <row r="315" ht="15.75" customHeight="1">
      <c r="I315" s="117"/>
      <c r="K315" s="117"/>
      <c r="L315" s="118"/>
    </row>
    <row r="316" ht="15.75" customHeight="1">
      <c r="I316" s="117"/>
      <c r="K316" s="117"/>
      <c r="L316" s="118"/>
    </row>
    <row r="317" ht="15.75" customHeight="1">
      <c r="I317" s="117"/>
      <c r="K317" s="117"/>
      <c r="L317" s="118"/>
    </row>
    <row r="318" ht="15.75" customHeight="1">
      <c r="I318" s="117"/>
      <c r="K318" s="117"/>
      <c r="L318" s="118"/>
    </row>
    <row r="319" ht="15.75" customHeight="1">
      <c r="I319" s="117"/>
      <c r="K319" s="117"/>
      <c r="L319" s="118"/>
    </row>
    <row r="320" ht="15.75" customHeight="1">
      <c r="I320" s="117"/>
      <c r="K320" s="117"/>
      <c r="L320" s="118"/>
    </row>
    <row r="321" ht="15.75" customHeight="1">
      <c r="I321" s="117"/>
      <c r="K321" s="117"/>
      <c r="L321" s="118"/>
    </row>
    <row r="322" ht="15.75" customHeight="1">
      <c r="I322" s="117"/>
      <c r="K322" s="117"/>
      <c r="L322" s="118"/>
    </row>
    <row r="323" ht="15.75" customHeight="1">
      <c r="I323" s="117"/>
      <c r="K323" s="117"/>
      <c r="L323" s="118"/>
    </row>
    <row r="324" ht="15.75" customHeight="1">
      <c r="I324" s="117"/>
      <c r="K324" s="117"/>
      <c r="L324" s="118"/>
    </row>
    <row r="325" ht="15.75" customHeight="1">
      <c r="I325" s="117"/>
      <c r="K325" s="117"/>
      <c r="L325" s="118"/>
    </row>
    <row r="326" ht="15.75" customHeight="1">
      <c r="I326" s="117"/>
      <c r="K326" s="117"/>
      <c r="L326" s="118"/>
    </row>
    <row r="327" ht="15.75" customHeight="1">
      <c r="I327" s="117"/>
      <c r="K327" s="117"/>
      <c r="L327" s="118"/>
    </row>
    <row r="328" ht="15.75" customHeight="1">
      <c r="I328" s="117"/>
      <c r="K328" s="117"/>
      <c r="L328" s="118"/>
    </row>
    <row r="329" ht="15.75" customHeight="1">
      <c r="I329" s="117"/>
      <c r="K329" s="117"/>
      <c r="L329" s="118"/>
    </row>
    <row r="330" ht="15.75" customHeight="1">
      <c r="I330" s="117"/>
      <c r="K330" s="117"/>
      <c r="L330" s="118"/>
    </row>
    <row r="331" ht="15.75" customHeight="1">
      <c r="I331" s="117"/>
      <c r="K331" s="117"/>
      <c r="L331" s="118"/>
    </row>
    <row r="332" ht="15.75" customHeight="1">
      <c r="I332" s="117"/>
      <c r="K332" s="117"/>
      <c r="L332" s="118"/>
    </row>
    <row r="333" ht="15.75" customHeight="1">
      <c r="I333" s="117"/>
      <c r="K333" s="117"/>
      <c r="L333" s="118"/>
    </row>
    <row r="334" ht="15.75" customHeight="1">
      <c r="I334" s="117"/>
      <c r="K334" s="117"/>
      <c r="L334" s="118"/>
    </row>
    <row r="335" ht="15.75" customHeight="1">
      <c r="I335" s="117"/>
      <c r="K335" s="117"/>
      <c r="L335" s="118"/>
    </row>
    <row r="336" ht="15.75" customHeight="1">
      <c r="I336" s="117"/>
      <c r="K336" s="117"/>
      <c r="L336" s="118"/>
    </row>
    <row r="337" ht="15.75" customHeight="1">
      <c r="I337" s="117"/>
      <c r="K337" s="117"/>
      <c r="L337" s="118"/>
    </row>
    <row r="338" ht="15.75" customHeight="1">
      <c r="I338" s="117"/>
      <c r="K338" s="117"/>
      <c r="L338" s="118"/>
    </row>
    <row r="339" ht="15.75" customHeight="1">
      <c r="I339" s="117"/>
      <c r="K339" s="117"/>
      <c r="L339" s="118"/>
    </row>
    <row r="340" ht="15.75" customHeight="1">
      <c r="I340" s="117"/>
      <c r="K340" s="117"/>
      <c r="L340" s="118"/>
    </row>
    <row r="341" ht="15.75" customHeight="1">
      <c r="I341" s="117"/>
      <c r="K341" s="117"/>
      <c r="L341" s="118"/>
    </row>
    <row r="342" ht="15.75" customHeight="1">
      <c r="I342" s="117"/>
      <c r="K342" s="117"/>
      <c r="L342" s="118"/>
    </row>
    <row r="343" ht="15.75" customHeight="1">
      <c r="I343" s="117"/>
      <c r="K343" s="117"/>
      <c r="L343" s="118"/>
    </row>
    <row r="344" ht="15.75" customHeight="1">
      <c r="I344" s="117"/>
      <c r="K344" s="117"/>
      <c r="L344" s="118"/>
    </row>
    <row r="345" ht="15.75" customHeight="1">
      <c r="I345" s="117"/>
      <c r="K345" s="117"/>
      <c r="L345" s="118"/>
    </row>
    <row r="346" ht="15.75" customHeight="1">
      <c r="I346" s="117"/>
      <c r="K346" s="117"/>
      <c r="L346" s="118"/>
    </row>
    <row r="347" ht="15.75" customHeight="1">
      <c r="I347" s="117"/>
      <c r="K347" s="117"/>
      <c r="L347" s="118"/>
    </row>
    <row r="348" ht="15.75" customHeight="1">
      <c r="I348" s="117"/>
      <c r="K348" s="117"/>
      <c r="L348" s="118"/>
    </row>
    <row r="349" ht="15.75" customHeight="1">
      <c r="I349" s="117"/>
      <c r="K349" s="117"/>
      <c r="L349" s="118"/>
    </row>
    <row r="350" ht="15.75" customHeight="1">
      <c r="I350" s="117"/>
      <c r="K350" s="117"/>
      <c r="L350" s="118"/>
    </row>
    <row r="351" ht="15.75" customHeight="1">
      <c r="I351" s="117"/>
      <c r="K351" s="117"/>
      <c r="L351" s="118"/>
    </row>
    <row r="352" ht="15.75" customHeight="1">
      <c r="I352" s="117"/>
      <c r="K352" s="117"/>
      <c r="L352" s="118"/>
    </row>
    <row r="353" ht="15.75" customHeight="1">
      <c r="I353" s="117"/>
      <c r="K353" s="117"/>
      <c r="L353" s="118"/>
    </row>
    <row r="354" ht="15.75" customHeight="1">
      <c r="I354" s="117"/>
      <c r="K354" s="117"/>
      <c r="L354" s="118"/>
    </row>
    <row r="355" ht="15.75" customHeight="1">
      <c r="I355" s="117"/>
      <c r="K355" s="117"/>
      <c r="L355" s="118"/>
    </row>
    <row r="356" ht="15.75" customHeight="1">
      <c r="I356" s="117"/>
      <c r="K356" s="117"/>
      <c r="L356" s="118"/>
    </row>
    <row r="357" ht="15.75" customHeight="1">
      <c r="I357" s="117"/>
      <c r="K357" s="117"/>
      <c r="L357" s="118"/>
    </row>
    <row r="358" ht="15.75" customHeight="1">
      <c r="I358" s="117"/>
      <c r="K358" s="117"/>
      <c r="L358" s="118"/>
    </row>
    <row r="359" ht="15.75" customHeight="1">
      <c r="I359" s="117"/>
      <c r="K359" s="117"/>
      <c r="L359" s="118"/>
    </row>
    <row r="360" ht="15.75" customHeight="1">
      <c r="I360" s="117"/>
      <c r="K360" s="117"/>
      <c r="L360" s="118"/>
    </row>
    <row r="361" ht="15.75" customHeight="1">
      <c r="I361" s="117"/>
      <c r="K361" s="117"/>
      <c r="L361" s="118"/>
    </row>
    <row r="362" ht="15.75" customHeight="1">
      <c r="I362" s="117"/>
      <c r="K362" s="117"/>
      <c r="L362" s="118"/>
    </row>
    <row r="363" ht="15.75" customHeight="1">
      <c r="I363" s="117"/>
      <c r="K363" s="117"/>
      <c r="L363" s="118"/>
    </row>
    <row r="364" ht="15.75" customHeight="1">
      <c r="I364" s="117"/>
      <c r="K364" s="117"/>
      <c r="L364" s="118"/>
    </row>
    <row r="365" ht="15.75" customHeight="1">
      <c r="I365" s="117"/>
      <c r="K365" s="117"/>
      <c r="L365" s="118"/>
    </row>
    <row r="366" ht="15.75" customHeight="1">
      <c r="I366" s="117"/>
      <c r="K366" s="117"/>
      <c r="L366" s="118"/>
    </row>
    <row r="367" ht="15.75" customHeight="1">
      <c r="I367" s="117"/>
      <c r="K367" s="117"/>
      <c r="L367" s="118"/>
    </row>
    <row r="368" ht="15.75" customHeight="1">
      <c r="I368" s="117"/>
      <c r="K368" s="117"/>
      <c r="L368" s="118"/>
    </row>
    <row r="369" ht="15.75" customHeight="1">
      <c r="I369" s="117"/>
      <c r="K369" s="117"/>
      <c r="L369" s="118"/>
    </row>
    <row r="370" ht="15.75" customHeight="1">
      <c r="I370" s="117"/>
      <c r="K370" s="117"/>
      <c r="L370" s="118"/>
    </row>
    <row r="371" ht="15.75" customHeight="1">
      <c r="I371" s="117"/>
      <c r="K371" s="117"/>
      <c r="L371" s="118"/>
    </row>
    <row r="372" ht="15.75" customHeight="1">
      <c r="I372" s="117"/>
      <c r="K372" s="117"/>
      <c r="L372" s="118"/>
    </row>
    <row r="373" ht="15.75" customHeight="1">
      <c r="I373" s="117"/>
      <c r="K373" s="117"/>
      <c r="L373" s="118"/>
    </row>
    <row r="374" ht="15.75" customHeight="1">
      <c r="I374" s="117"/>
      <c r="K374" s="117"/>
      <c r="L374" s="118"/>
    </row>
    <row r="375" ht="15.75" customHeight="1">
      <c r="I375" s="117"/>
      <c r="K375" s="117"/>
      <c r="L375" s="118"/>
    </row>
    <row r="376" ht="15.75" customHeight="1">
      <c r="I376" s="117"/>
      <c r="K376" s="117"/>
      <c r="L376" s="118"/>
    </row>
    <row r="377" ht="15.75" customHeight="1">
      <c r="I377" s="117"/>
      <c r="K377" s="117"/>
      <c r="L377" s="118"/>
    </row>
    <row r="378" ht="15.75" customHeight="1">
      <c r="I378" s="117"/>
      <c r="K378" s="117"/>
      <c r="L378" s="118"/>
    </row>
    <row r="379" ht="15.75" customHeight="1">
      <c r="I379" s="117"/>
      <c r="K379" s="117"/>
      <c r="L379" s="118"/>
    </row>
    <row r="380" ht="15.75" customHeight="1">
      <c r="I380" s="117"/>
      <c r="K380" s="117"/>
      <c r="L380" s="118"/>
    </row>
    <row r="381" ht="15.75" customHeight="1">
      <c r="I381" s="117"/>
      <c r="K381" s="117"/>
      <c r="L381" s="118"/>
    </row>
    <row r="382" ht="15.75" customHeight="1">
      <c r="I382" s="117"/>
      <c r="K382" s="117"/>
      <c r="L382" s="118"/>
    </row>
    <row r="383" ht="15.75" customHeight="1">
      <c r="I383" s="117"/>
      <c r="K383" s="117"/>
      <c r="L383" s="118"/>
    </row>
    <row r="384" ht="15.75" customHeight="1">
      <c r="I384" s="117"/>
      <c r="K384" s="117"/>
      <c r="L384" s="118"/>
    </row>
    <row r="385" ht="15.75" customHeight="1">
      <c r="I385" s="117"/>
      <c r="K385" s="117"/>
      <c r="L385" s="118"/>
    </row>
    <row r="386" ht="15.75" customHeight="1">
      <c r="I386" s="117"/>
      <c r="K386" s="117"/>
      <c r="L386" s="118"/>
    </row>
    <row r="387" ht="15.75" customHeight="1">
      <c r="I387" s="117"/>
      <c r="K387" s="117"/>
      <c r="L387" s="118"/>
    </row>
    <row r="388" ht="15.75" customHeight="1">
      <c r="I388" s="117"/>
      <c r="K388" s="117"/>
      <c r="L388" s="118"/>
    </row>
    <row r="389" ht="15.75" customHeight="1">
      <c r="I389" s="117"/>
      <c r="K389" s="117"/>
      <c r="L389" s="118"/>
    </row>
    <row r="390" ht="15.75" customHeight="1">
      <c r="I390" s="117"/>
      <c r="K390" s="117"/>
      <c r="L390" s="118"/>
    </row>
    <row r="391" ht="15.75" customHeight="1">
      <c r="I391" s="117"/>
      <c r="K391" s="117"/>
      <c r="L391" s="118"/>
    </row>
    <row r="392" ht="15.75" customHeight="1">
      <c r="I392" s="117"/>
      <c r="K392" s="117"/>
      <c r="L392" s="118"/>
    </row>
    <row r="393" ht="15.75" customHeight="1">
      <c r="I393" s="117"/>
      <c r="K393" s="117"/>
      <c r="L393" s="118"/>
    </row>
    <row r="394" ht="15.75" customHeight="1">
      <c r="I394" s="117"/>
      <c r="K394" s="117"/>
      <c r="L394" s="118"/>
    </row>
    <row r="395" ht="15.75" customHeight="1">
      <c r="I395" s="117"/>
      <c r="K395" s="117"/>
      <c r="L395" s="118"/>
    </row>
    <row r="396" ht="15.75" customHeight="1">
      <c r="I396" s="117"/>
      <c r="K396" s="117"/>
      <c r="L396" s="118"/>
    </row>
    <row r="397" ht="15.75" customHeight="1">
      <c r="I397" s="117"/>
      <c r="K397" s="117"/>
      <c r="L397" s="118"/>
    </row>
    <row r="398" ht="15.75" customHeight="1">
      <c r="I398" s="117"/>
      <c r="K398" s="117"/>
      <c r="L398" s="118"/>
    </row>
    <row r="399" ht="15.75" customHeight="1">
      <c r="I399" s="117"/>
      <c r="K399" s="117"/>
      <c r="L399" s="118"/>
    </row>
    <row r="400" ht="15.75" customHeight="1">
      <c r="I400" s="117"/>
      <c r="K400" s="117"/>
      <c r="L400" s="118"/>
    </row>
    <row r="401" ht="15.75" customHeight="1">
      <c r="I401" s="117"/>
      <c r="K401" s="117"/>
      <c r="L401" s="118"/>
    </row>
    <row r="402" ht="15.75" customHeight="1">
      <c r="I402" s="117"/>
      <c r="K402" s="117"/>
      <c r="L402" s="118"/>
    </row>
    <row r="403" ht="15.75" customHeight="1">
      <c r="I403" s="117"/>
      <c r="K403" s="117"/>
      <c r="L403" s="118"/>
    </row>
    <row r="404" ht="15.75" customHeight="1">
      <c r="I404" s="117"/>
      <c r="K404" s="117"/>
      <c r="L404" s="118"/>
    </row>
    <row r="405" ht="15.75" customHeight="1">
      <c r="I405" s="117"/>
      <c r="K405" s="117"/>
      <c r="L405" s="118"/>
    </row>
    <row r="406" ht="15.75" customHeight="1">
      <c r="I406" s="117"/>
      <c r="K406" s="117"/>
      <c r="L406" s="118"/>
    </row>
    <row r="407" ht="15.75" customHeight="1">
      <c r="I407" s="117"/>
      <c r="K407" s="117"/>
      <c r="L407" s="118"/>
    </row>
    <row r="408" ht="15.75" customHeight="1">
      <c r="I408" s="117"/>
      <c r="K408" s="117"/>
      <c r="L408" s="118"/>
    </row>
    <row r="409" ht="15.75" customHeight="1">
      <c r="I409" s="117"/>
      <c r="K409" s="117"/>
      <c r="L409" s="118"/>
    </row>
    <row r="410" ht="15.75" customHeight="1">
      <c r="I410" s="117"/>
      <c r="K410" s="117"/>
      <c r="L410" s="118"/>
    </row>
    <row r="411" ht="15.75" customHeight="1">
      <c r="I411" s="117"/>
      <c r="K411" s="117"/>
      <c r="L411" s="118"/>
    </row>
    <row r="412" ht="15.75" customHeight="1">
      <c r="I412" s="117"/>
      <c r="K412" s="117"/>
      <c r="L412" s="118"/>
    </row>
    <row r="413" ht="15.75" customHeight="1">
      <c r="I413" s="117"/>
      <c r="K413" s="117"/>
      <c r="L413" s="118"/>
    </row>
    <row r="414" ht="15.75" customHeight="1">
      <c r="I414" s="117"/>
      <c r="K414" s="117"/>
      <c r="L414" s="118"/>
    </row>
    <row r="415" ht="15.75" customHeight="1">
      <c r="I415" s="117"/>
      <c r="K415" s="117"/>
      <c r="L415" s="118"/>
    </row>
    <row r="416" ht="15.75" customHeight="1">
      <c r="I416" s="117"/>
      <c r="K416" s="117"/>
      <c r="L416" s="118"/>
    </row>
    <row r="417" ht="15.75" customHeight="1">
      <c r="I417" s="117"/>
      <c r="K417" s="117"/>
      <c r="L417" s="118"/>
    </row>
    <row r="418" ht="15.75" customHeight="1">
      <c r="I418" s="117"/>
      <c r="K418" s="117"/>
      <c r="L418" s="118"/>
    </row>
    <row r="419" ht="15.75" customHeight="1">
      <c r="I419" s="117"/>
      <c r="K419" s="117"/>
      <c r="L419" s="118"/>
    </row>
    <row r="420" ht="15.75" customHeight="1">
      <c r="I420" s="117"/>
      <c r="K420" s="117"/>
      <c r="L420" s="118"/>
    </row>
    <row r="421" ht="15.75" customHeight="1">
      <c r="I421" s="117"/>
      <c r="K421" s="117"/>
      <c r="L421" s="118"/>
    </row>
    <row r="422" ht="15.75" customHeight="1">
      <c r="I422" s="117"/>
      <c r="K422" s="117"/>
      <c r="L422" s="118"/>
    </row>
    <row r="423" ht="15.75" customHeight="1">
      <c r="I423" s="117"/>
      <c r="K423" s="117"/>
      <c r="L423" s="118"/>
    </row>
    <row r="424" ht="15.75" customHeight="1">
      <c r="I424" s="117"/>
      <c r="K424" s="117"/>
      <c r="L424" s="118"/>
    </row>
    <row r="425" ht="15.75" customHeight="1">
      <c r="I425" s="117"/>
      <c r="K425" s="117"/>
      <c r="L425" s="118"/>
    </row>
    <row r="426" ht="15.75" customHeight="1">
      <c r="I426" s="117"/>
      <c r="K426" s="117"/>
      <c r="L426" s="118"/>
    </row>
    <row r="427" ht="15.75" customHeight="1">
      <c r="I427" s="117"/>
      <c r="K427" s="117"/>
      <c r="L427" s="118"/>
    </row>
    <row r="428" ht="15.75" customHeight="1">
      <c r="I428" s="117"/>
      <c r="K428" s="117"/>
      <c r="L428" s="118"/>
    </row>
    <row r="429" ht="15.75" customHeight="1">
      <c r="I429" s="117"/>
      <c r="K429" s="117"/>
      <c r="L429" s="118"/>
    </row>
    <row r="430" ht="15.75" customHeight="1">
      <c r="I430" s="117"/>
      <c r="K430" s="117"/>
      <c r="L430" s="118"/>
    </row>
    <row r="431" ht="15.75" customHeight="1">
      <c r="I431" s="117"/>
      <c r="K431" s="117"/>
      <c r="L431" s="118"/>
    </row>
    <row r="432" ht="15.75" customHeight="1">
      <c r="I432" s="117"/>
      <c r="K432" s="117"/>
      <c r="L432" s="118"/>
    </row>
    <row r="433" ht="15.75" customHeight="1">
      <c r="I433" s="117"/>
      <c r="K433" s="117"/>
      <c r="L433" s="118"/>
    </row>
    <row r="434" ht="15.75" customHeight="1">
      <c r="I434" s="117"/>
      <c r="K434" s="117"/>
      <c r="L434" s="118"/>
    </row>
    <row r="435" ht="15.75" customHeight="1">
      <c r="I435" s="117"/>
      <c r="K435" s="117"/>
      <c r="L435" s="118"/>
    </row>
    <row r="436" ht="15.75" customHeight="1">
      <c r="I436" s="117"/>
      <c r="K436" s="117"/>
      <c r="L436" s="118"/>
    </row>
    <row r="437" ht="15.75" customHeight="1">
      <c r="I437" s="117"/>
      <c r="K437" s="117"/>
      <c r="L437" s="118"/>
    </row>
    <row r="438" ht="15.75" customHeight="1">
      <c r="I438" s="117"/>
      <c r="K438" s="117"/>
      <c r="L438" s="118"/>
    </row>
    <row r="439" ht="15.75" customHeight="1">
      <c r="I439" s="117"/>
      <c r="K439" s="117"/>
      <c r="L439" s="118"/>
    </row>
    <row r="440" ht="15.75" customHeight="1">
      <c r="I440" s="117"/>
      <c r="K440" s="117"/>
      <c r="L440" s="118"/>
    </row>
    <row r="441" ht="15.75" customHeight="1">
      <c r="I441" s="117"/>
      <c r="K441" s="117"/>
      <c r="L441" s="118"/>
    </row>
    <row r="442" ht="15.75" customHeight="1">
      <c r="I442" s="117"/>
      <c r="K442" s="117"/>
      <c r="L442" s="118"/>
    </row>
    <row r="443" ht="15.75" customHeight="1">
      <c r="I443" s="117"/>
      <c r="K443" s="117"/>
      <c r="L443" s="118"/>
    </row>
    <row r="444" ht="15.75" customHeight="1">
      <c r="I444" s="117"/>
      <c r="K444" s="117"/>
      <c r="L444" s="118"/>
    </row>
    <row r="445" ht="15.75" customHeight="1">
      <c r="I445" s="117"/>
      <c r="K445" s="117"/>
      <c r="L445" s="118"/>
    </row>
    <row r="446" ht="15.75" customHeight="1">
      <c r="I446" s="117"/>
      <c r="K446" s="117"/>
      <c r="L446" s="118"/>
    </row>
    <row r="447" ht="15.75" customHeight="1">
      <c r="I447" s="117"/>
      <c r="K447" s="117"/>
      <c r="L447" s="118"/>
    </row>
    <row r="448" ht="15.75" customHeight="1">
      <c r="I448" s="117"/>
      <c r="K448" s="117"/>
      <c r="L448" s="118"/>
    </row>
    <row r="449" ht="15.75" customHeight="1">
      <c r="I449" s="117"/>
      <c r="K449" s="117"/>
      <c r="L449" s="118"/>
    </row>
    <row r="450" ht="15.75" customHeight="1">
      <c r="I450" s="117"/>
      <c r="K450" s="117"/>
      <c r="L450" s="118"/>
    </row>
    <row r="451" ht="15.75" customHeight="1">
      <c r="I451" s="117"/>
      <c r="K451" s="117"/>
      <c r="L451" s="118"/>
    </row>
    <row r="452" ht="15.75" customHeight="1">
      <c r="I452" s="117"/>
      <c r="K452" s="117"/>
      <c r="L452" s="118"/>
    </row>
    <row r="453" ht="15.75" customHeight="1">
      <c r="I453" s="117"/>
      <c r="K453" s="117"/>
      <c r="L453" s="118"/>
    </row>
    <row r="454" ht="15.75" customHeight="1">
      <c r="I454" s="117"/>
      <c r="K454" s="117"/>
      <c r="L454" s="118"/>
    </row>
    <row r="455" ht="15.75" customHeight="1">
      <c r="I455" s="117"/>
      <c r="K455" s="117"/>
      <c r="L455" s="118"/>
    </row>
    <row r="456" ht="15.75" customHeight="1">
      <c r="I456" s="117"/>
      <c r="K456" s="117"/>
      <c r="L456" s="118"/>
    </row>
    <row r="457" ht="15.75" customHeight="1">
      <c r="I457" s="117"/>
      <c r="K457" s="117"/>
      <c r="L457" s="118"/>
    </row>
    <row r="458" ht="15.75" customHeight="1">
      <c r="I458" s="117"/>
      <c r="K458" s="117"/>
      <c r="L458" s="118"/>
    </row>
    <row r="459" ht="15.75" customHeight="1">
      <c r="I459" s="117"/>
      <c r="K459" s="117"/>
      <c r="L459" s="118"/>
    </row>
    <row r="460" ht="15.75" customHeight="1">
      <c r="I460" s="117"/>
      <c r="K460" s="117"/>
      <c r="L460" s="118"/>
    </row>
    <row r="461" ht="15.75" customHeight="1">
      <c r="I461" s="117"/>
      <c r="K461" s="117"/>
      <c r="L461" s="118"/>
    </row>
    <row r="462" ht="15.75" customHeight="1">
      <c r="I462" s="117"/>
      <c r="K462" s="117"/>
      <c r="L462" s="118"/>
    </row>
    <row r="463" ht="15.75" customHeight="1">
      <c r="I463" s="117"/>
      <c r="K463" s="117"/>
      <c r="L463" s="118"/>
    </row>
    <row r="464" ht="15.75" customHeight="1">
      <c r="I464" s="117"/>
      <c r="K464" s="117"/>
      <c r="L464" s="118"/>
    </row>
    <row r="465" ht="15.75" customHeight="1">
      <c r="I465" s="117"/>
      <c r="K465" s="117"/>
      <c r="L465" s="118"/>
    </row>
    <row r="466" ht="15.75" customHeight="1">
      <c r="I466" s="117"/>
      <c r="K466" s="117"/>
      <c r="L466" s="118"/>
    </row>
    <row r="467" ht="15.75" customHeight="1">
      <c r="I467" s="117"/>
      <c r="K467" s="117"/>
      <c r="L467" s="118"/>
    </row>
    <row r="468" ht="15.75" customHeight="1">
      <c r="I468" s="117"/>
      <c r="K468" s="117"/>
      <c r="L468" s="118"/>
    </row>
    <row r="469" ht="15.75" customHeight="1">
      <c r="I469" s="117"/>
      <c r="K469" s="117"/>
      <c r="L469" s="118"/>
    </row>
    <row r="470" ht="15.75" customHeight="1">
      <c r="I470" s="117"/>
      <c r="K470" s="117"/>
      <c r="L470" s="118"/>
    </row>
    <row r="471" ht="15.75" customHeight="1">
      <c r="I471" s="117"/>
      <c r="K471" s="117"/>
      <c r="L471" s="118"/>
    </row>
    <row r="472" ht="15.75" customHeight="1">
      <c r="I472" s="117"/>
      <c r="K472" s="117"/>
      <c r="L472" s="118"/>
    </row>
    <row r="473" ht="15.75" customHeight="1">
      <c r="I473" s="117"/>
      <c r="K473" s="117"/>
      <c r="L473" s="118"/>
    </row>
    <row r="474" ht="15.75" customHeight="1">
      <c r="I474" s="117"/>
      <c r="K474" s="117"/>
      <c r="L474" s="118"/>
    </row>
    <row r="475" ht="15.75" customHeight="1">
      <c r="I475" s="117"/>
      <c r="K475" s="117"/>
      <c r="L475" s="118"/>
    </row>
    <row r="476" ht="15.75" customHeight="1">
      <c r="I476" s="117"/>
      <c r="K476" s="117"/>
      <c r="L476" s="118"/>
    </row>
    <row r="477" ht="15.75" customHeight="1">
      <c r="I477" s="117"/>
      <c r="K477" s="117"/>
      <c r="L477" s="118"/>
    </row>
    <row r="478" ht="15.75" customHeight="1">
      <c r="I478" s="117"/>
      <c r="K478" s="117"/>
      <c r="L478" s="118"/>
    </row>
    <row r="479" ht="15.75" customHeight="1">
      <c r="I479" s="117"/>
      <c r="K479" s="117"/>
      <c r="L479" s="118"/>
    </row>
    <row r="480" ht="15.75" customHeight="1">
      <c r="I480" s="117"/>
      <c r="K480" s="117"/>
      <c r="L480" s="118"/>
    </row>
    <row r="481" ht="15.75" customHeight="1">
      <c r="I481" s="117"/>
      <c r="K481" s="117"/>
      <c r="L481" s="118"/>
    </row>
    <row r="482" ht="15.75" customHeight="1">
      <c r="I482" s="117"/>
      <c r="K482" s="117"/>
      <c r="L482" s="118"/>
    </row>
    <row r="483" ht="15.75" customHeight="1">
      <c r="I483" s="117"/>
      <c r="K483" s="117"/>
      <c r="L483" s="118"/>
    </row>
    <row r="484" ht="15.75" customHeight="1">
      <c r="I484" s="117"/>
      <c r="K484" s="117"/>
      <c r="L484" s="118"/>
    </row>
    <row r="485" ht="15.75" customHeight="1">
      <c r="I485" s="117"/>
      <c r="K485" s="117"/>
      <c r="L485" s="118"/>
    </row>
    <row r="486" ht="15.75" customHeight="1">
      <c r="I486" s="117"/>
      <c r="K486" s="117"/>
      <c r="L486" s="118"/>
    </row>
    <row r="487" ht="15.75" customHeight="1">
      <c r="I487" s="117"/>
      <c r="K487" s="117"/>
      <c r="L487" s="118"/>
    </row>
    <row r="488" ht="15.75" customHeight="1">
      <c r="I488" s="117"/>
      <c r="K488" s="117"/>
      <c r="L488" s="118"/>
    </row>
    <row r="489" ht="15.75" customHeight="1">
      <c r="I489" s="117"/>
      <c r="K489" s="117"/>
      <c r="L489" s="118"/>
    </row>
    <row r="490" ht="15.75" customHeight="1">
      <c r="I490" s="117"/>
      <c r="K490" s="117"/>
      <c r="L490" s="118"/>
    </row>
    <row r="491" ht="15.75" customHeight="1">
      <c r="I491" s="117"/>
      <c r="K491" s="117"/>
      <c r="L491" s="118"/>
    </row>
    <row r="492" ht="15.75" customHeight="1">
      <c r="I492" s="117"/>
      <c r="K492" s="117"/>
      <c r="L492" s="118"/>
    </row>
    <row r="493" ht="15.75" customHeight="1">
      <c r="I493" s="117"/>
      <c r="K493" s="117"/>
      <c r="L493" s="118"/>
    </row>
    <row r="494" ht="15.75" customHeight="1">
      <c r="I494" s="117"/>
      <c r="K494" s="117"/>
      <c r="L494" s="118"/>
    </row>
    <row r="495" ht="15.75" customHeight="1">
      <c r="I495" s="117"/>
      <c r="K495" s="117"/>
      <c r="L495" s="118"/>
    </row>
    <row r="496" ht="15.75" customHeight="1">
      <c r="I496" s="117"/>
      <c r="K496" s="117"/>
      <c r="L496" s="118"/>
    </row>
    <row r="497" ht="15.75" customHeight="1">
      <c r="I497" s="117"/>
      <c r="K497" s="117"/>
      <c r="L497" s="118"/>
    </row>
    <row r="498" ht="15.75" customHeight="1">
      <c r="I498" s="117"/>
      <c r="K498" s="117"/>
      <c r="L498" s="118"/>
    </row>
    <row r="499" ht="15.75" customHeight="1">
      <c r="I499" s="117"/>
      <c r="K499" s="117"/>
      <c r="L499" s="118"/>
    </row>
    <row r="500" ht="15.75" customHeight="1">
      <c r="I500" s="117"/>
      <c r="K500" s="117"/>
      <c r="L500" s="118"/>
    </row>
    <row r="501" ht="15.75" customHeight="1">
      <c r="I501" s="117"/>
      <c r="K501" s="117"/>
      <c r="L501" s="118"/>
    </row>
    <row r="502" ht="15.75" customHeight="1">
      <c r="I502" s="117"/>
      <c r="K502" s="117"/>
      <c r="L502" s="118"/>
    </row>
    <row r="503" ht="15.75" customHeight="1">
      <c r="I503" s="117"/>
      <c r="K503" s="117"/>
      <c r="L503" s="118"/>
    </row>
    <row r="504" ht="15.75" customHeight="1">
      <c r="I504" s="117"/>
      <c r="K504" s="117"/>
      <c r="L504" s="118"/>
    </row>
    <row r="505" ht="15.75" customHeight="1">
      <c r="I505" s="117"/>
      <c r="K505" s="117"/>
      <c r="L505" s="118"/>
    </row>
    <row r="506" ht="15.75" customHeight="1">
      <c r="I506" s="117"/>
      <c r="K506" s="117"/>
      <c r="L506" s="118"/>
    </row>
    <row r="507" ht="15.75" customHeight="1">
      <c r="I507" s="117"/>
      <c r="K507" s="117"/>
      <c r="L507" s="118"/>
    </row>
    <row r="508" ht="15.75" customHeight="1">
      <c r="I508" s="117"/>
      <c r="K508" s="117"/>
      <c r="L508" s="118"/>
    </row>
    <row r="509" ht="15.75" customHeight="1">
      <c r="I509" s="117"/>
      <c r="K509" s="117"/>
      <c r="L509" s="118"/>
    </row>
    <row r="510" ht="15.75" customHeight="1">
      <c r="I510" s="117"/>
      <c r="K510" s="117"/>
      <c r="L510" s="118"/>
    </row>
    <row r="511" ht="15.75" customHeight="1">
      <c r="I511" s="117"/>
      <c r="K511" s="117"/>
      <c r="L511" s="118"/>
    </row>
    <row r="512" ht="15.75" customHeight="1">
      <c r="I512" s="117"/>
      <c r="K512" s="117"/>
      <c r="L512" s="118"/>
    </row>
    <row r="513" ht="15.75" customHeight="1">
      <c r="I513" s="117"/>
      <c r="K513" s="117"/>
      <c r="L513" s="118"/>
    </row>
    <row r="514" ht="15.75" customHeight="1">
      <c r="I514" s="117"/>
      <c r="K514" s="117"/>
      <c r="L514" s="118"/>
    </row>
    <row r="515" ht="15.75" customHeight="1">
      <c r="I515" s="117"/>
      <c r="K515" s="117"/>
      <c r="L515" s="118"/>
    </row>
    <row r="516" ht="15.75" customHeight="1">
      <c r="I516" s="117"/>
      <c r="K516" s="117"/>
      <c r="L516" s="118"/>
    </row>
    <row r="517" ht="15.75" customHeight="1">
      <c r="I517" s="117"/>
      <c r="K517" s="117"/>
      <c r="L517" s="118"/>
    </row>
    <row r="518" ht="15.75" customHeight="1">
      <c r="I518" s="117"/>
      <c r="K518" s="117"/>
      <c r="L518" s="118"/>
    </row>
    <row r="519" ht="15.75" customHeight="1">
      <c r="I519" s="117"/>
      <c r="K519" s="117"/>
      <c r="L519" s="118"/>
    </row>
    <row r="520" ht="15.75" customHeight="1">
      <c r="I520" s="117"/>
      <c r="K520" s="117"/>
      <c r="L520" s="118"/>
    </row>
    <row r="521" ht="15.75" customHeight="1">
      <c r="I521" s="117"/>
      <c r="K521" s="117"/>
      <c r="L521" s="118"/>
    </row>
    <row r="522" ht="15.75" customHeight="1">
      <c r="I522" s="117"/>
      <c r="K522" s="117"/>
      <c r="L522" s="118"/>
    </row>
    <row r="523" ht="15.75" customHeight="1">
      <c r="I523" s="117"/>
      <c r="K523" s="117"/>
      <c r="L523" s="118"/>
    </row>
    <row r="524" ht="15.75" customHeight="1">
      <c r="I524" s="117"/>
      <c r="K524" s="117"/>
      <c r="L524" s="118"/>
    </row>
    <row r="525" ht="15.75" customHeight="1">
      <c r="I525" s="117"/>
      <c r="K525" s="117"/>
      <c r="L525" s="118"/>
    </row>
    <row r="526" ht="15.75" customHeight="1">
      <c r="I526" s="117"/>
      <c r="K526" s="117"/>
      <c r="L526" s="118"/>
    </row>
    <row r="527" ht="15.75" customHeight="1">
      <c r="I527" s="117"/>
      <c r="K527" s="117"/>
      <c r="L527" s="118"/>
    </row>
    <row r="528" ht="15.75" customHeight="1">
      <c r="I528" s="117"/>
      <c r="K528" s="117"/>
      <c r="L528" s="118"/>
    </row>
    <row r="529" ht="15.75" customHeight="1">
      <c r="I529" s="117"/>
      <c r="K529" s="117"/>
      <c r="L529" s="118"/>
    </row>
    <row r="530" ht="15.75" customHeight="1">
      <c r="I530" s="117"/>
      <c r="K530" s="117"/>
      <c r="L530" s="118"/>
    </row>
    <row r="531" ht="15.75" customHeight="1">
      <c r="I531" s="117"/>
      <c r="K531" s="117"/>
      <c r="L531" s="118"/>
    </row>
    <row r="532" ht="15.75" customHeight="1">
      <c r="I532" s="117"/>
      <c r="K532" s="117"/>
      <c r="L532" s="118"/>
    </row>
    <row r="533" ht="15.75" customHeight="1">
      <c r="I533" s="117"/>
      <c r="K533" s="117"/>
      <c r="L533" s="118"/>
    </row>
    <row r="534" ht="15.75" customHeight="1">
      <c r="I534" s="117"/>
      <c r="K534" s="117"/>
      <c r="L534" s="118"/>
    </row>
    <row r="535" ht="15.75" customHeight="1">
      <c r="I535" s="117"/>
      <c r="K535" s="117"/>
      <c r="L535" s="118"/>
    </row>
    <row r="536" ht="15.75" customHeight="1">
      <c r="I536" s="117"/>
      <c r="K536" s="117"/>
      <c r="L536" s="118"/>
    </row>
    <row r="537" ht="15.75" customHeight="1">
      <c r="I537" s="117"/>
      <c r="K537" s="117"/>
      <c r="L537" s="118"/>
    </row>
    <row r="538" ht="15.75" customHeight="1">
      <c r="I538" s="117"/>
      <c r="K538" s="117"/>
      <c r="L538" s="118"/>
    </row>
    <row r="539" ht="15.75" customHeight="1">
      <c r="I539" s="117"/>
      <c r="K539" s="117"/>
      <c r="L539" s="118"/>
    </row>
    <row r="540" ht="15.75" customHeight="1">
      <c r="I540" s="117"/>
      <c r="K540" s="117"/>
      <c r="L540" s="118"/>
    </row>
    <row r="541" ht="15.75" customHeight="1">
      <c r="I541" s="117"/>
      <c r="K541" s="117"/>
      <c r="L541" s="118"/>
    </row>
    <row r="542" ht="15.75" customHeight="1">
      <c r="I542" s="117"/>
      <c r="K542" s="117"/>
      <c r="L542" s="118"/>
    </row>
    <row r="543" ht="15.75" customHeight="1">
      <c r="I543" s="117"/>
      <c r="K543" s="117"/>
      <c r="L543" s="118"/>
    </row>
    <row r="544" ht="15.75" customHeight="1">
      <c r="I544" s="117"/>
      <c r="K544" s="117"/>
      <c r="L544" s="118"/>
    </row>
    <row r="545" ht="15.75" customHeight="1">
      <c r="I545" s="117"/>
      <c r="K545" s="117"/>
      <c r="L545" s="118"/>
    </row>
    <row r="546" ht="15.75" customHeight="1">
      <c r="I546" s="117"/>
      <c r="K546" s="117"/>
      <c r="L546" s="118"/>
    </row>
    <row r="547" ht="15.75" customHeight="1">
      <c r="I547" s="117"/>
      <c r="K547" s="117"/>
      <c r="L547" s="118"/>
    </row>
    <row r="548" ht="15.75" customHeight="1">
      <c r="I548" s="117"/>
      <c r="K548" s="117"/>
      <c r="L548" s="118"/>
    </row>
    <row r="549" ht="15.75" customHeight="1">
      <c r="I549" s="117"/>
      <c r="K549" s="117"/>
      <c r="L549" s="118"/>
    </row>
    <row r="550" ht="15.75" customHeight="1">
      <c r="I550" s="117"/>
      <c r="K550" s="117"/>
      <c r="L550" s="118"/>
    </row>
    <row r="551" ht="15.75" customHeight="1">
      <c r="I551" s="117"/>
      <c r="K551" s="117"/>
      <c r="L551" s="118"/>
    </row>
    <row r="552" ht="15.75" customHeight="1">
      <c r="I552" s="117"/>
      <c r="K552" s="117"/>
      <c r="L552" s="118"/>
    </row>
    <row r="553" ht="15.75" customHeight="1">
      <c r="I553" s="117"/>
      <c r="K553" s="117"/>
      <c r="L553" s="118"/>
    </row>
    <row r="554" ht="15.75" customHeight="1">
      <c r="I554" s="117"/>
      <c r="K554" s="117"/>
      <c r="L554" s="118"/>
    </row>
    <row r="555" ht="15.75" customHeight="1">
      <c r="I555" s="117"/>
      <c r="K555" s="117"/>
      <c r="L555" s="118"/>
    </row>
    <row r="556" ht="15.75" customHeight="1">
      <c r="I556" s="117"/>
      <c r="K556" s="117"/>
      <c r="L556" s="118"/>
    </row>
    <row r="557" ht="15.75" customHeight="1">
      <c r="I557" s="117"/>
      <c r="K557" s="117"/>
      <c r="L557" s="118"/>
    </row>
    <row r="558" ht="15.75" customHeight="1">
      <c r="I558" s="117"/>
      <c r="K558" s="117"/>
      <c r="L558" s="118"/>
    </row>
    <row r="559" ht="15.75" customHeight="1">
      <c r="I559" s="117"/>
      <c r="K559" s="117"/>
      <c r="L559" s="118"/>
    </row>
    <row r="560" ht="15.75" customHeight="1">
      <c r="I560" s="117"/>
      <c r="K560" s="117"/>
      <c r="L560" s="118"/>
    </row>
    <row r="561" ht="15.75" customHeight="1">
      <c r="I561" s="117"/>
      <c r="K561" s="117"/>
      <c r="L561" s="118"/>
    </row>
    <row r="562" ht="15.75" customHeight="1">
      <c r="I562" s="117"/>
      <c r="K562" s="117"/>
      <c r="L562" s="118"/>
    </row>
    <row r="563" ht="15.75" customHeight="1">
      <c r="I563" s="117"/>
      <c r="K563" s="117"/>
      <c r="L563" s="118"/>
    </row>
    <row r="564" ht="15.75" customHeight="1">
      <c r="I564" s="117"/>
      <c r="K564" s="117"/>
      <c r="L564" s="118"/>
    </row>
    <row r="565" ht="15.75" customHeight="1">
      <c r="I565" s="117"/>
      <c r="K565" s="117"/>
      <c r="L565" s="118"/>
    </row>
    <row r="566" ht="15.75" customHeight="1">
      <c r="I566" s="117"/>
      <c r="K566" s="117"/>
      <c r="L566" s="118"/>
    </row>
    <row r="567" ht="15.75" customHeight="1">
      <c r="I567" s="117"/>
      <c r="K567" s="117"/>
      <c r="L567" s="118"/>
    </row>
    <row r="568" ht="15.75" customHeight="1">
      <c r="I568" s="117"/>
      <c r="K568" s="117"/>
      <c r="L568" s="118"/>
    </row>
    <row r="569" ht="15.75" customHeight="1">
      <c r="I569" s="117"/>
      <c r="K569" s="117"/>
      <c r="L569" s="118"/>
    </row>
    <row r="570" ht="15.75" customHeight="1">
      <c r="I570" s="117"/>
      <c r="K570" s="117"/>
      <c r="L570" s="118"/>
    </row>
    <row r="571" ht="15.75" customHeight="1">
      <c r="I571" s="117"/>
      <c r="K571" s="117"/>
      <c r="L571" s="118"/>
    </row>
    <row r="572" ht="15.75" customHeight="1">
      <c r="I572" s="117"/>
      <c r="K572" s="117"/>
      <c r="L572" s="118"/>
    </row>
    <row r="573" ht="15.75" customHeight="1">
      <c r="I573" s="117"/>
      <c r="K573" s="117"/>
      <c r="L573" s="118"/>
    </row>
    <row r="574" ht="15.75" customHeight="1">
      <c r="I574" s="117"/>
      <c r="K574" s="117"/>
      <c r="L574" s="118"/>
    </row>
    <row r="575" ht="15.75" customHeight="1">
      <c r="I575" s="117"/>
      <c r="K575" s="117"/>
      <c r="L575" s="118"/>
    </row>
    <row r="576" ht="15.75" customHeight="1">
      <c r="I576" s="117"/>
      <c r="K576" s="117"/>
      <c r="L576" s="118"/>
    </row>
    <row r="577" ht="15.75" customHeight="1">
      <c r="I577" s="117"/>
      <c r="K577" s="117"/>
      <c r="L577" s="118"/>
    </row>
    <row r="578" ht="15.75" customHeight="1">
      <c r="I578" s="117"/>
      <c r="K578" s="117"/>
      <c r="L578" s="118"/>
    </row>
    <row r="579" ht="15.75" customHeight="1">
      <c r="I579" s="117"/>
      <c r="K579" s="117"/>
      <c r="L579" s="118"/>
    </row>
    <row r="580" ht="15.75" customHeight="1">
      <c r="I580" s="117"/>
      <c r="K580" s="117"/>
      <c r="L580" s="118"/>
    </row>
    <row r="581" ht="15.75" customHeight="1">
      <c r="I581" s="117"/>
      <c r="K581" s="117"/>
      <c r="L581" s="118"/>
    </row>
    <row r="582" ht="15.75" customHeight="1">
      <c r="I582" s="117"/>
      <c r="K582" s="117"/>
      <c r="L582" s="118"/>
    </row>
    <row r="583" ht="15.75" customHeight="1">
      <c r="I583" s="117"/>
      <c r="K583" s="117"/>
      <c r="L583" s="118"/>
    </row>
    <row r="584" ht="15.75" customHeight="1">
      <c r="I584" s="117"/>
      <c r="K584" s="117"/>
      <c r="L584" s="118"/>
    </row>
    <row r="585" ht="15.75" customHeight="1">
      <c r="I585" s="117"/>
      <c r="K585" s="117"/>
      <c r="L585" s="118"/>
    </row>
    <row r="586" ht="15.75" customHeight="1">
      <c r="I586" s="117"/>
      <c r="K586" s="117"/>
      <c r="L586" s="118"/>
    </row>
    <row r="587" ht="15.75" customHeight="1">
      <c r="I587" s="117"/>
      <c r="K587" s="117"/>
      <c r="L587" s="118"/>
    </row>
    <row r="588" ht="15.75" customHeight="1">
      <c r="I588" s="117"/>
      <c r="K588" s="117"/>
      <c r="L588" s="118"/>
    </row>
    <row r="589" ht="15.75" customHeight="1">
      <c r="I589" s="117"/>
      <c r="K589" s="117"/>
      <c r="L589" s="118"/>
    </row>
    <row r="590" ht="15.75" customHeight="1">
      <c r="I590" s="117"/>
      <c r="K590" s="117"/>
      <c r="L590" s="118"/>
    </row>
    <row r="591" ht="15.75" customHeight="1">
      <c r="I591" s="117"/>
      <c r="K591" s="117"/>
      <c r="L591" s="118"/>
    </row>
    <row r="592" ht="15.75" customHeight="1">
      <c r="I592" s="117"/>
      <c r="K592" s="117"/>
      <c r="L592" s="118"/>
    </row>
    <row r="593" ht="15.75" customHeight="1">
      <c r="I593" s="117"/>
      <c r="K593" s="117"/>
      <c r="L593" s="118"/>
    </row>
    <row r="594" ht="15.75" customHeight="1">
      <c r="I594" s="117"/>
      <c r="K594" s="117"/>
      <c r="L594" s="118"/>
    </row>
    <row r="595" ht="15.75" customHeight="1">
      <c r="I595" s="117"/>
      <c r="K595" s="117"/>
      <c r="L595" s="118"/>
    </row>
    <row r="596" ht="15.75" customHeight="1">
      <c r="I596" s="117"/>
      <c r="K596" s="117"/>
      <c r="L596" s="118"/>
    </row>
    <row r="597" ht="15.75" customHeight="1">
      <c r="I597" s="117"/>
      <c r="K597" s="117"/>
      <c r="L597" s="118"/>
    </row>
    <row r="598" ht="15.75" customHeight="1">
      <c r="I598" s="117"/>
      <c r="K598" s="117"/>
      <c r="L598" s="118"/>
    </row>
    <row r="599" ht="15.75" customHeight="1">
      <c r="I599" s="117"/>
      <c r="K599" s="117"/>
      <c r="L599" s="118"/>
    </row>
    <row r="600" ht="15.75" customHeight="1">
      <c r="I600" s="117"/>
      <c r="K600" s="117"/>
      <c r="L600" s="118"/>
    </row>
    <row r="601" ht="15.75" customHeight="1">
      <c r="I601" s="117"/>
      <c r="K601" s="117"/>
      <c r="L601" s="118"/>
    </row>
    <row r="602" ht="15.75" customHeight="1">
      <c r="I602" s="117"/>
      <c r="K602" s="117"/>
      <c r="L602" s="118"/>
    </row>
    <row r="603" ht="15.75" customHeight="1">
      <c r="I603" s="117"/>
      <c r="K603" s="117"/>
      <c r="L603" s="118"/>
    </row>
    <row r="604" ht="15.75" customHeight="1">
      <c r="I604" s="117"/>
      <c r="K604" s="117"/>
      <c r="L604" s="118"/>
    </row>
    <row r="605" ht="15.75" customHeight="1">
      <c r="I605" s="117"/>
      <c r="K605" s="117"/>
      <c r="L605" s="118"/>
    </row>
    <row r="606" ht="15.75" customHeight="1">
      <c r="I606" s="117"/>
      <c r="K606" s="117"/>
      <c r="L606" s="118"/>
    </row>
    <row r="607" ht="15.75" customHeight="1">
      <c r="I607" s="117"/>
      <c r="K607" s="117"/>
      <c r="L607" s="118"/>
    </row>
    <row r="608" ht="15.75" customHeight="1">
      <c r="I608" s="117"/>
      <c r="K608" s="117"/>
      <c r="L608" s="118"/>
    </row>
    <row r="609" ht="15.75" customHeight="1">
      <c r="I609" s="117"/>
      <c r="K609" s="117"/>
      <c r="L609" s="118"/>
    </row>
    <row r="610" ht="15.75" customHeight="1">
      <c r="I610" s="117"/>
      <c r="K610" s="117"/>
      <c r="L610" s="118"/>
    </row>
    <row r="611" ht="15.75" customHeight="1">
      <c r="I611" s="117"/>
      <c r="K611" s="117"/>
      <c r="L611" s="118"/>
    </row>
    <row r="612" ht="15.75" customHeight="1">
      <c r="I612" s="117"/>
      <c r="K612" s="117"/>
      <c r="L612" s="118"/>
    </row>
    <row r="613" ht="15.75" customHeight="1">
      <c r="I613" s="117"/>
      <c r="K613" s="117"/>
      <c r="L613" s="118"/>
    </row>
    <row r="614" ht="15.75" customHeight="1">
      <c r="I614" s="117"/>
      <c r="K614" s="117"/>
      <c r="L614" s="118"/>
    </row>
    <row r="615" ht="15.75" customHeight="1">
      <c r="I615" s="117"/>
      <c r="K615" s="117"/>
      <c r="L615" s="118"/>
    </row>
    <row r="616" ht="15.75" customHeight="1">
      <c r="I616" s="117"/>
      <c r="K616" s="117"/>
      <c r="L616" s="118"/>
    </row>
    <row r="617" ht="15.75" customHeight="1">
      <c r="I617" s="117"/>
      <c r="K617" s="117"/>
      <c r="L617" s="118"/>
    </row>
    <row r="618" ht="15.75" customHeight="1">
      <c r="I618" s="117"/>
      <c r="K618" s="117"/>
      <c r="L618" s="118"/>
    </row>
    <row r="619" ht="15.75" customHeight="1">
      <c r="I619" s="117"/>
      <c r="K619" s="117"/>
      <c r="L619" s="118"/>
    </row>
    <row r="620" ht="15.75" customHeight="1">
      <c r="I620" s="117"/>
      <c r="K620" s="117"/>
      <c r="L620" s="118"/>
    </row>
    <row r="621" ht="15.75" customHeight="1">
      <c r="I621" s="117"/>
      <c r="K621" s="117"/>
      <c r="L621" s="118"/>
    </row>
    <row r="622" ht="15.75" customHeight="1">
      <c r="I622" s="117"/>
      <c r="K622" s="117"/>
      <c r="L622" s="118"/>
    </row>
    <row r="623" ht="15.75" customHeight="1">
      <c r="I623" s="117"/>
      <c r="K623" s="117"/>
      <c r="L623" s="118"/>
    </row>
    <row r="624" ht="15.75" customHeight="1">
      <c r="I624" s="117"/>
      <c r="K624" s="117"/>
      <c r="L624" s="118"/>
    </row>
    <row r="625" ht="15.75" customHeight="1">
      <c r="I625" s="117"/>
      <c r="K625" s="117"/>
      <c r="L625" s="118"/>
    </row>
    <row r="626" ht="15.75" customHeight="1">
      <c r="I626" s="117"/>
      <c r="K626" s="117"/>
      <c r="L626" s="118"/>
    </row>
    <row r="627" ht="15.75" customHeight="1">
      <c r="I627" s="117"/>
      <c r="K627" s="117"/>
      <c r="L627" s="118"/>
    </row>
    <row r="628" ht="15.75" customHeight="1">
      <c r="I628" s="117"/>
      <c r="K628" s="117"/>
      <c r="L628" s="118"/>
    </row>
    <row r="629" ht="15.75" customHeight="1">
      <c r="I629" s="117"/>
      <c r="K629" s="117"/>
      <c r="L629" s="118"/>
    </row>
    <row r="630" ht="15.75" customHeight="1">
      <c r="I630" s="117"/>
      <c r="K630" s="117"/>
      <c r="L630" s="118"/>
    </row>
    <row r="631" ht="15.75" customHeight="1">
      <c r="I631" s="117"/>
      <c r="K631" s="117"/>
      <c r="L631" s="118"/>
    </row>
    <row r="632" ht="15.75" customHeight="1">
      <c r="I632" s="117"/>
      <c r="K632" s="117"/>
      <c r="L632" s="118"/>
    </row>
    <row r="633" ht="15.75" customHeight="1">
      <c r="I633" s="117"/>
      <c r="K633" s="117"/>
      <c r="L633" s="118"/>
    </row>
    <row r="634" ht="15.75" customHeight="1">
      <c r="I634" s="117"/>
      <c r="K634" s="117"/>
      <c r="L634" s="118"/>
    </row>
    <row r="635" ht="15.75" customHeight="1">
      <c r="I635" s="117"/>
      <c r="K635" s="117"/>
      <c r="L635" s="118"/>
    </row>
    <row r="636" ht="15.75" customHeight="1">
      <c r="I636" s="117"/>
      <c r="K636" s="117"/>
      <c r="L636" s="118"/>
    </row>
    <row r="637" ht="15.75" customHeight="1">
      <c r="I637" s="117"/>
      <c r="K637" s="117"/>
      <c r="L637" s="118"/>
    </row>
    <row r="638" ht="15.75" customHeight="1">
      <c r="I638" s="117"/>
      <c r="K638" s="117"/>
      <c r="L638" s="118"/>
    </row>
    <row r="639" ht="15.75" customHeight="1">
      <c r="I639" s="117"/>
      <c r="K639" s="117"/>
      <c r="L639" s="118"/>
    </row>
    <row r="640" ht="15.75" customHeight="1">
      <c r="I640" s="117"/>
      <c r="K640" s="117"/>
      <c r="L640" s="118"/>
    </row>
    <row r="641" ht="15.75" customHeight="1">
      <c r="I641" s="117"/>
      <c r="K641" s="117"/>
      <c r="L641" s="118"/>
    </row>
    <row r="642" ht="15.75" customHeight="1">
      <c r="I642" s="117"/>
      <c r="K642" s="117"/>
      <c r="L642" s="118"/>
    </row>
    <row r="643" ht="15.75" customHeight="1">
      <c r="I643" s="117"/>
      <c r="K643" s="117"/>
      <c r="L643" s="118"/>
    </row>
    <row r="644" ht="15.75" customHeight="1">
      <c r="I644" s="117"/>
      <c r="K644" s="117"/>
      <c r="L644" s="118"/>
    </row>
    <row r="645" ht="15.75" customHeight="1">
      <c r="I645" s="117"/>
      <c r="K645" s="117"/>
      <c r="L645" s="118"/>
    </row>
    <row r="646" ht="15.75" customHeight="1">
      <c r="I646" s="117"/>
      <c r="K646" s="117"/>
      <c r="L646" s="118"/>
    </row>
    <row r="647" ht="15.75" customHeight="1">
      <c r="I647" s="117"/>
      <c r="K647" s="117"/>
      <c r="L647" s="118"/>
    </row>
    <row r="648" ht="15.75" customHeight="1">
      <c r="I648" s="117"/>
      <c r="K648" s="117"/>
      <c r="L648" s="118"/>
    </row>
    <row r="649" ht="15.75" customHeight="1">
      <c r="I649" s="117"/>
      <c r="K649" s="117"/>
      <c r="L649" s="118"/>
    </row>
    <row r="650" ht="15.75" customHeight="1">
      <c r="I650" s="117"/>
      <c r="K650" s="117"/>
      <c r="L650" s="118"/>
    </row>
    <row r="651" ht="15.75" customHeight="1">
      <c r="I651" s="117"/>
      <c r="K651" s="117"/>
      <c r="L651" s="118"/>
    </row>
    <row r="652" ht="15.75" customHeight="1">
      <c r="I652" s="117"/>
      <c r="K652" s="117"/>
      <c r="L652" s="118"/>
    </row>
    <row r="653" ht="15.75" customHeight="1">
      <c r="I653" s="117"/>
      <c r="K653" s="117"/>
      <c r="L653" s="118"/>
    </row>
    <row r="654" ht="15.75" customHeight="1">
      <c r="I654" s="117"/>
      <c r="K654" s="117"/>
      <c r="L654" s="118"/>
    </row>
    <row r="655" ht="15.75" customHeight="1">
      <c r="I655" s="117"/>
      <c r="K655" s="117"/>
      <c r="L655" s="118"/>
    </row>
    <row r="656" ht="15.75" customHeight="1">
      <c r="I656" s="117"/>
      <c r="K656" s="117"/>
      <c r="L656" s="118"/>
    </row>
    <row r="657" ht="15.75" customHeight="1">
      <c r="I657" s="117"/>
      <c r="K657" s="117"/>
      <c r="L657" s="118"/>
    </row>
    <row r="658" ht="15.75" customHeight="1">
      <c r="I658" s="117"/>
      <c r="K658" s="117"/>
      <c r="L658" s="118"/>
    </row>
    <row r="659" ht="15.75" customHeight="1">
      <c r="I659" s="117"/>
      <c r="K659" s="117"/>
      <c r="L659" s="118"/>
    </row>
    <row r="660" ht="15.75" customHeight="1">
      <c r="I660" s="117"/>
      <c r="K660" s="117"/>
      <c r="L660" s="118"/>
    </row>
    <row r="661" ht="15.75" customHeight="1">
      <c r="I661" s="117"/>
      <c r="K661" s="117"/>
      <c r="L661" s="118"/>
    </row>
    <row r="662" ht="15.75" customHeight="1">
      <c r="I662" s="117"/>
      <c r="K662" s="117"/>
      <c r="L662" s="118"/>
    </row>
    <row r="663" ht="15.75" customHeight="1">
      <c r="I663" s="117"/>
      <c r="K663" s="117"/>
      <c r="L663" s="118"/>
    </row>
    <row r="664" ht="15.75" customHeight="1">
      <c r="I664" s="117"/>
      <c r="K664" s="117"/>
      <c r="L664" s="118"/>
    </row>
    <row r="665" ht="15.75" customHeight="1">
      <c r="I665" s="117"/>
      <c r="K665" s="117"/>
      <c r="L665" s="118"/>
    </row>
    <row r="666" ht="15.75" customHeight="1">
      <c r="I666" s="117"/>
      <c r="K666" s="117"/>
      <c r="L666" s="118"/>
    </row>
    <row r="667" ht="15.75" customHeight="1">
      <c r="I667" s="117"/>
      <c r="K667" s="117"/>
      <c r="L667" s="118"/>
    </row>
    <row r="668" ht="15.75" customHeight="1">
      <c r="I668" s="117"/>
      <c r="K668" s="117"/>
      <c r="L668" s="118"/>
    </row>
    <row r="669" ht="15.75" customHeight="1">
      <c r="I669" s="117"/>
      <c r="K669" s="117"/>
      <c r="L669" s="118"/>
    </row>
    <row r="670" ht="15.75" customHeight="1">
      <c r="I670" s="117"/>
      <c r="K670" s="117"/>
      <c r="L670" s="118"/>
    </row>
    <row r="671" ht="15.75" customHeight="1">
      <c r="I671" s="117"/>
      <c r="K671" s="117"/>
      <c r="L671" s="118"/>
    </row>
    <row r="672" ht="15.75" customHeight="1">
      <c r="I672" s="117"/>
      <c r="K672" s="117"/>
      <c r="L672" s="118"/>
    </row>
    <row r="673" ht="15.75" customHeight="1">
      <c r="I673" s="117"/>
      <c r="K673" s="117"/>
      <c r="L673" s="118"/>
    </row>
    <row r="674" ht="15.75" customHeight="1">
      <c r="I674" s="117"/>
      <c r="K674" s="117"/>
      <c r="L674" s="118"/>
    </row>
    <row r="675" ht="15.75" customHeight="1">
      <c r="I675" s="117"/>
      <c r="K675" s="117"/>
      <c r="L675" s="118"/>
    </row>
    <row r="676" ht="15.75" customHeight="1">
      <c r="I676" s="117"/>
      <c r="K676" s="117"/>
      <c r="L676" s="118"/>
    </row>
    <row r="677" ht="15.75" customHeight="1">
      <c r="I677" s="117"/>
      <c r="K677" s="117"/>
      <c r="L677" s="118"/>
    </row>
    <row r="678" ht="15.75" customHeight="1">
      <c r="I678" s="117"/>
      <c r="K678" s="117"/>
      <c r="L678" s="118"/>
    </row>
    <row r="679" ht="15.75" customHeight="1">
      <c r="I679" s="117"/>
      <c r="K679" s="117"/>
      <c r="L679" s="118"/>
    </row>
    <row r="680" ht="15.75" customHeight="1">
      <c r="I680" s="117"/>
      <c r="K680" s="117"/>
      <c r="L680" s="118"/>
    </row>
    <row r="681" ht="15.75" customHeight="1">
      <c r="I681" s="117"/>
      <c r="K681" s="117"/>
      <c r="L681" s="118"/>
    </row>
    <row r="682" ht="15.75" customHeight="1">
      <c r="I682" s="117"/>
      <c r="K682" s="117"/>
      <c r="L682" s="118"/>
    </row>
    <row r="683" ht="15.75" customHeight="1">
      <c r="I683" s="117"/>
      <c r="K683" s="117"/>
      <c r="L683" s="118"/>
    </row>
    <row r="684" ht="15.75" customHeight="1">
      <c r="I684" s="117"/>
      <c r="K684" s="117"/>
      <c r="L684" s="118"/>
    </row>
    <row r="685" ht="15.75" customHeight="1">
      <c r="I685" s="117"/>
      <c r="K685" s="117"/>
      <c r="L685" s="118"/>
    </row>
    <row r="686" ht="15.75" customHeight="1">
      <c r="I686" s="117"/>
      <c r="K686" s="117"/>
      <c r="L686" s="118"/>
    </row>
    <row r="687" ht="15.75" customHeight="1">
      <c r="I687" s="117"/>
      <c r="K687" s="117"/>
      <c r="L687" s="118"/>
    </row>
    <row r="688" ht="15.75" customHeight="1">
      <c r="I688" s="117"/>
      <c r="K688" s="117"/>
      <c r="L688" s="118"/>
    </row>
    <row r="689" ht="15.75" customHeight="1">
      <c r="I689" s="117"/>
      <c r="K689" s="117"/>
      <c r="L689" s="118"/>
    </row>
    <row r="690" ht="15.75" customHeight="1">
      <c r="I690" s="117"/>
      <c r="K690" s="117"/>
      <c r="L690" s="118"/>
    </row>
    <row r="691" ht="15.75" customHeight="1">
      <c r="I691" s="117"/>
      <c r="K691" s="117"/>
      <c r="L691" s="118"/>
    </row>
    <row r="692" ht="15.75" customHeight="1">
      <c r="I692" s="117"/>
      <c r="K692" s="117"/>
      <c r="L692" s="118"/>
    </row>
    <row r="693" ht="15.75" customHeight="1">
      <c r="I693" s="117"/>
      <c r="K693" s="117"/>
      <c r="L693" s="118"/>
    </row>
    <row r="694" ht="15.75" customHeight="1">
      <c r="I694" s="117"/>
      <c r="K694" s="117"/>
      <c r="L694" s="118"/>
    </row>
    <row r="695" ht="15.75" customHeight="1">
      <c r="I695" s="117"/>
      <c r="K695" s="117"/>
      <c r="L695" s="118"/>
    </row>
    <row r="696" ht="15.75" customHeight="1">
      <c r="I696" s="117"/>
      <c r="K696" s="117"/>
      <c r="L696" s="118"/>
    </row>
    <row r="697" ht="15.75" customHeight="1">
      <c r="I697" s="117"/>
      <c r="K697" s="117"/>
      <c r="L697" s="118"/>
    </row>
    <row r="698" ht="15.75" customHeight="1">
      <c r="I698" s="117"/>
      <c r="K698" s="117"/>
      <c r="L698" s="118"/>
    </row>
    <row r="699" ht="15.75" customHeight="1">
      <c r="I699" s="117"/>
      <c r="K699" s="117"/>
      <c r="L699" s="118"/>
    </row>
    <row r="700" ht="15.75" customHeight="1">
      <c r="I700" s="117"/>
      <c r="K700" s="117"/>
      <c r="L700" s="118"/>
    </row>
    <row r="701" ht="15.75" customHeight="1">
      <c r="I701" s="117"/>
      <c r="K701" s="117"/>
      <c r="L701" s="118"/>
    </row>
    <row r="702" ht="15.75" customHeight="1">
      <c r="I702" s="117"/>
      <c r="K702" s="117"/>
      <c r="L702" s="118"/>
    </row>
    <row r="703" ht="15.75" customHeight="1">
      <c r="I703" s="117"/>
      <c r="K703" s="117"/>
      <c r="L703" s="118"/>
    </row>
    <row r="704" ht="15.75" customHeight="1">
      <c r="I704" s="117"/>
      <c r="K704" s="117"/>
      <c r="L704" s="118"/>
    </row>
    <row r="705" ht="15.75" customHeight="1">
      <c r="I705" s="117"/>
      <c r="K705" s="117"/>
      <c r="L705" s="118"/>
    </row>
    <row r="706" ht="15.75" customHeight="1">
      <c r="I706" s="117"/>
      <c r="K706" s="117"/>
      <c r="L706" s="118"/>
    </row>
    <row r="707" ht="15.75" customHeight="1">
      <c r="I707" s="117"/>
      <c r="K707" s="117"/>
      <c r="L707" s="118"/>
    </row>
    <row r="708" ht="15.75" customHeight="1">
      <c r="I708" s="117"/>
      <c r="K708" s="117"/>
      <c r="L708" s="118"/>
    </row>
    <row r="709" ht="15.75" customHeight="1">
      <c r="I709" s="117"/>
      <c r="K709" s="117"/>
      <c r="L709" s="118"/>
    </row>
    <row r="710" ht="15.75" customHeight="1">
      <c r="I710" s="117"/>
      <c r="K710" s="117"/>
      <c r="L710" s="118"/>
    </row>
    <row r="711" ht="15.75" customHeight="1">
      <c r="I711" s="117"/>
      <c r="K711" s="117"/>
      <c r="L711" s="118"/>
    </row>
    <row r="712" ht="15.75" customHeight="1">
      <c r="I712" s="117"/>
      <c r="K712" s="117"/>
      <c r="L712" s="118"/>
    </row>
    <row r="713" ht="15.75" customHeight="1">
      <c r="I713" s="117"/>
      <c r="K713" s="117"/>
      <c r="L713" s="118"/>
    </row>
    <row r="714" ht="15.75" customHeight="1">
      <c r="I714" s="117"/>
      <c r="K714" s="117"/>
      <c r="L714" s="118"/>
    </row>
    <row r="715" ht="15.75" customHeight="1">
      <c r="I715" s="117"/>
      <c r="K715" s="117"/>
      <c r="L715" s="118"/>
    </row>
    <row r="716" ht="15.75" customHeight="1">
      <c r="I716" s="117"/>
      <c r="K716" s="117"/>
      <c r="L716" s="118"/>
    </row>
    <row r="717" ht="15.75" customHeight="1">
      <c r="I717" s="117"/>
      <c r="K717" s="117"/>
      <c r="L717" s="118"/>
    </row>
    <row r="718" ht="15.75" customHeight="1">
      <c r="I718" s="117"/>
      <c r="K718" s="117"/>
      <c r="L718" s="118"/>
    </row>
    <row r="719" ht="15.75" customHeight="1">
      <c r="I719" s="117"/>
      <c r="K719" s="117"/>
      <c r="L719" s="118"/>
    </row>
    <row r="720" ht="15.75" customHeight="1">
      <c r="I720" s="117"/>
      <c r="K720" s="117"/>
      <c r="L720" s="118"/>
    </row>
    <row r="721" ht="15.75" customHeight="1">
      <c r="I721" s="117"/>
      <c r="K721" s="117"/>
      <c r="L721" s="118"/>
    </row>
    <row r="722" ht="15.75" customHeight="1">
      <c r="I722" s="117"/>
      <c r="K722" s="117"/>
      <c r="L722" s="118"/>
    </row>
    <row r="723" ht="15.75" customHeight="1">
      <c r="I723" s="117"/>
      <c r="K723" s="117"/>
      <c r="L723" s="118"/>
    </row>
    <row r="724" ht="15.75" customHeight="1">
      <c r="I724" s="117"/>
      <c r="K724" s="117"/>
      <c r="L724" s="118"/>
    </row>
    <row r="725" ht="15.75" customHeight="1">
      <c r="I725" s="117"/>
      <c r="K725" s="117"/>
      <c r="L725" s="118"/>
    </row>
    <row r="726" ht="15.75" customHeight="1">
      <c r="I726" s="117"/>
      <c r="K726" s="117"/>
      <c r="L726" s="118"/>
    </row>
    <row r="727" ht="15.75" customHeight="1">
      <c r="I727" s="117"/>
      <c r="K727" s="117"/>
      <c r="L727" s="118"/>
    </row>
    <row r="728" ht="15.75" customHeight="1">
      <c r="I728" s="117"/>
      <c r="K728" s="117"/>
      <c r="L728" s="118"/>
    </row>
    <row r="729" ht="15.75" customHeight="1">
      <c r="I729" s="117"/>
      <c r="K729" s="117"/>
      <c r="L729" s="118"/>
    </row>
    <row r="730" ht="15.75" customHeight="1">
      <c r="I730" s="117"/>
      <c r="K730" s="117"/>
      <c r="L730" s="118"/>
    </row>
    <row r="731" ht="15.75" customHeight="1">
      <c r="I731" s="117"/>
      <c r="K731" s="117"/>
      <c r="L731" s="118"/>
    </row>
    <row r="732" ht="15.75" customHeight="1">
      <c r="I732" s="117"/>
      <c r="K732" s="117"/>
      <c r="L732" s="118"/>
    </row>
    <row r="733" ht="15.75" customHeight="1">
      <c r="I733" s="117"/>
      <c r="K733" s="117"/>
      <c r="L733" s="118"/>
    </row>
    <row r="734" ht="15.75" customHeight="1">
      <c r="I734" s="117"/>
      <c r="K734" s="117"/>
      <c r="L734" s="118"/>
    </row>
    <row r="735" ht="15.75" customHeight="1">
      <c r="I735" s="117"/>
      <c r="K735" s="117"/>
      <c r="L735" s="118"/>
    </row>
    <row r="736" ht="15.75" customHeight="1">
      <c r="I736" s="117"/>
      <c r="K736" s="117"/>
      <c r="L736" s="118"/>
    </row>
    <row r="737" ht="15.75" customHeight="1">
      <c r="I737" s="117"/>
      <c r="K737" s="117"/>
      <c r="L737" s="118"/>
    </row>
    <row r="738" ht="15.75" customHeight="1">
      <c r="I738" s="117"/>
      <c r="K738" s="117"/>
      <c r="L738" s="118"/>
    </row>
    <row r="739" ht="15.75" customHeight="1">
      <c r="I739" s="117"/>
      <c r="K739" s="117"/>
      <c r="L739" s="118"/>
    </row>
    <row r="740" ht="15.75" customHeight="1">
      <c r="I740" s="117"/>
      <c r="K740" s="117"/>
      <c r="L740" s="118"/>
    </row>
    <row r="741" ht="15.75" customHeight="1">
      <c r="I741" s="117"/>
      <c r="K741" s="117"/>
      <c r="L741" s="118"/>
    </row>
    <row r="742" ht="15.75" customHeight="1">
      <c r="I742" s="117"/>
      <c r="K742" s="117"/>
      <c r="L742" s="118"/>
    </row>
    <row r="743" ht="15.75" customHeight="1">
      <c r="I743" s="117"/>
      <c r="K743" s="117"/>
      <c r="L743" s="118"/>
    </row>
    <row r="744" ht="15.75" customHeight="1">
      <c r="I744" s="117"/>
      <c r="K744" s="117"/>
      <c r="L744" s="118"/>
    </row>
    <row r="745" ht="15.75" customHeight="1">
      <c r="I745" s="117"/>
      <c r="K745" s="117"/>
      <c r="L745" s="118"/>
    </row>
    <row r="746" ht="15.75" customHeight="1">
      <c r="I746" s="117"/>
      <c r="K746" s="117"/>
      <c r="L746" s="118"/>
    </row>
    <row r="747" ht="15.75" customHeight="1">
      <c r="I747" s="117"/>
      <c r="K747" s="117"/>
      <c r="L747" s="118"/>
    </row>
    <row r="748" ht="15.75" customHeight="1">
      <c r="I748" s="117"/>
      <c r="K748" s="117"/>
      <c r="L748" s="118"/>
    </row>
    <row r="749" ht="15.75" customHeight="1">
      <c r="I749" s="117"/>
      <c r="K749" s="117"/>
      <c r="L749" s="118"/>
    </row>
    <row r="750" ht="15.75" customHeight="1">
      <c r="I750" s="117"/>
      <c r="K750" s="117"/>
      <c r="L750" s="118"/>
    </row>
    <row r="751" ht="15.75" customHeight="1">
      <c r="I751" s="117"/>
      <c r="K751" s="117"/>
      <c r="L751" s="118"/>
    </row>
    <row r="752" ht="15.75" customHeight="1">
      <c r="I752" s="117"/>
      <c r="K752" s="117"/>
      <c r="L752" s="118"/>
    </row>
    <row r="753" ht="15.75" customHeight="1">
      <c r="I753" s="117"/>
      <c r="K753" s="117"/>
      <c r="L753" s="118"/>
    </row>
    <row r="754" ht="15.75" customHeight="1">
      <c r="I754" s="117"/>
      <c r="K754" s="117"/>
      <c r="L754" s="118"/>
    </row>
    <row r="755" ht="15.75" customHeight="1">
      <c r="I755" s="117"/>
      <c r="K755" s="117"/>
      <c r="L755" s="118"/>
    </row>
    <row r="756" ht="15.75" customHeight="1">
      <c r="I756" s="117"/>
      <c r="K756" s="117"/>
      <c r="L756" s="118"/>
    </row>
    <row r="757" ht="15.75" customHeight="1">
      <c r="I757" s="117"/>
      <c r="K757" s="117"/>
      <c r="L757" s="118"/>
    </row>
    <row r="758" ht="15.75" customHeight="1">
      <c r="I758" s="117"/>
      <c r="K758" s="117"/>
      <c r="L758" s="118"/>
    </row>
    <row r="759" ht="15.75" customHeight="1">
      <c r="I759" s="117"/>
      <c r="K759" s="117"/>
      <c r="L759" s="118"/>
    </row>
    <row r="760" ht="15.75" customHeight="1">
      <c r="I760" s="117"/>
      <c r="K760" s="117"/>
      <c r="L760" s="118"/>
    </row>
    <row r="761" ht="15.75" customHeight="1">
      <c r="I761" s="117"/>
      <c r="K761" s="117"/>
      <c r="L761" s="118"/>
    </row>
    <row r="762" ht="15.75" customHeight="1">
      <c r="I762" s="117"/>
      <c r="K762" s="117"/>
      <c r="L762" s="118"/>
    </row>
    <row r="763" ht="15.75" customHeight="1">
      <c r="I763" s="117"/>
      <c r="K763" s="117"/>
      <c r="L763" s="118"/>
    </row>
    <row r="764" ht="15.75" customHeight="1">
      <c r="I764" s="117"/>
      <c r="K764" s="117"/>
      <c r="L764" s="118"/>
    </row>
    <row r="765" ht="15.75" customHeight="1">
      <c r="I765" s="117"/>
      <c r="K765" s="117"/>
      <c r="L765" s="118"/>
    </row>
    <row r="766" ht="15.75" customHeight="1">
      <c r="I766" s="117"/>
      <c r="K766" s="117"/>
      <c r="L766" s="118"/>
    </row>
    <row r="767" ht="15.75" customHeight="1">
      <c r="I767" s="117"/>
      <c r="K767" s="117"/>
      <c r="L767" s="118"/>
    </row>
    <row r="768" ht="15.75" customHeight="1">
      <c r="I768" s="117"/>
      <c r="K768" s="117"/>
      <c r="L768" s="118"/>
    </row>
    <row r="769" ht="15.75" customHeight="1">
      <c r="I769" s="117"/>
      <c r="K769" s="117"/>
      <c r="L769" s="118"/>
    </row>
    <row r="770" ht="15.75" customHeight="1">
      <c r="I770" s="117"/>
      <c r="K770" s="117"/>
      <c r="L770" s="118"/>
    </row>
    <row r="771" ht="15.75" customHeight="1">
      <c r="I771" s="117"/>
      <c r="K771" s="117"/>
      <c r="L771" s="118"/>
    </row>
    <row r="772" ht="15.75" customHeight="1">
      <c r="I772" s="117"/>
      <c r="K772" s="117"/>
      <c r="L772" s="118"/>
    </row>
    <row r="773" ht="15.75" customHeight="1">
      <c r="I773" s="117"/>
      <c r="K773" s="117"/>
      <c r="L773" s="118"/>
    </row>
    <row r="774" ht="15.75" customHeight="1">
      <c r="I774" s="117"/>
      <c r="K774" s="117"/>
      <c r="L774" s="118"/>
    </row>
    <row r="775" ht="15.75" customHeight="1">
      <c r="I775" s="117"/>
      <c r="K775" s="117"/>
      <c r="L775" s="118"/>
    </row>
    <row r="776" ht="15.75" customHeight="1">
      <c r="I776" s="117"/>
      <c r="K776" s="117"/>
      <c r="L776" s="118"/>
    </row>
    <row r="777" ht="15.75" customHeight="1">
      <c r="I777" s="117"/>
      <c r="K777" s="117"/>
      <c r="L777" s="118"/>
    </row>
    <row r="778" ht="15.75" customHeight="1">
      <c r="I778" s="117"/>
      <c r="K778" s="117"/>
      <c r="L778" s="118"/>
    </row>
    <row r="779" ht="15.75" customHeight="1">
      <c r="I779" s="117"/>
      <c r="K779" s="117"/>
      <c r="L779" s="118"/>
    </row>
    <row r="780" ht="15.75" customHeight="1">
      <c r="I780" s="117"/>
      <c r="K780" s="117"/>
      <c r="L780" s="118"/>
    </row>
    <row r="781" ht="15.75" customHeight="1">
      <c r="I781" s="117"/>
      <c r="K781" s="117"/>
      <c r="L781" s="118"/>
    </row>
    <row r="782" ht="15.75" customHeight="1">
      <c r="I782" s="117"/>
      <c r="K782" s="117"/>
      <c r="L782" s="118"/>
    </row>
    <row r="783" ht="15.75" customHeight="1">
      <c r="I783" s="117"/>
      <c r="K783" s="117"/>
      <c r="L783" s="118"/>
    </row>
    <row r="784" ht="15.75" customHeight="1">
      <c r="I784" s="117"/>
      <c r="K784" s="117"/>
      <c r="L784" s="118"/>
    </row>
    <row r="785" ht="15.75" customHeight="1">
      <c r="I785" s="117"/>
      <c r="K785" s="117"/>
      <c r="L785" s="118"/>
    </row>
    <row r="786" ht="15.75" customHeight="1">
      <c r="I786" s="117"/>
      <c r="K786" s="117"/>
      <c r="L786" s="118"/>
    </row>
    <row r="787" ht="15.75" customHeight="1">
      <c r="I787" s="117"/>
      <c r="K787" s="117"/>
      <c r="L787" s="118"/>
    </row>
    <row r="788" ht="15.75" customHeight="1">
      <c r="I788" s="117"/>
      <c r="K788" s="117"/>
      <c r="L788" s="118"/>
    </row>
    <row r="789" ht="15.75" customHeight="1">
      <c r="I789" s="117"/>
      <c r="K789" s="117"/>
      <c r="L789" s="118"/>
    </row>
    <row r="790" ht="15.75" customHeight="1">
      <c r="I790" s="117"/>
      <c r="K790" s="117"/>
      <c r="L790" s="118"/>
    </row>
    <row r="791" ht="15.75" customHeight="1">
      <c r="I791" s="117"/>
      <c r="K791" s="117"/>
      <c r="L791" s="118"/>
    </row>
    <row r="792" ht="15.75" customHeight="1">
      <c r="I792" s="117"/>
      <c r="K792" s="117"/>
      <c r="L792" s="118"/>
    </row>
    <row r="793" ht="15.75" customHeight="1">
      <c r="I793" s="117"/>
      <c r="K793" s="117"/>
      <c r="L793" s="118"/>
    </row>
    <row r="794" ht="15.75" customHeight="1">
      <c r="I794" s="117"/>
      <c r="K794" s="117"/>
      <c r="L794" s="118"/>
    </row>
    <row r="795" ht="15.75" customHeight="1">
      <c r="I795" s="117"/>
      <c r="K795" s="117"/>
      <c r="L795" s="118"/>
    </row>
    <row r="796" ht="15.75" customHeight="1">
      <c r="I796" s="117"/>
      <c r="K796" s="117"/>
      <c r="L796" s="118"/>
    </row>
    <row r="797" ht="15.75" customHeight="1">
      <c r="I797" s="117"/>
      <c r="K797" s="117"/>
      <c r="L797" s="118"/>
    </row>
    <row r="798" ht="15.75" customHeight="1">
      <c r="I798" s="117"/>
      <c r="K798" s="117"/>
      <c r="L798" s="118"/>
    </row>
    <row r="799" ht="15.75" customHeight="1">
      <c r="I799" s="117"/>
      <c r="K799" s="117"/>
      <c r="L799" s="118"/>
    </row>
    <row r="800" ht="15.75" customHeight="1">
      <c r="I800" s="117"/>
      <c r="K800" s="117"/>
      <c r="L800" s="118"/>
    </row>
    <row r="801" ht="15.75" customHeight="1">
      <c r="I801" s="117"/>
      <c r="K801" s="117"/>
      <c r="L801" s="118"/>
    </row>
    <row r="802" ht="15.75" customHeight="1">
      <c r="I802" s="117"/>
      <c r="K802" s="117"/>
      <c r="L802" s="118"/>
    </row>
    <row r="803" ht="15.75" customHeight="1">
      <c r="I803" s="117"/>
      <c r="K803" s="117"/>
      <c r="L803" s="118"/>
    </row>
    <row r="804" ht="15.75" customHeight="1">
      <c r="I804" s="117"/>
      <c r="K804" s="117"/>
      <c r="L804" s="118"/>
    </row>
    <row r="805" ht="15.75" customHeight="1">
      <c r="I805" s="117"/>
      <c r="K805" s="117"/>
      <c r="L805" s="118"/>
    </row>
    <row r="806" ht="15.75" customHeight="1">
      <c r="I806" s="117"/>
      <c r="K806" s="117"/>
      <c r="L806" s="118"/>
    </row>
    <row r="807" ht="15.75" customHeight="1">
      <c r="I807" s="117"/>
      <c r="K807" s="117"/>
      <c r="L807" s="118"/>
    </row>
    <row r="808" ht="15.75" customHeight="1">
      <c r="I808" s="117"/>
      <c r="K808" s="117"/>
      <c r="L808" s="118"/>
    </row>
    <row r="809" ht="15.75" customHeight="1">
      <c r="I809" s="117"/>
      <c r="K809" s="117"/>
      <c r="L809" s="118"/>
    </row>
    <row r="810" ht="15.75" customHeight="1">
      <c r="I810" s="117"/>
      <c r="K810" s="117"/>
      <c r="L810" s="118"/>
    </row>
    <row r="811" ht="15.75" customHeight="1">
      <c r="I811" s="117"/>
      <c r="K811" s="117"/>
      <c r="L811" s="118"/>
    </row>
    <row r="812" ht="15.75" customHeight="1">
      <c r="I812" s="117"/>
      <c r="K812" s="117"/>
      <c r="L812" s="118"/>
    </row>
    <row r="813" ht="15.75" customHeight="1">
      <c r="I813" s="117"/>
      <c r="K813" s="117"/>
      <c r="L813" s="118"/>
    </row>
    <row r="814" ht="15.75" customHeight="1">
      <c r="I814" s="117"/>
      <c r="K814" s="117"/>
      <c r="L814" s="118"/>
    </row>
    <row r="815" ht="15.75" customHeight="1">
      <c r="I815" s="117"/>
      <c r="K815" s="117"/>
      <c r="L815" s="118"/>
    </row>
    <row r="816" ht="15.75" customHeight="1">
      <c r="I816" s="117"/>
      <c r="K816" s="117"/>
      <c r="L816" s="118"/>
    </row>
    <row r="817" ht="15.75" customHeight="1">
      <c r="I817" s="117"/>
      <c r="K817" s="117"/>
      <c r="L817" s="118"/>
    </row>
    <row r="818" ht="15.75" customHeight="1">
      <c r="I818" s="117"/>
      <c r="K818" s="117"/>
      <c r="L818" s="118"/>
    </row>
    <row r="819" ht="15.75" customHeight="1">
      <c r="I819" s="117"/>
      <c r="K819" s="117"/>
      <c r="L819" s="118"/>
    </row>
    <row r="820" ht="15.75" customHeight="1">
      <c r="I820" s="117"/>
      <c r="K820" s="117"/>
      <c r="L820" s="118"/>
    </row>
    <row r="821" ht="15.75" customHeight="1">
      <c r="I821" s="117"/>
      <c r="K821" s="117"/>
      <c r="L821" s="118"/>
    </row>
    <row r="822" ht="15.75" customHeight="1">
      <c r="I822" s="117"/>
      <c r="K822" s="117"/>
      <c r="L822" s="118"/>
    </row>
    <row r="823" ht="15.75" customHeight="1">
      <c r="I823" s="117"/>
      <c r="K823" s="117"/>
      <c r="L823" s="118"/>
    </row>
    <row r="824" ht="15.75" customHeight="1">
      <c r="I824" s="117"/>
      <c r="K824" s="117"/>
      <c r="L824" s="118"/>
    </row>
    <row r="825" ht="15.75" customHeight="1">
      <c r="I825" s="117"/>
      <c r="K825" s="117"/>
      <c r="L825" s="118"/>
    </row>
    <row r="826" ht="15.75" customHeight="1">
      <c r="I826" s="117"/>
      <c r="K826" s="117"/>
      <c r="L826" s="118"/>
    </row>
    <row r="827" ht="15.75" customHeight="1">
      <c r="I827" s="117"/>
      <c r="K827" s="117"/>
      <c r="L827" s="118"/>
    </row>
    <row r="828" ht="15.75" customHeight="1">
      <c r="I828" s="117"/>
      <c r="K828" s="117"/>
      <c r="L828" s="118"/>
    </row>
    <row r="829" ht="15.75" customHeight="1">
      <c r="I829" s="117"/>
      <c r="K829" s="117"/>
      <c r="L829" s="118"/>
    </row>
    <row r="830" ht="15.75" customHeight="1">
      <c r="I830" s="117"/>
      <c r="K830" s="117"/>
      <c r="L830" s="118"/>
    </row>
    <row r="831" ht="15.75" customHeight="1">
      <c r="I831" s="117"/>
      <c r="K831" s="117"/>
      <c r="L831" s="118"/>
    </row>
    <row r="832" ht="15.75" customHeight="1">
      <c r="I832" s="117"/>
      <c r="K832" s="117"/>
      <c r="L832" s="118"/>
    </row>
    <row r="833" ht="15.75" customHeight="1">
      <c r="I833" s="117"/>
      <c r="K833" s="117"/>
      <c r="L833" s="118"/>
    </row>
    <row r="834" ht="15.75" customHeight="1">
      <c r="I834" s="117"/>
      <c r="K834" s="117"/>
      <c r="L834" s="118"/>
    </row>
    <row r="835" ht="15.75" customHeight="1">
      <c r="I835" s="117"/>
      <c r="K835" s="117"/>
      <c r="L835" s="118"/>
    </row>
    <row r="836" ht="15.75" customHeight="1">
      <c r="I836" s="117"/>
      <c r="K836" s="117"/>
      <c r="L836" s="118"/>
    </row>
    <row r="837" ht="15.75" customHeight="1">
      <c r="I837" s="117"/>
      <c r="K837" s="117"/>
      <c r="L837" s="118"/>
    </row>
    <row r="838" ht="15.75" customHeight="1">
      <c r="I838" s="117"/>
      <c r="K838" s="117"/>
      <c r="L838" s="118"/>
    </row>
    <row r="839" ht="15.75" customHeight="1">
      <c r="I839" s="117"/>
      <c r="K839" s="117"/>
      <c r="L839" s="118"/>
    </row>
    <row r="840" ht="15.75" customHeight="1">
      <c r="I840" s="117"/>
      <c r="K840" s="117"/>
      <c r="L840" s="118"/>
    </row>
    <row r="841" ht="15.75" customHeight="1">
      <c r="I841" s="117"/>
      <c r="K841" s="117"/>
      <c r="L841" s="118"/>
    </row>
    <row r="842" ht="15.75" customHeight="1">
      <c r="I842" s="117"/>
      <c r="K842" s="117"/>
      <c r="L842" s="118"/>
    </row>
    <row r="843" ht="15.75" customHeight="1">
      <c r="I843" s="117"/>
      <c r="K843" s="117"/>
      <c r="L843" s="118"/>
    </row>
    <row r="844" ht="15.75" customHeight="1">
      <c r="I844" s="117"/>
      <c r="K844" s="117"/>
      <c r="L844" s="118"/>
    </row>
    <row r="845" ht="15.75" customHeight="1">
      <c r="I845" s="117"/>
      <c r="K845" s="117"/>
      <c r="L845" s="118"/>
    </row>
    <row r="846" ht="15.75" customHeight="1">
      <c r="I846" s="117"/>
      <c r="K846" s="117"/>
      <c r="L846" s="118"/>
    </row>
    <row r="847" ht="15.75" customHeight="1">
      <c r="I847" s="117"/>
      <c r="K847" s="117"/>
      <c r="L847" s="118"/>
    </row>
    <row r="848" ht="15.75" customHeight="1">
      <c r="I848" s="117"/>
      <c r="K848" s="117"/>
      <c r="L848" s="118"/>
    </row>
    <row r="849" ht="15.75" customHeight="1">
      <c r="I849" s="117"/>
      <c r="K849" s="117"/>
      <c r="L849" s="118"/>
    </row>
    <row r="850" ht="15.75" customHeight="1">
      <c r="I850" s="117"/>
      <c r="K850" s="117"/>
      <c r="L850" s="118"/>
    </row>
    <row r="851" ht="15.75" customHeight="1">
      <c r="I851" s="117"/>
      <c r="K851" s="117"/>
      <c r="L851" s="118"/>
    </row>
    <row r="852" ht="15.75" customHeight="1">
      <c r="I852" s="117"/>
      <c r="K852" s="117"/>
      <c r="L852" s="118"/>
    </row>
    <row r="853" ht="15.75" customHeight="1">
      <c r="I853" s="117"/>
      <c r="K853" s="117"/>
      <c r="L853" s="118"/>
    </row>
    <row r="854" ht="15.75" customHeight="1">
      <c r="I854" s="117"/>
      <c r="K854" s="117"/>
      <c r="L854" s="118"/>
    </row>
    <row r="855" ht="15.75" customHeight="1">
      <c r="I855" s="117"/>
      <c r="K855" s="117"/>
      <c r="L855" s="118"/>
    </row>
    <row r="856" ht="15.75" customHeight="1">
      <c r="I856" s="117"/>
      <c r="K856" s="117"/>
      <c r="L856" s="118"/>
    </row>
    <row r="857" ht="15.75" customHeight="1">
      <c r="I857" s="117"/>
      <c r="K857" s="117"/>
      <c r="L857" s="118"/>
    </row>
    <row r="858" ht="15.75" customHeight="1">
      <c r="I858" s="117"/>
      <c r="K858" s="117"/>
      <c r="L858" s="118"/>
    </row>
    <row r="859" ht="15.75" customHeight="1">
      <c r="I859" s="117"/>
      <c r="K859" s="117"/>
      <c r="L859" s="118"/>
    </row>
    <row r="860" ht="15.75" customHeight="1">
      <c r="I860" s="117"/>
      <c r="K860" s="117"/>
      <c r="L860" s="118"/>
    </row>
    <row r="861" ht="15.75" customHeight="1">
      <c r="I861" s="117"/>
      <c r="K861" s="117"/>
      <c r="L861" s="118"/>
    </row>
    <row r="862" ht="15.75" customHeight="1">
      <c r="I862" s="117"/>
      <c r="K862" s="117"/>
      <c r="L862" s="118"/>
    </row>
    <row r="863" ht="15.75" customHeight="1">
      <c r="I863" s="117"/>
      <c r="K863" s="117"/>
      <c r="L863" s="118"/>
    </row>
    <row r="864" ht="15.75" customHeight="1">
      <c r="I864" s="117"/>
      <c r="K864" s="117"/>
      <c r="L864" s="118"/>
    </row>
    <row r="865" ht="15.75" customHeight="1">
      <c r="I865" s="117"/>
      <c r="K865" s="117"/>
      <c r="L865" s="118"/>
    </row>
    <row r="866" ht="15.75" customHeight="1">
      <c r="I866" s="117"/>
      <c r="K866" s="117"/>
      <c r="L866" s="118"/>
    </row>
    <row r="867" ht="15.75" customHeight="1">
      <c r="I867" s="117"/>
      <c r="K867" s="117"/>
      <c r="L867" s="118"/>
    </row>
    <row r="868" ht="15.75" customHeight="1">
      <c r="I868" s="117"/>
      <c r="K868" s="117"/>
      <c r="L868" s="118"/>
    </row>
    <row r="869" ht="15.75" customHeight="1">
      <c r="I869" s="117"/>
      <c r="K869" s="117"/>
      <c r="L869" s="118"/>
    </row>
    <row r="870" ht="15.75" customHeight="1">
      <c r="I870" s="117"/>
      <c r="K870" s="117"/>
      <c r="L870" s="118"/>
    </row>
    <row r="871" ht="15.75" customHeight="1">
      <c r="I871" s="117"/>
      <c r="K871" s="117"/>
      <c r="L871" s="118"/>
    </row>
    <row r="872" ht="15.75" customHeight="1">
      <c r="I872" s="117"/>
      <c r="K872" s="117"/>
      <c r="L872" s="118"/>
    </row>
    <row r="873" ht="15.75" customHeight="1">
      <c r="I873" s="117"/>
      <c r="K873" s="117"/>
      <c r="L873" s="118"/>
    </row>
    <row r="874" ht="15.75" customHeight="1">
      <c r="I874" s="117"/>
      <c r="K874" s="117"/>
      <c r="L874" s="118"/>
    </row>
    <row r="875" ht="15.75" customHeight="1">
      <c r="I875" s="117"/>
      <c r="K875" s="117"/>
      <c r="L875" s="118"/>
    </row>
    <row r="876" ht="15.75" customHeight="1">
      <c r="I876" s="117"/>
      <c r="K876" s="117"/>
      <c r="L876" s="118"/>
    </row>
    <row r="877" ht="15.75" customHeight="1">
      <c r="I877" s="117"/>
      <c r="K877" s="117"/>
      <c r="L877" s="118"/>
    </row>
    <row r="878" ht="15.75" customHeight="1">
      <c r="I878" s="117"/>
      <c r="K878" s="117"/>
      <c r="L878" s="118"/>
    </row>
    <row r="879" ht="15.75" customHeight="1">
      <c r="I879" s="117"/>
      <c r="K879" s="117"/>
      <c r="L879" s="118"/>
    </row>
    <row r="880" ht="15.75" customHeight="1">
      <c r="I880" s="117"/>
      <c r="K880" s="117"/>
      <c r="L880" s="118"/>
    </row>
    <row r="881" ht="15.75" customHeight="1">
      <c r="I881" s="117"/>
      <c r="K881" s="117"/>
      <c r="L881" s="118"/>
    </row>
    <row r="882" ht="15.75" customHeight="1">
      <c r="I882" s="117"/>
      <c r="K882" s="117"/>
      <c r="L882" s="118"/>
    </row>
    <row r="883" ht="15.75" customHeight="1">
      <c r="I883" s="117"/>
      <c r="K883" s="117"/>
      <c r="L883" s="118"/>
    </row>
    <row r="884" ht="15.75" customHeight="1">
      <c r="I884" s="117"/>
      <c r="K884" s="117"/>
      <c r="L884" s="118"/>
    </row>
    <row r="885" ht="15.75" customHeight="1">
      <c r="I885" s="117"/>
      <c r="K885" s="117"/>
      <c r="L885" s="118"/>
    </row>
    <row r="886" ht="15.75" customHeight="1">
      <c r="I886" s="117"/>
      <c r="K886" s="117"/>
      <c r="L886" s="118"/>
    </row>
    <row r="887" ht="15.75" customHeight="1">
      <c r="I887" s="117"/>
      <c r="K887" s="117"/>
      <c r="L887" s="118"/>
    </row>
    <row r="888" ht="15.75" customHeight="1">
      <c r="I888" s="117"/>
      <c r="K888" s="117"/>
      <c r="L888" s="118"/>
    </row>
    <row r="889" ht="15.75" customHeight="1">
      <c r="I889" s="117"/>
      <c r="K889" s="117"/>
      <c r="L889" s="118"/>
    </row>
    <row r="890" ht="15.75" customHeight="1">
      <c r="I890" s="117"/>
      <c r="K890" s="117"/>
      <c r="L890" s="118"/>
    </row>
    <row r="891" ht="15.75" customHeight="1">
      <c r="I891" s="117"/>
      <c r="K891" s="117"/>
      <c r="L891" s="118"/>
    </row>
    <row r="892" ht="15.75" customHeight="1">
      <c r="I892" s="117"/>
      <c r="K892" s="117"/>
      <c r="L892" s="118"/>
    </row>
    <row r="893" ht="15.75" customHeight="1">
      <c r="I893" s="117"/>
      <c r="K893" s="117"/>
      <c r="L893" s="118"/>
    </row>
    <row r="894" ht="15.75" customHeight="1">
      <c r="I894" s="117"/>
      <c r="K894" s="117"/>
      <c r="L894" s="118"/>
    </row>
    <row r="895" ht="15.75" customHeight="1">
      <c r="I895" s="117"/>
      <c r="K895" s="117"/>
      <c r="L895" s="118"/>
    </row>
    <row r="896" ht="15.75" customHeight="1">
      <c r="I896" s="117"/>
      <c r="K896" s="117"/>
      <c r="L896" s="118"/>
    </row>
    <row r="897" ht="15.75" customHeight="1">
      <c r="I897" s="117"/>
      <c r="K897" s="117"/>
      <c r="L897" s="118"/>
    </row>
    <row r="898" ht="15.75" customHeight="1">
      <c r="I898" s="117"/>
      <c r="K898" s="117"/>
      <c r="L898" s="118"/>
    </row>
    <row r="899" ht="15.75" customHeight="1">
      <c r="I899" s="117"/>
      <c r="K899" s="117"/>
      <c r="L899" s="118"/>
    </row>
    <row r="900" ht="15.75" customHeight="1">
      <c r="I900" s="117"/>
      <c r="K900" s="117"/>
      <c r="L900" s="118"/>
    </row>
    <row r="901" ht="15.75" customHeight="1">
      <c r="I901" s="117"/>
      <c r="K901" s="117"/>
      <c r="L901" s="118"/>
    </row>
    <row r="902" ht="15.75" customHeight="1">
      <c r="I902" s="117"/>
      <c r="K902" s="117"/>
      <c r="L902" s="118"/>
    </row>
    <row r="903" ht="15.75" customHeight="1">
      <c r="I903" s="117"/>
      <c r="K903" s="117"/>
      <c r="L903" s="118"/>
    </row>
    <row r="904" ht="15.75" customHeight="1">
      <c r="I904" s="117"/>
      <c r="K904" s="117"/>
      <c r="L904" s="118"/>
    </row>
    <row r="905" ht="15.75" customHeight="1">
      <c r="I905" s="117"/>
      <c r="K905" s="117"/>
      <c r="L905" s="118"/>
    </row>
    <row r="906" ht="15.75" customHeight="1">
      <c r="I906" s="117"/>
      <c r="K906" s="117"/>
      <c r="L906" s="118"/>
    </row>
    <row r="907" ht="15.75" customHeight="1">
      <c r="I907" s="117"/>
      <c r="K907" s="117"/>
      <c r="L907" s="118"/>
    </row>
    <row r="908" ht="15.75" customHeight="1">
      <c r="I908" s="117"/>
      <c r="K908" s="117"/>
      <c r="L908" s="118"/>
    </row>
    <row r="909" ht="15.75" customHeight="1">
      <c r="I909" s="117"/>
      <c r="K909" s="117"/>
      <c r="L909" s="118"/>
    </row>
    <row r="910" ht="15.75" customHeight="1">
      <c r="I910" s="117"/>
      <c r="K910" s="117"/>
      <c r="L910" s="118"/>
    </row>
    <row r="911" ht="15.75" customHeight="1">
      <c r="I911" s="117"/>
      <c r="K911" s="117"/>
      <c r="L911" s="118"/>
    </row>
    <row r="912" ht="15.75" customHeight="1">
      <c r="I912" s="117"/>
      <c r="K912" s="117"/>
      <c r="L912" s="118"/>
    </row>
    <row r="913" ht="15.75" customHeight="1">
      <c r="I913" s="117"/>
      <c r="K913" s="117"/>
      <c r="L913" s="118"/>
    </row>
    <row r="914" ht="15.75" customHeight="1">
      <c r="I914" s="117"/>
      <c r="K914" s="117"/>
      <c r="L914" s="118"/>
    </row>
    <row r="915" ht="15.75" customHeight="1">
      <c r="I915" s="117"/>
      <c r="K915" s="117"/>
      <c r="L915" s="118"/>
    </row>
    <row r="916" ht="15.75" customHeight="1">
      <c r="I916" s="117"/>
      <c r="K916" s="117"/>
      <c r="L916" s="118"/>
    </row>
    <row r="917" ht="15.75" customHeight="1">
      <c r="I917" s="117"/>
      <c r="K917" s="117"/>
      <c r="L917" s="118"/>
    </row>
    <row r="918" ht="15.75" customHeight="1">
      <c r="I918" s="117"/>
      <c r="K918" s="117"/>
      <c r="L918" s="118"/>
    </row>
    <row r="919" ht="15.75" customHeight="1">
      <c r="I919" s="117"/>
      <c r="K919" s="117"/>
      <c r="L919" s="118"/>
    </row>
    <row r="920" ht="15.75" customHeight="1">
      <c r="I920" s="117"/>
      <c r="K920" s="117"/>
      <c r="L920" s="118"/>
    </row>
    <row r="921" ht="15.75" customHeight="1">
      <c r="I921" s="117"/>
      <c r="K921" s="117"/>
      <c r="L921" s="118"/>
    </row>
    <row r="922" ht="15.75" customHeight="1">
      <c r="I922" s="117"/>
      <c r="K922" s="117"/>
      <c r="L922" s="118"/>
    </row>
    <row r="923" ht="15.75" customHeight="1">
      <c r="I923" s="117"/>
      <c r="K923" s="117"/>
      <c r="L923" s="118"/>
    </row>
    <row r="924" ht="15.75" customHeight="1">
      <c r="I924" s="117"/>
      <c r="K924" s="117"/>
      <c r="L924" s="118"/>
    </row>
    <row r="925" ht="15.75" customHeight="1">
      <c r="I925" s="117"/>
      <c r="K925" s="117"/>
      <c r="L925" s="118"/>
    </row>
    <row r="926" ht="15.75" customHeight="1">
      <c r="I926" s="117"/>
      <c r="K926" s="117"/>
      <c r="L926" s="118"/>
    </row>
    <row r="927" ht="15.75" customHeight="1">
      <c r="I927" s="117"/>
      <c r="K927" s="117"/>
      <c r="L927" s="118"/>
    </row>
    <row r="928" ht="15.75" customHeight="1">
      <c r="I928" s="117"/>
      <c r="K928" s="117"/>
      <c r="L928" s="118"/>
    </row>
    <row r="929" ht="15.75" customHeight="1">
      <c r="I929" s="117"/>
      <c r="K929" s="117"/>
      <c r="L929" s="118"/>
    </row>
    <row r="930" ht="15.75" customHeight="1">
      <c r="I930" s="117"/>
      <c r="K930" s="117"/>
      <c r="L930" s="118"/>
    </row>
    <row r="931" ht="15.75" customHeight="1">
      <c r="I931" s="117"/>
      <c r="K931" s="117"/>
      <c r="L931" s="118"/>
    </row>
    <row r="932" ht="15.75" customHeight="1">
      <c r="I932" s="117"/>
      <c r="K932" s="117"/>
      <c r="L932" s="118"/>
    </row>
    <row r="933" ht="15.75" customHeight="1">
      <c r="I933" s="117"/>
      <c r="K933" s="117"/>
      <c r="L933" s="118"/>
    </row>
    <row r="934" ht="15.75" customHeight="1">
      <c r="I934" s="117"/>
      <c r="K934" s="117"/>
      <c r="L934" s="118"/>
    </row>
    <row r="935" ht="15.75" customHeight="1">
      <c r="I935" s="117"/>
      <c r="K935" s="117"/>
      <c r="L935" s="118"/>
    </row>
    <row r="936" ht="15.75" customHeight="1">
      <c r="I936" s="117"/>
      <c r="K936" s="117"/>
      <c r="L936" s="118"/>
    </row>
    <row r="937" ht="15.75" customHeight="1">
      <c r="I937" s="117"/>
      <c r="K937" s="117"/>
      <c r="L937" s="118"/>
    </row>
    <row r="938" ht="15.75" customHeight="1">
      <c r="I938" s="117"/>
      <c r="K938" s="117"/>
      <c r="L938" s="118"/>
    </row>
    <row r="939" ht="15.75" customHeight="1">
      <c r="I939" s="117"/>
      <c r="K939" s="117"/>
      <c r="L939" s="118"/>
    </row>
    <row r="940" ht="15.75" customHeight="1">
      <c r="I940" s="117"/>
      <c r="K940" s="117"/>
      <c r="L940" s="118"/>
    </row>
    <row r="941" ht="15.75" customHeight="1">
      <c r="I941" s="117"/>
      <c r="K941" s="117"/>
      <c r="L941" s="118"/>
    </row>
    <row r="942" ht="15.75" customHeight="1">
      <c r="I942" s="117"/>
      <c r="K942" s="117"/>
      <c r="L942" s="118"/>
    </row>
    <row r="943" ht="15.75" customHeight="1">
      <c r="I943" s="117"/>
      <c r="K943" s="117"/>
      <c r="L943" s="118"/>
    </row>
    <row r="944" ht="15.75" customHeight="1">
      <c r="I944" s="117"/>
      <c r="K944" s="117"/>
      <c r="L944" s="118"/>
    </row>
    <row r="945" ht="15.75" customHeight="1">
      <c r="I945" s="117"/>
      <c r="K945" s="117"/>
      <c r="L945" s="118"/>
    </row>
    <row r="946" ht="15.75" customHeight="1">
      <c r="I946" s="117"/>
      <c r="K946" s="117"/>
      <c r="L946" s="118"/>
    </row>
    <row r="947" ht="15.75" customHeight="1">
      <c r="I947" s="117"/>
      <c r="K947" s="117"/>
      <c r="L947" s="118"/>
    </row>
    <row r="948" ht="15.75" customHeight="1">
      <c r="I948" s="117"/>
      <c r="K948" s="117"/>
      <c r="L948" s="118"/>
    </row>
    <row r="949" ht="15.75" customHeight="1">
      <c r="I949" s="117"/>
      <c r="K949" s="117"/>
      <c r="L949" s="118"/>
    </row>
    <row r="950" ht="15.75" customHeight="1">
      <c r="I950" s="117"/>
      <c r="K950" s="117"/>
      <c r="L950" s="118"/>
    </row>
    <row r="951" ht="15.75" customHeight="1">
      <c r="I951" s="117"/>
      <c r="K951" s="117"/>
      <c r="L951" s="118"/>
    </row>
    <row r="952" ht="15.75" customHeight="1">
      <c r="I952" s="117"/>
      <c r="K952" s="117"/>
      <c r="L952" s="118"/>
    </row>
    <row r="953" ht="15.75" customHeight="1">
      <c r="I953" s="117"/>
      <c r="K953" s="117"/>
      <c r="L953" s="118"/>
    </row>
    <row r="954" ht="15.75" customHeight="1">
      <c r="I954" s="117"/>
      <c r="K954" s="117"/>
      <c r="L954" s="118"/>
    </row>
    <row r="955" ht="15.75" customHeight="1">
      <c r="I955" s="117"/>
      <c r="K955" s="117"/>
      <c r="L955" s="118"/>
    </row>
    <row r="956" ht="15.75" customHeight="1">
      <c r="I956" s="117"/>
      <c r="K956" s="117"/>
      <c r="L956" s="118"/>
    </row>
    <row r="957" ht="15.75" customHeight="1">
      <c r="I957" s="117"/>
      <c r="K957" s="117"/>
      <c r="L957" s="118"/>
    </row>
    <row r="958" ht="15.75" customHeight="1">
      <c r="I958" s="117"/>
      <c r="K958" s="117"/>
      <c r="L958" s="118"/>
    </row>
    <row r="959" ht="15.75" customHeight="1">
      <c r="I959" s="117"/>
      <c r="K959" s="117"/>
      <c r="L959" s="118"/>
    </row>
  </sheetData>
  <mergeCells count="15">
    <mergeCell ref="H4:H9"/>
    <mergeCell ref="I4:I9"/>
    <mergeCell ref="J4:J9"/>
    <mergeCell ref="K4:K9"/>
    <mergeCell ref="L4:L9"/>
    <mergeCell ref="M4:M9"/>
    <mergeCell ref="A10:B10"/>
    <mergeCell ref="A11:B11"/>
    <mergeCell ref="A4:A9"/>
    <mergeCell ref="B4:B9"/>
    <mergeCell ref="C4:C9"/>
    <mergeCell ref="D4:D9"/>
    <mergeCell ref="E4:E9"/>
    <mergeCell ref="F4:F9"/>
    <mergeCell ref="G4:G9"/>
  </mergeCells>
  <conditionalFormatting sqref="F11:F24">
    <cfRule type="cellIs" dxfId="8" priority="1" operator="equal">
      <formula>"Positive"</formula>
    </cfRule>
  </conditionalFormatting>
  <conditionalFormatting sqref="F11:F24">
    <cfRule type="containsText" dxfId="9" priority="2" operator="containsText" text="Negative">
      <formula>NOT(ISERROR(SEARCH(("Negative"),(F11))))</formula>
    </cfRule>
  </conditionalFormatting>
  <conditionalFormatting sqref="G10:M11">
    <cfRule type="cellIs" dxfId="4" priority="3" operator="equal">
      <formula>"Positive"</formula>
    </cfRule>
  </conditionalFormatting>
  <conditionalFormatting sqref="G10:M11">
    <cfRule type="containsText" dxfId="5" priority="4" operator="containsText" text="Negative">
      <formula>NOT(ISERROR(SEARCH(("Negative"),(G10))))</formula>
    </cfRule>
  </conditionalFormatting>
  <conditionalFormatting sqref="G11:G24">
    <cfRule type="containsText" dxfId="10" priority="5" operator="containsText" text="High">
      <formula>NOT(ISERROR(SEARCH(("High"),(G11))))</formula>
    </cfRule>
  </conditionalFormatting>
  <conditionalFormatting sqref="G11:G24">
    <cfRule type="cellIs" dxfId="11" priority="6" operator="equal">
      <formula>"Medium"</formula>
    </cfRule>
  </conditionalFormatting>
  <conditionalFormatting sqref="G11:G24">
    <cfRule type="containsText" dxfId="12" priority="7" operator="containsText" text="Low">
      <formula>NOT(ISERROR(SEARCH(("Low"),(G11))))</formula>
    </cfRule>
  </conditionalFormatting>
  <conditionalFormatting sqref="L1:L24">
    <cfRule type="containsText" dxfId="13" priority="8" operator="containsText" text="Deferred">
      <formula>NOT(ISERROR(SEARCH(("Deferred"),(L1))))</formula>
    </cfRule>
  </conditionalFormatting>
  <conditionalFormatting sqref="L1:L24">
    <cfRule type="containsText" dxfId="14" priority="9" operator="containsText" text="Not Start">
      <formula>NOT(ISERROR(SEARCH(("Not Start"),(L1))))</formula>
    </cfRule>
  </conditionalFormatting>
  <conditionalFormatting sqref="L1:L24">
    <cfRule type="containsText" dxfId="15" priority="10" operator="containsText" text="Blocked">
      <formula>NOT(ISERROR(SEARCH(("Blocked"),(L1))))</formula>
    </cfRule>
  </conditionalFormatting>
  <conditionalFormatting sqref="L1:L24">
    <cfRule type="containsText" dxfId="6" priority="11" operator="containsText" text="FAIL">
      <formula>NOT(ISERROR(SEARCH(("FAIL"),(L1))))</formula>
    </cfRule>
  </conditionalFormatting>
  <conditionalFormatting sqref="L1:L24">
    <cfRule type="cellIs" dxfId="7" priority="12" operator="equal">
      <formula>"PASS"</formula>
    </cfRule>
  </conditionalFormatting>
  <conditionalFormatting sqref="L11:L24">
    <cfRule type="cellIs" dxfId="16" priority="13" operator="equal">
      <formula>"N/A"</formula>
    </cfRule>
  </conditionalFormatting>
  <conditionalFormatting sqref="L11:L24">
    <cfRule type="containsText" dxfId="17" priority="14" operator="containsText" text="N/A">
      <formula>NOT(ISERROR(SEARCH(("N/A"),(L11))))</formula>
    </cfRule>
  </conditionalFormatting>
  <conditionalFormatting sqref="L11:L24">
    <cfRule type="containsText" dxfId="18" priority="15" operator="containsText" text="In Progress">
      <formula>NOT(ISERROR(SEARCH(("In Progress"),(L11))))</formula>
    </cfRule>
  </conditionalFormatting>
  <conditionalFormatting sqref="M10:M11">
    <cfRule type="expression" dxfId="6" priority="16" stopIfTrue="1">
      <formula>NOT(ISERROR(SEARCH("Negative",M10)))</formula>
    </cfRule>
  </conditionalFormatting>
  <conditionalFormatting sqref="M10:M11">
    <cfRule type="expression" dxfId="7" priority="17" stopIfTrue="1">
      <formula>NOT(ISERROR(SEARCH("Positive",M10)))</formula>
    </cfRule>
  </conditionalFormatting>
  <conditionalFormatting sqref="L1:L959">
    <cfRule type="cellIs" dxfId="19" priority="18" operator="equal">
      <formula>"In Progress"</formula>
    </cfRule>
  </conditionalFormatting>
  <conditionalFormatting sqref="G10:M11">
    <cfRule type="expression" dxfId="6" priority="19" stopIfTrue="1">
      <formula>NOT(ISERROR(SEARCH("Negative",G10)))</formula>
    </cfRule>
  </conditionalFormatting>
  <conditionalFormatting sqref="G10:M11">
    <cfRule type="expression" dxfId="7" priority="20" stopIfTrue="1">
      <formula>NOT(ISERROR(SEARCH("Positive",G10)))</formula>
    </cfRule>
  </conditionalFormatting>
  <dataValidations>
    <dataValidation type="list" allowBlank="1" sqref="L12:L24">
      <formula1>"PASS,FAIL,In Progress,Blocked,Not Start,N/A,Deferred"</formula1>
    </dataValidation>
    <dataValidation type="list" allowBlank="1" showErrorMessage="1" sqref="F12:F24">
      <formula1>"Positive,Negative"</formula1>
    </dataValidation>
    <dataValidation type="list" allowBlank="1" showErrorMessage="1" sqref="G12:G24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 outlineLevelRow="1"/>
  <cols>
    <col customWidth="1" min="1" max="1" width="37.0"/>
    <col customWidth="1" min="2" max="2" width="66.13"/>
    <col customWidth="1" hidden="1" min="3" max="3" width="47.38"/>
    <col customWidth="1" hidden="1" min="4" max="4" width="49.88"/>
    <col customWidth="1" min="5" max="5" width="69.75"/>
    <col customWidth="1" hidden="1" min="6" max="6" width="9.88"/>
    <col customWidth="1" hidden="1" min="7" max="7" width="10.88"/>
    <col customWidth="1" hidden="1" min="8" max="8" width="30.13"/>
    <col customWidth="1" min="9" max="9" width="30.13"/>
    <col customWidth="1" hidden="1" min="10" max="10" width="30.13"/>
    <col customWidth="1" min="11" max="11" width="30.13"/>
    <col customWidth="1" min="12" max="12" width="31.25"/>
    <col customWidth="1" min="13" max="13" width="30.13"/>
    <col customWidth="1" min="14" max="20" width="8.63"/>
  </cols>
  <sheetData>
    <row r="1" ht="12.75" customHeight="1">
      <c r="B1" s="7" t="str">
        <f>HYPERLINK("#Document!A1", "Refer to sheet Document")</f>
        <v>Refer to sheet Document</v>
      </c>
      <c r="C1" s="9"/>
      <c r="D1" s="9"/>
      <c r="E1" s="9"/>
      <c r="F1" s="12"/>
      <c r="G1" s="13"/>
      <c r="H1" s="13"/>
      <c r="I1" s="13"/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</row>
    <row r="2">
      <c r="A2" s="17"/>
      <c r="B2" s="9"/>
      <c r="C2" s="19"/>
      <c r="D2" s="9"/>
      <c r="E2" s="9"/>
      <c r="F2" s="12"/>
      <c r="G2" s="13"/>
      <c r="H2" s="13"/>
      <c r="I2" s="13"/>
      <c r="J2" s="13"/>
      <c r="K2" s="13"/>
      <c r="L2" s="13"/>
      <c r="M2" s="16"/>
      <c r="N2" s="13"/>
      <c r="O2" s="13"/>
      <c r="P2" s="13"/>
      <c r="Q2" s="13"/>
      <c r="R2" s="13"/>
      <c r="S2" s="13"/>
      <c r="T2" s="13"/>
    </row>
    <row r="3">
      <c r="A3" s="23" t="s">
        <v>17</v>
      </c>
      <c r="B3" s="23">
        <f>COUNTIF(A12:A78,"TC_*")</f>
        <v>62</v>
      </c>
      <c r="C3" s="27"/>
      <c r="D3" s="27"/>
      <c r="E3" s="27"/>
      <c r="F3" s="28"/>
      <c r="G3" s="30"/>
      <c r="H3" s="30"/>
      <c r="I3" s="30"/>
      <c r="J3" s="30"/>
      <c r="K3" s="30"/>
      <c r="L3" s="30"/>
      <c r="M3" s="32"/>
      <c r="N3" s="13"/>
      <c r="O3" s="13"/>
      <c r="P3" s="13"/>
      <c r="Q3" s="13"/>
      <c r="R3" s="13"/>
      <c r="S3" s="13"/>
      <c r="T3" s="13"/>
    </row>
    <row r="4" ht="26.25" customHeight="1">
      <c r="A4" s="35" t="s">
        <v>26</v>
      </c>
      <c r="B4" s="35" t="s">
        <v>27</v>
      </c>
      <c r="C4" s="40" t="s">
        <v>28</v>
      </c>
      <c r="D4" s="35" t="s">
        <v>30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138" t="s">
        <v>645</v>
      </c>
      <c r="K4" s="35" t="s">
        <v>39</v>
      </c>
      <c r="L4" s="35" t="s">
        <v>40</v>
      </c>
      <c r="M4" s="35" t="s">
        <v>25</v>
      </c>
      <c r="N4" s="13"/>
      <c r="O4" s="13"/>
      <c r="P4" s="13"/>
      <c r="Q4" s="13"/>
      <c r="R4" s="13"/>
      <c r="S4" s="13"/>
      <c r="T4" s="13"/>
    </row>
    <row r="5" ht="39.0" customHeight="1">
      <c r="A5" s="46"/>
      <c r="B5" s="46"/>
      <c r="C5" s="48"/>
      <c r="D5" s="46"/>
      <c r="E5" s="46"/>
      <c r="F5" s="46"/>
      <c r="G5" s="46"/>
      <c r="H5" s="46"/>
      <c r="I5" s="46"/>
      <c r="J5" s="46"/>
      <c r="K5" s="46"/>
      <c r="L5" s="46"/>
      <c r="M5" s="46"/>
      <c r="N5" s="49"/>
      <c r="O5" s="49"/>
      <c r="P5" s="49"/>
      <c r="Q5" s="49"/>
      <c r="R5" s="49"/>
      <c r="S5" s="49"/>
      <c r="T5" s="49"/>
    </row>
    <row r="6" ht="42.0" customHeight="1">
      <c r="A6" s="46"/>
      <c r="B6" s="46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51"/>
      <c r="O6" s="51"/>
      <c r="P6" s="51"/>
      <c r="Q6" s="51"/>
      <c r="R6" s="51"/>
      <c r="S6" s="51"/>
      <c r="T6" s="51"/>
    </row>
    <row r="7" ht="58.5" customHeight="1">
      <c r="A7" s="46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51"/>
      <c r="O7" s="51"/>
      <c r="P7" s="51"/>
      <c r="Q7" s="51"/>
      <c r="R7" s="51"/>
      <c r="S7" s="51"/>
      <c r="T7" s="51"/>
    </row>
    <row r="8" ht="45.0" customHeight="1">
      <c r="A8" s="46"/>
      <c r="B8" s="46"/>
      <c r="C8" s="48"/>
      <c r="D8" s="46"/>
      <c r="E8" s="46"/>
      <c r="F8" s="46"/>
      <c r="G8" s="46"/>
      <c r="H8" s="46"/>
      <c r="I8" s="46"/>
      <c r="J8" s="46"/>
      <c r="K8" s="46"/>
      <c r="L8" s="46"/>
      <c r="M8" s="46"/>
      <c r="N8" s="51"/>
      <c r="O8" s="51"/>
      <c r="P8" s="51"/>
      <c r="Q8" s="51"/>
      <c r="R8" s="51"/>
      <c r="S8" s="51"/>
      <c r="T8" s="51"/>
    </row>
    <row r="9" ht="84.0" customHeight="1">
      <c r="A9" s="38"/>
      <c r="B9" s="38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1"/>
      <c r="O9" s="51"/>
      <c r="P9" s="51"/>
      <c r="Q9" s="51"/>
      <c r="R9" s="51"/>
      <c r="S9" s="51"/>
      <c r="T9" s="51"/>
    </row>
    <row r="10" ht="42.0" customHeight="1">
      <c r="A10" s="55" t="s">
        <v>646</v>
      </c>
      <c r="B10" s="10"/>
      <c r="C10" s="57"/>
      <c r="D10" s="58"/>
      <c r="E10" s="58"/>
      <c r="F10" s="58"/>
      <c r="G10" s="60"/>
      <c r="H10" s="60"/>
      <c r="I10" s="60"/>
      <c r="J10" s="60"/>
      <c r="K10" s="60"/>
      <c r="L10" s="60"/>
      <c r="M10" s="60"/>
      <c r="N10" s="49"/>
      <c r="O10" s="49"/>
      <c r="P10" s="49"/>
      <c r="Q10" s="49"/>
      <c r="R10" s="49"/>
      <c r="S10" s="49"/>
      <c r="T10" s="49"/>
    </row>
    <row r="11" ht="123.75" customHeight="1" outlineLevel="1">
      <c r="A11" s="70" t="str">
        <f t="shared" ref="A11:A29" si="1">"TC_User_Package_"&amp;(ROW()-ROW($A$11)+1)</f>
        <v>TC_User_Package_1</v>
      </c>
      <c r="B11" s="72" t="s">
        <v>647</v>
      </c>
      <c r="C11" s="73"/>
      <c r="D11" s="72"/>
      <c r="E11" s="92" t="s">
        <v>648</v>
      </c>
      <c r="F11" s="75" t="s">
        <v>56</v>
      </c>
      <c r="G11" s="76" t="s">
        <v>101</v>
      </c>
      <c r="H11" s="77"/>
      <c r="I11" s="79" t="s">
        <v>649</v>
      </c>
      <c r="J11" s="78"/>
      <c r="K11" s="139">
        <v>46237.0</v>
      </c>
      <c r="L11" s="82" t="s">
        <v>22</v>
      </c>
      <c r="M11" s="84"/>
      <c r="N11" s="86"/>
      <c r="O11" s="86"/>
      <c r="P11" s="86"/>
      <c r="Q11" s="86"/>
      <c r="R11" s="86"/>
      <c r="S11" s="86"/>
      <c r="T11" s="86"/>
    </row>
    <row r="12" ht="123.75" customHeight="1" outlineLevel="1">
      <c r="A12" s="70" t="str">
        <f t="shared" si="1"/>
        <v>TC_User_Package_2</v>
      </c>
      <c r="B12" s="72" t="s">
        <v>650</v>
      </c>
      <c r="C12" s="73"/>
      <c r="D12" s="72"/>
      <c r="E12" s="92" t="s">
        <v>651</v>
      </c>
      <c r="F12" s="75" t="s">
        <v>56</v>
      </c>
      <c r="G12" s="76" t="s">
        <v>101</v>
      </c>
      <c r="H12" s="77"/>
      <c r="I12" s="79" t="s">
        <v>649</v>
      </c>
      <c r="J12" s="78"/>
      <c r="K12" s="139">
        <v>46237.0</v>
      </c>
      <c r="L12" s="82" t="s">
        <v>22</v>
      </c>
      <c r="M12" s="84"/>
      <c r="N12" s="86"/>
      <c r="O12" s="86"/>
      <c r="P12" s="86"/>
      <c r="Q12" s="86"/>
      <c r="R12" s="86"/>
      <c r="S12" s="86"/>
      <c r="T12" s="86"/>
    </row>
    <row r="13" ht="123.75" customHeight="1" outlineLevel="1">
      <c r="A13" s="70" t="str">
        <f t="shared" si="1"/>
        <v>TC_User_Package_3</v>
      </c>
      <c r="B13" s="72" t="s">
        <v>652</v>
      </c>
      <c r="C13" s="73" t="s">
        <v>68</v>
      </c>
      <c r="D13" s="72"/>
      <c r="E13" s="92" t="s">
        <v>653</v>
      </c>
      <c r="F13" s="75" t="s">
        <v>56</v>
      </c>
      <c r="G13" s="76" t="s">
        <v>101</v>
      </c>
      <c r="H13" s="78"/>
      <c r="I13" s="79" t="s">
        <v>649</v>
      </c>
      <c r="J13" s="78"/>
      <c r="K13" s="140">
        <v>46238.0</v>
      </c>
      <c r="L13" s="82" t="s">
        <v>22</v>
      </c>
      <c r="M13" s="141" t="s">
        <v>654</v>
      </c>
      <c r="N13" s="86"/>
      <c r="O13" s="86"/>
      <c r="P13" s="86"/>
      <c r="Q13" s="86"/>
      <c r="R13" s="86"/>
      <c r="S13" s="86"/>
      <c r="T13" s="86"/>
    </row>
    <row r="14" ht="123.75" customHeight="1" outlineLevel="1">
      <c r="A14" s="70" t="str">
        <f t="shared" si="1"/>
        <v>TC_User_Package_4</v>
      </c>
      <c r="B14" s="72" t="s">
        <v>655</v>
      </c>
      <c r="C14" s="73" t="s">
        <v>68</v>
      </c>
      <c r="D14" s="72"/>
      <c r="E14" s="92" t="s">
        <v>656</v>
      </c>
      <c r="F14" s="75" t="s">
        <v>56</v>
      </c>
      <c r="G14" s="76" t="s">
        <v>101</v>
      </c>
      <c r="H14" s="78"/>
      <c r="I14" s="79" t="s">
        <v>649</v>
      </c>
      <c r="J14" s="78"/>
      <c r="K14" s="139">
        <v>46237.0</v>
      </c>
      <c r="L14" s="82" t="s">
        <v>22</v>
      </c>
      <c r="M14" s="84"/>
      <c r="N14" s="86"/>
      <c r="O14" s="86"/>
      <c r="P14" s="86"/>
      <c r="Q14" s="86"/>
      <c r="R14" s="86"/>
      <c r="S14" s="86"/>
      <c r="T14" s="86"/>
    </row>
    <row r="15" ht="123.75" customHeight="1" outlineLevel="1">
      <c r="A15" s="70" t="str">
        <f t="shared" si="1"/>
        <v>TC_User_Package_5</v>
      </c>
      <c r="B15" s="72" t="s">
        <v>657</v>
      </c>
      <c r="C15" s="73" t="s">
        <v>68</v>
      </c>
      <c r="D15" s="72"/>
      <c r="E15" s="92" t="s">
        <v>658</v>
      </c>
      <c r="F15" s="75" t="s">
        <v>56</v>
      </c>
      <c r="G15" s="76" t="s">
        <v>101</v>
      </c>
      <c r="H15" s="78"/>
      <c r="I15" s="79" t="s">
        <v>649</v>
      </c>
      <c r="J15" s="78"/>
      <c r="K15" s="139">
        <v>46237.0</v>
      </c>
      <c r="L15" s="82" t="s">
        <v>22</v>
      </c>
      <c r="M15" s="84"/>
      <c r="N15" s="86"/>
      <c r="O15" s="86"/>
      <c r="P15" s="86"/>
      <c r="Q15" s="86"/>
      <c r="R15" s="86"/>
      <c r="S15" s="86"/>
      <c r="T15" s="86"/>
    </row>
    <row r="16" ht="123.75" customHeight="1" outlineLevel="1">
      <c r="A16" s="70" t="str">
        <f t="shared" si="1"/>
        <v>TC_User_Package_6</v>
      </c>
      <c r="B16" s="72" t="s">
        <v>659</v>
      </c>
      <c r="C16" s="73" t="s">
        <v>68</v>
      </c>
      <c r="D16" s="72"/>
      <c r="E16" s="92" t="s">
        <v>660</v>
      </c>
      <c r="F16" s="75" t="s">
        <v>56</v>
      </c>
      <c r="G16" s="76" t="s">
        <v>101</v>
      </c>
      <c r="H16" s="78"/>
      <c r="I16" s="79" t="s">
        <v>649</v>
      </c>
      <c r="J16" s="78"/>
      <c r="K16" s="140">
        <v>46238.0</v>
      </c>
      <c r="L16" s="82" t="s">
        <v>22</v>
      </c>
      <c r="M16" s="84"/>
      <c r="N16" s="86"/>
      <c r="O16" s="86"/>
      <c r="P16" s="86"/>
      <c r="Q16" s="86"/>
      <c r="R16" s="86"/>
      <c r="S16" s="86"/>
      <c r="T16" s="86"/>
    </row>
    <row r="17" ht="123.75" customHeight="1" outlineLevel="1">
      <c r="A17" s="70" t="str">
        <f t="shared" si="1"/>
        <v>TC_User_Package_7</v>
      </c>
      <c r="B17" s="72" t="s">
        <v>661</v>
      </c>
      <c r="C17" s="73" t="s">
        <v>68</v>
      </c>
      <c r="D17" s="72"/>
      <c r="E17" s="92" t="s">
        <v>662</v>
      </c>
      <c r="F17" s="75" t="s">
        <v>56</v>
      </c>
      <c r="G17" s="76" t="s">
        <v>101</v>
      </c>
      <c r="H17" s="78"/>
      <c r="I17" s="79" t="s">
        <v>649</v>
      </c>
      <c r="J17" s="84"/>
      <c r="K17" s="140">
        <v>46238.0</v>
      </c>
      <c r="L17" s="82" t="s">
        <v>32</v>
      </c>
      <c r="M17" s="142" t="s">
        <v>663</v>
      </c>
      <c r="N17" s="86"/>
      <c r="O17" s="86"/>
      <c r="P17" s="86"/>
      <c r="Q17" s="86"/>
      <c r="R17" s="86"/>
      <c r="S17" s="86"/>
      <c r="T17" s="86"/>
    </row>
    <row r="18" ht="123.75" customHeight="1" outlineLevel="1">
      <c r="A18" s="70" t="str">
        <f t="shared" si="1"/>
        <v>TC_User_Package_8</v>
      </c>
      <c r="B18" s="72" t="s">
        <v>664</v>
      </c>
      <c r="C18" s="73" t="s">
        <v>68</v>
      </c>
      <c r="D18" s="72"/>
      <c r="E18" s="92" t="s">
        <v>665</v>
      </c>
      <c r="F18" s="75" t="s">
        <v>56</v>
      </c>
      <c r="G18" s="76" t="s">
        <v>101</v>
      </c>
      <c r="H18" s="78"/>
      <c r="I18" s="79" t="s">
        <v>649</v>
      </c>
      <c r="J18" s="84"/>
      <c r="K18" s="140">
        <v>46238.0</v>
      </c>
      <c r="L18" s="82" t="s">
        <v>32</v>
      </c>
      <c r="M18" s="142" t="s">
        <v>663</v>
      </c>
      <c r="N18" s="86"/>
      <c r="O18" s="86"/>
      <c r="P18" s="86"/>
      <c r="Q18" s="86"/>
      <c r="R18" s="86"/>
      <c r="S18" s="86"/>
      <c r="T18" s="86"/>
    </row>
    <row r="19" ht="123.75" customHeight="1" outlineLevel="1">
      <c r="A19" s="70" t="str">
        <f t="shared" si="1"/>
        <v>TC_User_Package_9</v>
      </c>
      <c r="B19" s="72" t="s">
        <v>666</v>
      </c>
      <c r="C19" s="73" t="s">
        <v>68</v>
      </c>
      <c r="D19" s="72"/>
      <c r="E19" s="92" t="s">
        <v>667</v>
      </c>
      <c r="F19" s="75" t="s">
        <v>56</v>
      </c>
      <c r="G19" s="76" t="s">
        <v>101</v>
      </c>
      <c r="H19" s="78"/>
      <c r="I19" s="77"/>
      <c r="J19" s="84"/>
      <c r="K19" s="80"/>
      <c r="L19" s="82" t="s">
        <v>668</v>
      </c>
      <c r="M19" s="143" t="s">
        <v>669</v>
      </c>
      <c r="N19" s="86"/>
      <c r="O19" s="86"/>
      <c r="P19" s="86"/>
      <c r="Q19" s="86"/>
      <c r="R19" s="86"/>
      <c r="S19" s="86"/>
      <c r="T19" s="86"/>
    </row>
    <row r="20" ht="123.75" customHeight="1" outlineLevel="1">
      <c r="A20" s="70" t="str">
        <f t="shared" si="1"/>
        <v>TC_User_Package_10</v>
      </c>
      <c r="B20" s="72" t="s">
        <v>670</v>
      </c>
      <c r="C20" s="73" t="s">
        <v>68</v>
      </c>
      <c r="D20" s="72"/>
      <c r="E20" s="92" t="s">
        <v>671</v>
      </c>
      <c r="F20" s="76" t="s">
        <v>109</v>
      </c>
      <c r="G20" s="76" t="s">
        <v>101</v>
      </c>
      <c r="H20" s="78"/>
      <c r="I20" s="79" t="s">
        <v>649</v>
      </c>
      <c r="J20" s="84"/>
      <c r="K20" s="140">
        <v>46238.0</v>
      </c>
      <c r="L20" s="82" t="s">
        <v>22</v>
      </c>
      <c r="M20" s="143"/>
      <c r="N20" s="86"/>
      <c r="O20" s="86"/>
      <c r="P20" s="86"/>
      <c r="Q20" s="86"/>
      <c r="R20" s="86"/>
      <c r="S20" s="86"/>
      <c r="T20" s="86"/>
    </row>
    <row r="21" ht="123.75" customHeight="1" outlineLevel="1">
      <c r="A21" s="70" t="str">
        <f t="shared" si="1"/>
        <v>TC_User_Package_11</v>
      </c>
      <c r="B21" s="72" t="s">
        <v>672</v>
      </c>
      <c r="C21" s="73" t="s">
        <v>68</v>
      </c>
      <c r="D21" s="72" t="s">
        <v>673</v>
      </c>
      <c r="E21" s="92" t="s">
        <v>671</v>
      </c>
      <c r="F21" s="76" t="s">
        <v>109</v>
      </c>
      <c r="G21" s="76" t="s">
        <v>101</v>
      </c>
      <c r="H21" s="78"/>
      <c r="I21" s="79" t="s">
        <v>649</v>
      </c>
      <c r="J21" s="84"/>
      <c r="K21" s="140">
        <v>46238.0</v>
      </c>
      <c r="L21" s="82" t="s">
        <v>22</v>
      </c>
      <c r="M21" s="84"/>
      <c r="N21" s="86"/>
      <c r="O21" s="86"/>
      <c r="P21" s="86"/>
      <c r="Q21" s="86"/>
      <c r="R21" s="86"/>
      <c r="S21" s="86"/>
      <c r="T21" s="86"/>
    </row>
    <row r="22" ht="123.75" customHeight="1" outlineLevel="1">
      <c r="A22" s="70" t="str">
        <f t="shared" si="1"/>
        <v>TC_User_Package_12</v>
      </c>
      <c r="B22" s="72" t="s">
        <v>674</v>
      </c>
      <c r="C22" s="73" t="s">
        <v>68</v>
      </c>
      <c r="D22" s="72" t="s">
        <v>675</v>
      </c>
      <c r="E22" s="92" t="s">
        <v>676</v>
      </c>
      <c r="F22" s="75" t="s">
        <v>56</v>
      </c>
      <c r="G22" s="76" t="s">
        <v>101</v>
      </c>
      <c r="H22" s="78"/>
      <c r="I22" s="79" t="s">
        <v>649</v>
      </c>
      <c r="J22" s="84"/>
      <c r="K22" s="140">
        <v>46238.0</v>
      </c>
      <c r="L22" s="82" t="s">
        <v>22</v>
      </c>
      <c r="M22" s="84"/>
      <c r="N22" s="86"/>
      <c r="O22" s="86"/>
      <c r="P22" s="86"/>
      <c r="Q22" s="86"/>
      <c r="R22" s="86"/>
      <c r="S22" s="86"/>
      <c r="T22" s="86"/>
    </row>
    <row r="23" ht="123.75" customHeight="1" outlineLevel="1">
      <c r="A23" s="70" t="str">
        <f t="shared" si="1"/>
        <v>TC_User_Package_13</v>
      </c>
      <c r="B23" s="72" t="s">
        <v>677</v>
      </c>
      <c r="C23" s="73" t="s">
        <v>68</v>
      </c>
      <c r="D23" s="72" t="s">
        <v>675</v>
      </c>
      <c r="E23" s="92" t="s">
        <v>678</v>
      </c>
      <c r="F23" s="75" t="s">
        <v>56</v>
      </c>
      <c r="G23" s="76" t="s">
        <v>101</v>
      </c>
      <c r="H23" s="78"/>
      <c r="I23" s="79" t="s">
        <v>649</v>
      </c>
      <c r="J23" s="84"/>
      <c r="K23" s="140">
        <v>46238.0</v>
      </c>
      <c r="L23" s="82" t="s">
        <v>22</v>
      </c>
      <c r="M23" s="84"/>
      <c r="N23" s="86"/>
      <c r="O23" s="86"/>
      <c r="P23" s="86"/>
      <c r="Q23" s="86"/>
      <c r="R23" s="86"/>
      <c r="S23" s="86"/>
      <c r="T23" s="86"/>
    </row>
    <row r="24" ht="123.75" customHeight="1" outlineLevel="1">
      <c r="A24" s="70" t="str">
        <f t="shared" si="1"/>
        <v>TC_User_Package_14</v>
      </c>
      <c r="B24" s="72" t="s">
        <v>679</v>
      </c>
      <c r="C24" s="73" t="s">
        <v>68</v>
      </c>
      <c r="D24" s="72"/>
      <c r="E24" s="92" t="s">
        <v>680</v>
      </c>
      <c r="F24" s="76" t="s">
        <v>56</v>
      </c>
      <c r="G24" s="76" t="s">
        <v>101</v>
      </c>
      <c r="H24" s="78"/>
      <c r="I24" s="77"/>
      <c r="J24" s="84"/>
      <c r="K24" s="80"/>
      <c r="L24" s="82" t="s">
        <v>12</v>
      </c>
      <c r="M24" s="84"/>
      <c r="N24" s="86"/>
      <c r="O24" s="86"/>
      <c r="P24" s="86"/>
      <c r="Q24" s="86"/>
      <c r="R24" s="86"/>
      <c r="S24" s="86"/>
      <c r="T24" s="86"/>
    </row>
    <row r="25" ht="123.75" customHeight="1" outlineLevel="1">
      <c r="A25" s="70" t="str">
        <f t="shared" si="1"/>
        <v>TC_User_Package_15</v>
      </c>
      <c r="B25" s="72" t="s">
        <v>681</v>
      </c>
      <c r="C25" s="73" t="s">
        <v>68</v>
      </c>
      <c r="D25" s="72"/>
      <c r="E25" s="92" t="s">
        <v>680</v>
      </c>
      <c r="F25" s="76" t="s">
        <v>56</v>
      </c>
      <c r="G25" s="76" t="s">
        <v>101</v>
      </c>
      <c r="H25" s="78"/>
      <c r="I25" s="77"/>
      <c r="J25" s="84"/>
      <c r="K25" s="80"/>
      <c r="L25" s="82" t="s">
        <v>12</v>
      </c>
      <c r="M25" s="84"/>
      <c r="N25" s="86"/>
      <c r="O25" s="86"/>
      <c r="P25" s="86"/>
      <c r="Q25" s="86"/>
      <c r="R25" s="86"/>
      <c r="S25" s="86"/>
      <c r="T25" s="86"/>
    </row>
    <row r="26" ht="123.75" customHeight="1" outlineLevel="1">
      <c r="A26" s="70" t="str">
        <f t="shared" si="1"/>
        <v>TC_User_Package_16</v>
      </c>
      <c r="B26" s="72" t="s">
        <v>682</v>
      </c>
      <c r="C26" s="73" t="s">
        <v>68</v>
      </c>
      <c r="D26" s="72"/>
      <c r="E26" s="92" t="s">
        <v>680</v>
      </c>
      <c r="F26" s="76" t="s">
        <v>56</v>
      </c>
      <c r="G26" s="76" t="s">
        <v>101</v>
      </c>
      <c r="H26" s="78"/>
      <c r="I26" s="77"/>
      <c r="J26" s="84"/>
      <c r="K26" s="80"/>
      <c r="L26" s="82" t="s">
        <v>12</v>
      </c>
      <c r="M26" s="84"/>
      <c r="N26" s="86"/>
      <c r="O26" s="86"/>
      <c r="P26" s="86"/>
      <c r="Q26" s="86"/>
      <c r="R26" s="86"/>
      <c r="S26" s="86"/>
      <c r="T26" s="86"/>
    </row>
    <row r="27" ht="123.75" customHeight="1" outlineLevel="1">
      <c r="A27" s="70" t="str">
        <f t="shared" si="1"/>
        <v>TC_User_Package_17</v>
      </c>
      <c r="B27" s="72" t="s">
        <v>683</v>
      </c>
      <c r="C27" s="73" t="s">
        <v>68</v>
      </c>
      <c r="D27" s="72"/>
      <c r="E27" s="92" t="s">
        <v>680</v>
      </c>
      <c r="F27" s="76" t="s">
        <v>56</v>
      </c>
      <c r="G27" s="76" t="s">
        <v>101</v>
      </c>
      <c r="H27" s="78"/>
      <c r="I27" s="77"/>
      <c r="J27" s="84"/>
      <c r="K27" s="80"/>
      <c r="L27" s="82" t="s">
        <v>12</v>
      </c>
      <c r="M27" s="84"/>
      <c r="N27" s="86"/>
      <c r="O27" s="86"/>
      <c r="P27" s="86"/>
      <c r="Q27" s="86"/>
      <c r="R27" s="86"/>
      <c r="S27" s="86"/>
      <c r="T27" s="86"/>
    </row>
    <row r="28" ht="123.75" customHeight="1" outlineLevel="1">
      <c r="A28" s="70" t="str">
        <f t="shared" si="1"/>
        <v>TC_User_Package_18</v>
      </c>
      <c r="B28" s="72" t="s">
        <v>684</v>
      </c>
      <c r="C28" s="73" t="s">
        <v>68</v>
      </c>
      <c r="D28" s="72"/>
      <c r="E28" s="92" t="s">
        <v>685</v>
      </c>
      <c r="F28" s="76" t="s">
        <v>56</v>
      </c>
      <c r="G28" s="76" t="s">
        <v>101</v>
      </c>
      <c r="H28" s="78"/>
      <c r="I28" s="77"/>
      <c r="J28" s="84"/>
      <c r="K28" s="80"/>
      <c r="L28" s="82" t="s">
        <v>12</v>
      </c>
      <c r="M28" s="84"/>
      <c r="N28" s="86"/>
      <c r="O28" s="86"/>
      <c r="P28" s="86"/>
      <c r="Q28" s="86"/>
      <c r="R28" s="86"/>
      <c r="S28" s="86"/>
      <c r="T28" s="86"/>
    </row>
    <row r="29" ht="123.75" customHeight="1" outlineLevel="1">
      <c r="A29" s="70" t="str">
        <f t="shared" si="1"/>
        <v>TC_User_Package_19</v>
      </c>
      <c r="B29" s="72" t="s">
        <v>686</v>
      </c>
      <c r="C29" s="73" t="s">
        <v>68</v>
      </c>
      <c r="D29" s="72"/>
      <c r="E29" s="92" t="s">
        <v>687</v>
      </c>
      <c r="F29" s="76" t="s">
        <v>56</v>
      </c>
      <c r="G29" s="76" t="s">
        <v>101</v>
      </c>
      <c r="H29" s="78"/>
      <c r="I29" s="79" t="s">
        <v>649</v>
      </c>
      <c r="J29" s="84"/>
      <c r="K29" s="139">
        <v>46238.0</v>
      </c>
      <c r="L29" s="82" t="s">
        <v>22</v>
      </c>
      <c r="M29" s="84"/>
      <c r="N29" s="86"/>
      <c r="O29" s="86"/>
      <c r="P29" s="86"/>
      <c r="Q29" s="86"/>
      <c r="R29" s="86"/>
      <c r="S29" s="86"/>
      <c r="T29" s="86"/>
    </row>
    <row r="30" ht="42.0" customHeight="1">
      <c r="A30" s="55" t="s">
        <v>688</v>
      </c>
      <c r="B30" s="10"/>
      <c r="C30" s="57"/>
      <c r="D30" s="58"/>
      <c r="E30" s="58"/>
      <c r="F30" s="58"/>
      <c r="G30" s="60"/>
      <c r="H30" s="60"/>
      <c r="I30" s="60"/>
      <c r="J30" s="60"/>
      <c r="K30" s="60"/>
      <c r="L30" s="60"/>
      <c r="M30" s="60"/>
      <c r="N30" s="49"/>
      <c r="O30" s="49"/>
      <c r="P30" s="49"/>
      <c r="Q30" s="49"/>
      <c r="R30" s="49"/>
      <c r="S30" s="49"/>
      <c r="T30" s="49"/>
    </row>
    <row r="31" ht="123.75" customHeight="1" outlineLevel="1">
      <c r="A31" s="70" t="str">
        <f t="shared" ref="A31:A38" si="2">"TC_User_Package_"&amp;(ROW()-ROW($A$11)+1-1)</f>
        <v>TC_User_Package_20</v>
      </c>
      <c r="B31" s="72" t="s">
        <v>690</v>
      </c>
      <c r="C31" s="73"/>
      <c r="D31" s="72"/>
      <c r="E31" s="92" t="s">
        <v>691</v>
      </c>
      <c r="F31" s="75" t="s">
        <v>56</v>
      </c>
      <c r="G31" s="76" t="s">
        <v>57</v>
      </c>
      <c r="H31" s="77"/>
      <c r="I31" s="79" t="s">
        <v>649</v>
      </c>
      <c r="J31" s="84"/>
      <c r="K31" s="139">
        <v>46238.0</v>
      </c>
      <c r="L31" s="82" t="s">
        <v>22</v>
      </c>
      <c r="M31" s="84"/>
      <c r="N31" s="86"/>
      <c r="O31" s="86"/>
      <c r="P31" s="86"/>
      <c r="Q31" s="86"/>
      <c r="R31" s="86"/>
      <c r="S31" s="86"/>
      <c r="T31" s="86"/>
    </row>
    <row r="32" ht="123.75" customHeight="1" outlineLevel="1">
      <c r="A32" s="70" t="str">
        <f t="shared" si="2"/>
        <v>TC_User_Package_21</v>
      </c>
      <c r="B32" s="72" t="s">
        <v>693</v>
      </c>
      <c r="C32" s="73"/>
      <c r="D32" s="72"/>
      <c r="E32" s="92" t="s">
        <v>695</v>
      </c>
      <c r="F32" s="75" t="s">
        <v>56</v>
      </c>
      <c r="G32" s="76" t="s">
        <v>57</v>
      </c>
      <c r="H32" s="77"/>
      <c r="I32" s="79" t="s">
        <v>649</v>
      </c>
      <c r="J32" s="84"/>
      <c r="K32" s="139">
        <v>46238.0</v>
      </c>
      <c r="L32" s="82" t="s">
        <v>22</v>
      </c>
      <c r="M32" s="84"/>
      <c r="N32" s="86"/>
      <c r="O32" s="86"/>
      <c r="P32" s="86"/>
      <c r="Q32" s="86"/>
      <c r="R32" s="86"/>
      <c r="S32" s="86"/>
      <c r="T32" s="86"/>
    </row>
    <row r="33" ht="123.75" customHeight="1" outlineLevel="1">
      <c r="A33" s="70" t="str">
        <f t="shared" si="2"/>
        <v>TC_User_Package_22</v>
      </c>
      <c r="B33" s="72" t="s">
        <v>697</v>
      </c>
      <c r="C33" s="73"/>
      <c r="D33" s="72"/>
      <c r="E33" s="92" t="s">
        <v>691</v>
      </c>
      <c r="F33" s="75" t="s">
        <v>56</v>
      </c>
      <c r="G33" s="76" t="s">
        <v>57</v>
      </c>
      <c r="H33" s="77"/>
      <c r="I33" s="79" t="s">
        <v>649</v>
      </c>
      <c r="J33" s="84"/>
      <c r="K33" s="139">
        <v>46238.0</v>
      </c>
      <c r="L33" s="82" t="s">
        <v>22</v>
      </c>
      <c r="M33" s="84"/>
      <c r="N33" s="86"/>
      <c r="O33" s="86"/>
      <c r="P33" s="86"/>
      <c r="Q33" s="86"/>
      <c r="R33" s="86"/>
      <c r="S33" s="86"/>
      <c r="T33" s="86"/>
    </row>
    <row r="34" ht="123.75" customHeight="1" outlineLevel="1">
      <c r="A34" s="70" t="str">
        <f t="shared" si="2"/>
        <v>TC_User_Package_23</v>
      </c>
      <c r="B34" s="72" t="s">
        <v>701</v>
      </c>
      <c r="C34" s="73"/>
      <c r="D34" s="72"/>
      <c r="E34" s="92" t="s">
        <v>703</v>
      </c>
      <c r="F34" s="75" t="s">
        <v>56</v>
      </c>
      <c r="G34" s="76" t="s">
        <v>57</v>
      </c>
      <c r="H34" s="77"/>
      <c r="I34" s="79" t="s">
        <v>649</v>
      </c>
      <c r="J34" s="84"/>
      <c r="K34" s="139">
        <v>46238.0</v>
      </c>
      <c r="L34" s="82" t="s">
        <v>22</v>
      </c>
      <c r="M34" s="84"/>
      <c r="N34" s="86"/>
      <c r="O34" s="86"/>
      <c r="P34" s="86"/>
      <c r="Q34" s="86"/>
      <c r="R34" s="86"/>
      <c r="S34" s="86"/>
      <c r="T34" s="86"/>
    </row>
    <row r="35" ht="123.75" customHeight="1" outlineLevel="1">
      <c r="A35" s="70" t="str">
        <f t="shared" si="2"/>
        <v>TC_User_Package_24</v>
      </c>
      <c r="B35" s="72" t="s">
        <v>708</v>
      </c>
      <c r="C35" s="73"/>
      <c r="D35" s="72"/>
      <c r="E35" s="92" t="s">
        <v>709</v>
      </c>
      <c r="F35" s="75" t="s">
        <v>56</v>
      </c>
      <c r="G35" s="76" t="s">
        <v>57</v>
      </c>
      <c r="H35" s="77"/>
      <c r="I35" s="79" t="s">
        <v>649</v>
      </c>
      <c r="J35" s="84"/>
      <c r="K35" s="139">
        <v>46238.0</v>
      </c>
      <c r="L35" s="82" t="s">
        <v>22</v>
      </c>
      <c r="M35" s="84"/>
      <c r="N35" s="86"/>
      <c r="O35" s="86"/>
      <c r="P35" s="86"/>
      <c r="Q35" s="86"/>
      <c r="R35" s="86"/>
      <c r="S35" s="86"/>
      <c r="T35" s="86"/>
    </row>
    <row r="36" ht="123.75" customHeight="1" outlineLevel="1">
      <c r="A36" s="70" t="str">
        <f t="shared" si="2"/>
        <v>TC_User_Package_25</v>
      </c>
      <c r="B36" s="72" t="s">
        <v>715</v>
      </c>
      <c r="C36" s="73"/>
      <c r="D36" s="72"/>
      <c r="E36" s="92" t="s">
        <v>717</v>
      </c>
      <c r="F36" s="75" t="s">
        <v>56</v>
      </c>
      <c r="G36" s="76" t="s">
        <v>57</v>
      </c>
      <c r="H36" s="77"/>
      <c r="I36" s="79" t="s">
        <v>649</v>
      </c>
      <c r="J36" s="84"/>
      <c r="K36" s="139">
        <v>46238.0</v>
      </c>
      <c r="L36" s="82" t="s">
        <v>22</v>
      </c>
      <c r="M36" s="84"/>
      <c r="N36" s="86"/>
      <c r="O36" s="86"/>
      <c r="P36" s="86"/>
      <c r="Q36" s="86"/>
      <c r="R36" s="86"/>
      <c r="S36" s="86"/>
      <c r="T36" s="86"/>
    </row>
    <row r="37" ht="123.75" customHeight="1" outlineLevel="1">
      <c r="A37" s="70" t="str">
        <f t="shared" si="2"/>
        <v>TC_User_Package_26</v>
      </c>
      <c r="B37" s="72" t="s">
        <v>723</v>
      </c>
      <c r="C37" s="73"/>
      <c r="D37" s="72"/>
      <c r="E37" s="92" t="s">
        <v>724</v>
      </c>
      <c r="F37" s="75" t="s">
        <v>56</v>
      </c>
      <c r="G37" s="76" t="s">
        <v>57</v>
      </c>
      <c r="H37" s="77"/>
      <c r="I37" s="79" t="s">
        <v>649</v>
      </c>
      <c r="J37" s="84"/>
      <c r="K37" s="139">
        <v>46238.0</v>
      </c>
      <c r="L37" s="82" t="s">
        <v>22</v>
      </c>
      <c r="M37" s="84"/>
      <c r="N37" s="86"/>
      <c r="O37" s="86"/>
      <c r="P37" s="86"/>
      <c r="Q37" s="86"/>
      <c r="R37" s="86"/>
      <c r="S37" s="86"/>
      <c r="T37" s="86"/>
    </row>
    <row r="38" ht="123.75" customHeight="1" outlineLevel="1">
      <c r="A38" s="70" t="str">
        <f t="shared" si="2"/>
        <v>TC_User_Package_27</v>
      </c>
      <c r="B38" s="72" t="s">
        <v>728</v>
      </c>
      <c r="C38" s="73"/>
      <c r="D38" s="72"/>
      <c r="E38" s="92" t="s">
        <v>731</v>
      </c>
      <c r="F38" s="75" t="s">
        <v>56</v>
      </c>
      <c r="G38" s="76" t="s">
        <v>57</v>
      </c>
      <c r="H38" s="77"/>
      <c r="I38" s="79" t="s">
        <v>649</v>
      </c>
      <c r="J38" s="84"/>
      <c r="K38" s="139">
        <v>46238.0</v>
      </c>
      <c r="L38" s="82" t="s">
        <v>32</v>
      </c>
      <c r="M38" s="142" t="s">
        <v>734</v>
      </c>
      <c r="N38" s="86"/>
      <c r="O38" s="86"/>
      <c r="P38" s="86"/>
      <c r="Q38" s="86"/>
      <c r="R38" s="86"/>
      <c r="S38" s="86"/>
      <c r="T38" s="86"/>
    </row>
    <row r="39" ht="42.0" customHeight="1">
      <c r="A39" s="55" t="s">
        <v>738</v>
      </c>
      <c r="B39" s="10"/>
      <c r="C39" s="57"/>
      <c r="D39" s="58"/>
      <c r="E39" s="58"/>
      <c r="F39" s="58"/>
      <c r="G39" s="60"/>
      <c r="H39" s="60"/>
      <c r="I39" s="60"/>
      <c r="J39" s="60"/>
      <c r="K39" s="60"/>
      <c r="L39" s="60"/>
      <c r="M39" s="60"/>
      <c r="N39" s="49"/>
      <c r="O39" s="49"/>
      <c r="P39" s="49"/>
      <c r="Q39" s="49"/>
      <c r="R39" s="49"/>
      <c r="S39" s="49"/>
      <c r="T39" s="49"/>
    </row>
    <row r="40" ht="123.75" customHeight="1" outlineLevel="1">
      <c r="A40" s="70" t="str">
        <f t="shared" ref="A40:A42" si="3">"TC_User_Package_"&amp;(ROW()-ROW($A$11)+1-2)</f>
        <v>TC_User_Package_28</v>
      </c>
      <c r="B40" s="72" t="s">
        <v>745</v>
      </c>
      <c r="C40" s="73"/>
      <c r="D40" s="72"/>
      <c r="E40" s="92" t="s">
        <v>747</v>
      </c>
      <c r="F40" s="76" t="s">
        <v>109</v>
      </c>
      <c r="G40" s="76" t="s">
        <v>57</v>
      </c>
      <c r="H40" s="77"/>
      <c r="I40" s="79" t="s">
        <v>649</v>
      </c>
      <c r="J40" s="84"/>
      <c r="K40" s="139">
        <v>46238.0</v>
      </c>
      <c r="L40" s="82" t="s">
        <v>22</v>
      </c>
      <c r="M40" s="84"/>
      <c r="N40" s="86"/>
      <c r="O40" s="86"/>
      <c r="P40" s="86"/>
      <c r="Q40" s="86"/>
      <c r="R40" s="86"/>
      <c r="S40" s="86"/>
      <c r="T40" s="86"/>
    </row>
    <row r="41" ht="123.75" customHeight="1" outlineLevel="1">
      <c r="A41" s="70" t="str">
        <f t="shared" si="3"/>
        <v>TC_User_Package_29</v>
      </c>
      <c r="B41" s="72" t="s">
        <v>751</v>
      </c>
      <c r="C41" s="73"/>
      <c r="D41" s="72"/>
      <c r="E41" s="92" t="s">
        <v>753</v>
      </c>
      <c r="F41" s="76" t="s">
        <v>109</v>
      </c>
      <c r="G41" s="76" t="s">
        <v>57</v>
      </c>
      <c r="H41" s="77"/>
      <c r="I41" s="79" t="s">
        <v>649</v>
      </c>
      <c r="J41" s="84"/>
      <c r="K41" s="139">
        <v>46238.0</v>
      </c>
      <c r="L41" s="82" t="s">
        <v>22</v>
      </c>
      <c r="M41" s="84"/>
      <c r="N41" s="86"/>
      <c r="O41" s="86"/>
      <c r="P41" s="86"/>
      <c r="Q41" s="86"/>
      <c r="R41" s="86"/>
      <c r="S41" s="86"/>
      <c r="T41" s="86"/>
    </row>
    <row r="42" ht="123.75" customHeight="1" outlineLevel="1">
      <c r="A42" s="70" t="str">
        <f t="shared" si="3"/>
        <v>TC_User_Package_30</v>
      </c>
      <c r="B42" s="72" t="s">
        <v>759</v>
      </c>
      <c r="C42" s="73"/>
      <c r="D42" s="72"/>
      <c r="E42" s="92" t="s">
        <v>761</v>
      </c>
      <c r="F42" s="76" t="s">
        <v>109</v>
      </c>
      <c r="G42" s="76" t="s">
        <v>57</v>
      </c>
      <c r="H42" s="77"/>
      <c r="I42" s="79"/>
      <c r="J42" s="78"/>
      <c r="K42" s="80"/>
      <c r="L42" s="82" t="s">
        <v>44</v>
      </c>
      <c r="M42" s="92" t="s">
        <v>764</v>
      </c>
      <c r="N42" s="86"/>
      <c r="O42" s="86"/>
      <c r="P42" s="86"/>
      <c r="Q42" s="86"/>
      <c r="R42" s="86"/>
      <c r="S42" s="86"/>
      <c r="T42" s="86"/>
    </row>
    <row r="43" ht="42.0" customHeight="1">
      <c r="A43" s="55" t="s">
        <v>765</v>
      </c>
      <c r="B43" s="10"/>
      <c r="C43" s="57"/>
      <c r="D43" s="58"/>
      <c r="E43" s="58"/>
      <c r="F43" s="58"/>
      <c r="G43" s="60"/>
      <c r="H43" s="60"/>
      <c r="I43" s="60"/>
      <c r="J43" s="60"/>
      <c r="K43" s="60"/>
      <c r="L43" s="60"/>
      <c r="M43" s="60"/>
      <c r="N43" s="49"/>
      <c r="O43" s="49"/>
      <c r="P43" s="49"/>
      <c r="Q43" s="49"/>
      <c r="R43" s="49"/>
      <c r="S43" s="49"/>
      <c r="T43" s="49"/>
    </row>
    <row r="44" ht="123.75" customHeight="1" outlineLevel="1">
      <c r="A44" s="70" t="str">
        <f t="shared" ref="A44:A53" si="4">"TC_User_Package_"&amp;(ROW()-ROW($A$11)+1-3)</f>
        <v>TC_User_Package_31</v>
      </c>
      <c r="B44" s="72" t="s">
        <v>770</v>
      </c>
      <c r="C44" s="73"/>
      <c r="D44" s="72"/>
      <c r="E44" s="92" t="s">
        <v>771</v>
      </c>
      <c r="F44" s="75" t="s">
        <v>56</v>
      </c>
      <c r="G44" s="76" t="s">
        <v>57</v>
      </c>
      <c r="H44" s="77"/>
      <c r="I44" s="79" t="s">
        <v>649</v>
      </c>
      <c r="J44" s="84"/>
      <c r="K44" s="139">
        <v>46238.0</v>
      </c>
      <c r="L44" s="82" t="s">
        <v>22</v>
      </c>
      <c r="M44" s="84"/>
      <c r="N44" s="86"/>
      <c r="O44" s="86"/>
      <c r="P44" s="86"/>
      <c r="Q44" s="86"/>
      <c r="R44" s="86"/>
      <c r="S44" s="86"/>
      <c r="T44" s="86"/>
    </row>
    <row r="45" ht="123.75" customHeight="1" outlineLevel="1">
      <c r="A45" s="70" t="str">
        <f t="shared" si="4"/>
        <v>TC_User_Package_32</v>
      </c>
      <c r="B45" s="72" t="s">
        <v>776</v>
      </c>
      <c r="C45" s="73"/>
      <c r="D45" s="72"/>
      <c r="E45" s="92" t="s">
        <v>777</v>
      </c>
      <c r="F45" s="75" t="s">
        <v>56</v>
      </c>
      <c r="G45" s="76" t="s">
        <v>57</v>
      </c>
      <c r="H45" s="77"/>
      <c r="I45" s="79" t="s">
        <v>649</v>
      </c>
      <c r="J45" s="84"/>
      <c r="K45" s="139">
        <v>46238.0</v>
      </c>
      <c r="L45" s="82" t="s">
        <v>22</v>
      </c>
      <c r="M45" s="84"/>
      <c r="N45" s="86"/>
      <c r="O45" s="86"/>
      <c r="P45" s="86"/>
      <c r="Q45" s="86"/>
      <c r="R45" s="86"/>
      <c r="S45" s="86"/>
      <c r="T45" s="86"/>
    </row>
    <row r="46" ht="123.75" customHeight="1" outlineLevel="1">
      <c r="A46" s="70" t="str">
        <f t="shared" si="4"/>
        <v>TC_User_Package_33</v>
      </c>
      <c r="B46" s="72" t="s">
        <v>782</v>
      </c>
      <c r="C46" s="73"/>
      <c r="D46" s="72"/>
      <c r="E46" s="92" t="s">
        <v>709</v>
      </c>
      <c r="F46" s="75" t="s">
        <v>56</v>
      </c>
      <c r="G46" s="76" t="s">
        <v>57</v>
      </c>
      <c r="H46" s="77"/>
      <c r="I46" s="79" t="s">
        <v>649</v>
      </c>
      <c r="J46" s="84"/>
      <c r="K46" s="139">
        <v>46238.0</v>
      </c>
      <c r="L46" s="82" t="s">
        <v>22</v>
      </c>
      <c r="M46" s="84"/>
      <c r="N46" s="86"/>
      <c r="O46" s="86"/>
      <c r="P46" s="86"/>
      <c r="Q46" s="86"/>
      <c r="R46" s="86"/>
      <c r="S46" s="86"/>
      <c r="T46" s="86"/>
    </row>
    <row r="47" ht="123.75" customHeight="1" outlineLevel="1">
      <c r="A47" s="70" t="str">
        <f t="shared" si="4"/>
        <v>TC_User_Package_34</v>
      </c>
      <c r="B47" s="72" t="s">
        <v>787</v>
      </c>
      <c r="C47" s="73"/>
      <c r="D47" s="72"/>
      <c r="E47" s="92" t="s">
        <v>717</v>
      </c>
      <c r="F47" s="75" t="s">
        <v>56</v>
      </c>
      <c r="G47" s="76" t="s">
        <v>57</v>
      </c>
      <c r="H47" s="77"/>
      <c r="I47" s="79" t="s">
        <v>649</v>
      </c>
      <c r="J47" s="84"/>
      <c r="K47" s="139">
        <v>46238.0</v>
      </c>
      <c r="L47" s="82" t="s">
        <v>22</v>
      </c>
      <c r="M47" s="84"/>
      <c r="N47" s="86"/>
      <c r="O47" s="86"/>
      <c r="P47" s="86"/>
      <c r="Q47" s="86"/>
      <c r="R47" s="86"/>
      <c r="S47" s="86"/>
      <c r="T47" s="86"/>
    </row>
    <row r="48" ht="123.75" customHeight="1" outlineLevel="1">
      <c r="A48" s="70" t="str">
        <f t="shared" si="4"/>
        <v>TC_User_Package_35</v>
      </c>
      <c r="B48" s="72" t="s">
        <v>791</v>
      </c>
      <c r="C48" s="73"/>
      <c r="D48" s="72"/>
      <c r="E48" s="92" t="s">
        <v>724</v>
      </c>
      <c r="F48" s="75" t="s">
        <v>56</v>
      </c>
      <c r="G48" s="76" t="s">
        <v>57</v>
      </c>
      <c r="H48" s="77"/>
      <c r="I48" s="79" t="s">
        <v>649</v>
      </c>
      <c r="J48" s="84"/>
      <c r="K48" s="139">
        <v>46238.0</v>
      </c>
      <c r="L48" s="82" t="s">
        <v>22</v>
      </c>
      <c r="M48" s="84"/>
      <c r="N48" s="86"/>
      <c r="O48" s="86"/>
      <c r="P48" s="86"/>
      <c r="Q48" s="86"/>
      <c r="R48" s="86"/>
      <c r="S48" s="86"/>
      <c r="T48" s="86"/>
    </row>
    <row r="49" ht="123.75" customHeight="1" outlineLevel="1">
      <c r="A49" s="70" t="str">
        <f t="shared" si="4"/>
        <v>TC_User_Package_36</v>
      </c>
      <c r="B49" s="72" t="s">
        <v>794</v>
      </c>
      <c r="C49" s="73"/>
      <c r="D49" s="72"/>
      <c r="E49" s="92" t="s">
        <v>796</v>
      </c>
      <c r="F49" s="75" t="s">
        <v>56</v>
      </c>
      <c r="G49" s="76" t="s">
        <v>57</v>
      </c>
      <c r="H49" s="77"/>
      <c r="I49" s="79" t="s">
        <v>649</v>
      </c>
      <c r="J49" s="84"/>
      <c r="K49" s="139">
        <v>46238.0</v>
      </c>
      <c r="L49" s="82" t="s">
        <v>22</v>
      </c>
      <c r="M49" s="84"/>
      <c r="N49" s="86"/>
      <c r="O49" s="86"/>
      <c r="P49" s="86"/>
      <c r="Q49" s="86"/>
      <c r="R49" s="86"/>
      <c r="S49" s="86"/>
      <c r="T49" s="86"/>
    </row>
    <row r="50" ht="123.75" customHeight="1" outlineLevel="1">
      <c r="A50" s="70" t="str">
        <f t="shared" si="4"/>
        <v>TC_User_Package_37</v>
      </c>
      <c r="B50" s="72" t="s">
        <v>798</v>
      </c>
      <c r="C50" s="73"/>
      <c r="D50" s="72"/>
      <c r="E50" s="92" t="s">
        <v>800</v>
      </c>
      <c r="F50" s="75" t="s">
        <v>56</v>
      </c>
      <c r="G50" s="76" t="s">
        <v>57</v>
      </c>
      <c r="H50" s="77"/>
      <c r="I50" s="79" t="s">
        <v>649</v>
      </c>
      <c r="J50" s="84"/>
      <c r="K50" s="139">
        <v>46238.0</v>
      </c>
      <c r="L50" s="82" t="s">
        <v>22</v>
      </c>
      <c r="M50" s="84"/>
      <c r="N50" s="86"/>
      <c r="O50" s="86"/>
      <c r="P50" s="86"/>
      <c r="Q50" s="86"/>
      <c r="R50" s="86"/>
      <c r="S50" s="86"/>
      <c r="T50" s="86"/>
    </row>
    <row r="51" ht="123.75" customHeight="1" outlineLevel="1">
      <c r="A51" s="70" t="str">
        <f t="shared" si="4"/>
        <v>TC_User_Package_38</v>
      </c>
      <c r="B51" s="72" t="s">
        <v>803</v>
      </c>
      <c r="C51" s="73"/>
      <c r="D51" s="72"/>
      <c r="E51" s="92" t="s">
        <v>805</v>
      </c>
      <c r="F51" s="76" t="s">
        <v>56</v>
      </c>
      <c r="G51" s="76" t="s">
        <v>57</v>
      </c>
      <c r="H51" s="77"/>
      <c r="I51" s="79" t="s">
        <v>649</v>
      </c>
      <c r="J51" s="84"/>
      <c r="K51" s="139">
        <v>46238.0</v>
      </c>
      <c r="L51" s="82" t="s">
        <v>22</v>
      </c>
      <c r="M51" s="84"/>
      <c r="N51" s="86"/>
      <c r="O51" s="86"/>
      <c r="P51" s="86"/>
      <c r="Q51" s="86"/>
      <c r="R51" s="86"/>
      <c r="S51" s="86"/>
      <c r="T51" s="86"/>
    </row>
    <row r="52" ht="123.75" customHeight="1" outlineLevel="1">
      <c r="A52" s="70" t="str">
        <f t="shared" si="4"/>
        <v>TC_User_Package_39</v>
      </c>
      <c r="B52" s="72" t="s">
        <v>809</v>
      </c>
      <c r="C52" s="73"/>
      <c r="D52" s="72"/>
      <c r="E52" s="92" t="s">
        <v>812</v>
      </c>
      <c r="F52" s="76" t="s">
        <v>56</v>
      </c>
      <c r="G52" s="76" t="s">
        <v>57</v>
      </c>
      <c r="H52" s="77"/>
      <c r="I52" s="79" t="s">
        <v>649</v>
      </c>
      <c r="J52" s="84"/>
      <c r="K52" s="139">
        <v>46238.0</v>
      </c>
      <c r="L52" s="82" t="s">
        <v>22</v>
      </c>
      <c r="M52" s="84"/>
      <c r="N52" s="86"/>
      <c r="O52" s="86"/>
      <c r="P52" s="86"/>
      <c r="Q52" s="86"/>
      <c r="R52" s="86"/>
      <c r="S52" s="86"/>
      <c r="T52" s="86"/>
    </row>
    <row r="53" ht="123.75" customHeight="1" outlineLevel="1">
      <c r="A53" s="70" t="str">
        <f t="shared" si="4"/>
        <v>TC_User_Package_40</v>
      </c>
      <c r="B53" s="72" t="s">
        <v>816</v>
      </c>
      <c r="C53" s="73"/>
      <c r="D53" s="72"/>
      <c r="E53" s="92" t="s">
        <v>818</v>
      </c>
      <c r="F53" s="76" t="s">
        <v>56</v>
      </c>
      <c r="G53" s="76" t="s">
        <v>57</v>
      </c>
      <c r="H53" s="77"/>
      <c r="I53" s="77"/>
      <c r="J53" s="78"/>
      <c r="K53" s="80"/>
      <c r="L53" s="82" t="s">
        <v>44</v>
      </c>
      <c r="M53" s="92" t="s">
        <v>764</v>
      </c>
      <c r="N53" s="86"/>
      <c r="O53" s="86"/>
      <c r="P53" s="86"/>
      <c r="Q53" s="86"/>
      <c r="R53" s="86"/>
      <c r="S53" s="86"/>
      <c r="T53" s="86"/>
    </row>
    <row r="54" ht="42.0" customHeight="1">
      <c r="A54" s="55" t="s">
        <v>822</v>
      </c>
      <c r="B54" s="10"/>
      <c r="C54" s="57"/>
      <c r="D54" s="58"/>
      <c r="E54" s="58"/>
      <c r="F54" s="58"/>
      <c r="G54" s="60"/>
      <c r="H54" s="60"/>
      <c r="I54" s="60"/>
      <c r="J54" s="60"/>
      <c r="K54" s="60"/>
      <c r="L54" s="60"/>
      <c r="M54" s="60"/>
      <c r="N54" s="49"/>
      <c r="O54" s="49"/>
      <c r="P54" s="49"/>
      <c r="Q54" s="49"/>
      <c r="R54" s="49"/>
      <c r="S54" s="49"/>
      <c r="T54" s="49"/>
    </row>
    <row r="55" ht="123.75" customHeight="1" outlineLevel="1">
      <c r="A55" s="70" t="str">
        <f t="shared" ref="A55:A67" si="5">"TC_User_Package_"&amp;(ROW()-ROW($A$11)+1-4)</f>
        <v>TC_User_Package_41</v>
      </c>
      <c r="B55" s="72" t="s">
        <v>827</v>
      </c>
      <c r="C55" s="73"/>
      <c r="D55" s="72"/>
      <c r="E55" s="92" t="s">
        <v>828</v>
      </c>
      <c r="F55" s="76" t="s">
        <v>56</v>
      </c>
      <c r="G55" s="76" t="s">
        <v>101</v>
      </c>
      <c r="H55" s="77"/>
      <c r="I55" s="77"/>
      <c r="J55" s="78"/>
      <c r="K55" s="80"/>
      <c r="L55" s="82" t="s">
        <v>12</v>
      </c>
      <c r="M55" s="84"/>
      <c r="N55" s="86"/>
      <c r="O55" s="86"/>
      <c r="P55" s="86"/>
      <c r="Q55" s="86"/>
      <c r="R55" s="86"/>
      <c r="S55" s="86"/>
      <c r="T55" s="86"/>
    </row>
    <row r="56" ht="123.75" customHeight="1" outlineLevel="1">
      <c r="A56" s="70" t="str">
        <f t="shared" si="5"/>
        <v>TC_User_Package_42</v>
      </c>
      <c r="B56" s="72" t="s">
        <v>831</v>
      </c>
      <c r="C56" s="73"/>
      <c r="D56" s="72"/>
      <c r="E56" s="92" t="s">
        <v>832</v>
      </c>
      <c r="F56" s="76" t="s">
        <v>56</v>
      </c>
      <c r="G56" s="76" t="s">
        <v>101</v>
      </c>
      <c r="H56" s="77"/>
      <c r="I56" s="77"/>
      <c r="J56" s="78"/>
      <c r="K56" s="80"/>
      <c r="L56" s="82" t="s">
        <v>12</v>
      </c>
      <c r="M56" s="84"/>
      <c r="N56" s="86"/>
      <c r="O56" s="86"/>
      <c r="P56" s="86"/>
      <c r="Q56" s="86"/>
      <c r="R56" s="86"/>
      <c r="S56" s="86"/>
      <c r="T56" s="86"/>
    </row>
    <row r="57" ht="123.75" customHeight="1" outlineLevel="1">
      <c r="A57" s="70" t="str">
        <f t="shared" si="5"/>
        <v>TC_User_Package_43</v>
      </c>
      <c r="B57" s="72" t="s">
        <v>837</v>
      </c>
      <c r="C57" s="73"/>
      <c r="D57" s="72"/>
      <c r="E57" s="92" t="s">
        <v>839</v>
      </c>
      <c r="F57" s="76" t="s">
        <v>56</v>
      </c>
      <c r="G57" s="76" t="s">
        <v>101</v>
      </c>
      <c r="H57" s="77"/>
      <c r="I57" s="79" t="s">
        <v>649</v>
      </c>
      <c r="J57" s="84"/>
      <c r="K57" s="139">
        <v>46238.0</v>
      </c>
      <c r="L57" s="82" t="s">
        <v>22</v>
      </c>
      <c r="M57" s="84"/>
      <c r="N57" s="86"/>
      <c r="O57" s="86"/>
      <c r="P57" s="86"/>
      <c r="Q57" s="86"/>
      <c r="R57" s="86"/>
      <c r="S57" s="86"/>
      <c r="T57" s="86"/>
    </row>
    <row r="58" ht="123.75" customHeight="1" outlineLevel="1">
      <c r="A58" s="70" t="str">
        <f t="shared" si="5"/>
        <v>TC_User_Package_44</v>
      </c>
      <c r="B58" s="72" t="s">
        <v>841</v>
      </c>
      <c r="C58" s="73"/>
      <c r="D58" s="72"/>
      <c r="E58" s="92" t="s">
        <v>842</v>
      </c>
      <c r="F58" s="76" t="s">
        <v>56</v>
      </c>
      <c r="G58" s="76" t="s">
        <v>101</v>
      </c>
      <c r="H58" s="77"/>
      <c r="I58" s="79" t="s">
        <v>649</v>
      </c>
      <c r="J58" s="84"/>
      <c r="K58" s="139">
        <v>46238.0</v>
      </c>
      <c r="L58" s="82" t="s">
        <v>22</v>
      </c>
      <c r="M58" s="84"/>
      <c r="N58" s="86"/>
      <c r="O58" s="86"/>
      <c r="P58" s="86"/>
      <c r="Q58" s="86"/>
      <c r="R58" s="86"/>
      <c r="S58" s="86"/>
      <c r="T58" s="86"/>
    </row>
    <row r="59" ht="123.75" customHeight="1" outlineLevel="1">
      <c r="A59" s="70" t="str">
        <f t="shared" si="5"/>
        <v>TC_User_Package_45</v>
      </c>
      <c r="B59" s="72" t="s">
        <v>846</v>
      </c>
      <c r="C59" s="73"/>
      <c r="D59" s="72"/>
      <c r="E59" s="92" t="s">
        <v>848</v>
      </c>
      <c r="F59" s="76" t="s">
        <v>56</v>
      </c>
      <c r="G59" s="76" t="s">
        <v>101</v>
      </c>
      <c r="H59" s="77"/>
      <c r="I59" s="79" t="s">
        <v>649</v>
      </c>
      <c r="J59" s="84"/>
      <c r="K59" s="139">
        <v>46238.0</v>
      </c>
      <c r="L59" s="82" t="s">
        <v>22</v>
      </c>
      <c r="M59" s="84"/>
      <c r="N59" s="86"/>
      <c r="O59" s="86"/>
      <c r="P59" s="86"/>
      <c r="Q59" s="86"/>
      <c r="R59" s="86"/>
      <c r="S59" s="86"/>
      <c r="T59" s="86"/>
    </row>
    <row r="60" ht="123.75" customHeight="1" outlineLevel="1">
      <c r="A60" s="70" t="str">
        <f t="shared" si="5"/>
        <v>TC_User_Package_46</v>
      </c>
      <c r="B60" s="72" t="s">
        <v>852</v>
      </c>
      <c r="C60" s="73"/>
      <c r="D60" s="72"/>
      <c r="E60" s="92" t="s">
        <v>854</v>
      </c>
      <c r="F60" s="76" t="s">
        <v>56</v>
      </c>
      <c r="G60" s="76" t="s">
        <v>101</v>
      </c>
      <c r="H60" s="77"/>
      <c r="I60" s="77"/>
      <c r="J60" s="78"/>
      <c r="K60" s="80"/>
      <c r="L60" s="82" t="s">
        <v>12</v>
      </c>
      <c r="M60" s="84"/>
      <c r="N60" s="86"/>
      <c r="O60" s="86"/>
      <c r="P60" s="86"/>
      <c r="Q60" s="86"/>
      <c r="R60" s="86"/>
      <c r="S60" s="86"/>
      <c r="T60" s="86"/>
    </row>
    <row r="61" ht="123.75" customHeight="1" outlineLevel="1">
      <c r="A61" s="70" t="str">
        <f t="shared" si="5"/>
        <v>TC_User_Package_47</v>
      </c>
      <c r="B61" s="72" t="s">
        <v>858</v>
      </c>
      <c r="C61" s="73"/>
      <c r="D61" s="72"/>
      <c r="E61" s="92" t="s">
        <v>860</v>
      </c>
      <c r="F61" s="76" t="s">
        <v>56</v>
      </c>
      <c r="G61" s="76" t="s">
        <v>101</v>
      </c>
      <c r="H61" s="77"/>
      <c r="I61" s="79" t="s">
        <v>649</v>
      </c>
      <c r="J61" s="84"/>
      <c r="K61" s="139">
        <v>46238.0</v>
      </c>
      <c r="L61" s="82" t="s">
        <v>22</v>
      </c>
      <c r="M61" s="84"/>
      <c r="N61" s="86"/>
      <c r="O61" s="86"/>
      <c r="P61" s="86"/>
      <c r="Q61" s="86"/>
      <c r="R61" s="86"/>
      <c r="S61" s="86"/>
      <c r="T61" s="86"/>
    </row>
    <row r="62" ht="123.75" customHeight="1" outlineLevel="1">
      <c r="A62" s="70" t="str">
        <f t="shared" si="5"/>
        <v>TC_User_Package_48</v>
      </c>
      <c r="B62" s="72" t="s">
        <v>864</v>
      </c>
      <c r="C62" s="73"/>
      <c r="D62" s="72"/>
      <c r="E62" s="92" t="s">
        <v>867</v>
      </c>
      <c r="F62" s="76" t="s">
        <v>56</v>
      </c>
      <c r="G62" s="76" t="s">
        <v>101</v>
      </c>
      <c r="H62" s="77"/>
      <c r="I62" s="79" t="s">
        <v>649</v>
      </c>
      <c r="J62" s="84"/>
      <c r="K62" s="139">
        <v>46238.0</v>
      </c>
      <c r="L62" s="82" t="s">
        <v>22</v>
      </c>
      <c r="M62" s="84"/>
      <c r="N62" s="86"/>
      <c r="O62" s="86"/>
      <c r="P62" s="86"/>
      <c r="Q62" s="86"/>
      <c r="R62" s="86"/>
      <c r="S62" s="86"/>
      <c r="T62" s="86"/>
    </row>
    <row r="63" ht="123.75" customHeight="1" outlineLevel="1">
      <c r="A63" s="70" t="str">
        <f t="shared" si="5"/>
        <v>TC_User_Package_49</v>
      </c>
      <c r="B63" s="72" t="s">
        <v>868</v>
      </c>
      <c r="C63" s="73"/>
      <c r="D63" s="72"/>
      <c r="E63" s="92" t="s">
        <v>869</v>
      </c>
      <c r="F63" s="76" t="s">
        <v>56</v>
      </c>
      <c r="G63" s="76" t="s">
        <v>101</v>
      </c>
      <c r="H63" s="77"/>
      <c r="I63" s="77"/>
      <c r="J63" s="78"/>
      <c r="K63" s="80"/>
      <c r="L63" s="82" t="s">
        <v>12</v>
      </c>
      <c r="M63" s="84"/>
      <c r="N63" s="86"/>
      <c r="O63" s="86"/>
      <c r="P63" s="86"/>
      <c r="Q63" s="86"/>
      <c r="R63" s="86"/>
      <c r="S63" s="86"/>
      <c r="T63" s="86"/>
    </row>
    <row r="64" ht="123.75" customHeight="1" outlineLevel="1">
      <c r="A64" s="70" t="str">
        <f t="shared" si="5"/>
        <v>TC_User_Package_50</v>
      </c>
      <c r="B64" s="72" t="s">
        <v>874</v>
      </c>
      <c r="C64" s="73"/>
      <c r="D64" s="72"/>
      <c r="E64" s="92" t="s">
        <v>875</v>
      </c>
      <c r="F64" s="76" t="s">
        <v>56</v>
      </c>
      <c r="G64" s="76" t="s">
        <v>101</v>
      </c>
      <c r="H64" s="77"/>
      <c r="I64" s="77"/>
      <c r="J64" s="78"/>
      <c r="K64" s="80"/>
      <c r="L64" s="82" t="s">
        <v>12</v>
      </c>
      <c r="M64" s="84"/>
      <c r="N64" s="86"/>
      <c r="O64" s="86"/>
      <c r="P64" s="86"/>
      <c r="Q64" s="86"/>
      <c r="R64" s="86"/>
      <c r="S64" s="86"/>
      <c r="T64" s="86"/>
    </row>
    <row r="65" ht="123.75" customHeight="1" outlineLevel="1">
      <c r="A65" s="70" t="str">
        <f t="shared" si="5"/>
        <v>TC_User_Package_51</v>
      </c>
      <c r="B65" s="72" t="s">
        <v>879</v>
      </c>
      <c r="C65" s="73"/>
      <c r="D65" s="72"/>
      <c r="E65" s="92" t="s">
        <v>880</v>
      </c>
      <c r="F65" s="76" t="s">
        <v>56</v>
      </c>
      <c r="G65" s="76" t="s">
        <v>101</v>
      </c>
      <c r="H65" s="77"/>
      <c r="I65" s="77"/>
      <c r="J65" s="78"/>
      <c r="K65" s="80"/>
      <c r="L65" s="82" t="s">
        <v>12</v>
      </c>
      <c r="M65" s="84"/>
      <c r="N65" s="86"/>
      <c r="O65" s="86"/>
      <c r="P65" s="86"/>
      <c r="Q65" s="86"/>
      <c r="R65" s="86"/>
      <c r="S65" s="86"/>
      <c r="T65" s="86"/>
    </row>
    <row r="66" ht="123.75" customHeight="1" outlineLevel="1">
      <c r="A66" s="70" t="str">
        <f t="shared" si="5"/>
        <v>TC_User_Package_52</v>
      </c>
      <c r="B66" s="72" t="s">
        <v>885</v>
      </c>
      <c r="C66" s="73"/>
      <c r="D66" s="72"/>
      <c r="E66" s="92" t="s">
        <v>886</v>
      </c>
      <c r="F66" s="76" t="s">
        <v>109</v>
      </c>
      <c r="G66" s="76" t="s">
        <v>101</v>
      </c>
      <c r="H66" s="77"/>
      <c r="I66" s="77"/>
      <c r="J66" s="78"/>
      <c r="K66" s="80"/>
      <c r="L66" s="82" t="s">
        <v>12</v>
      </c>
      <c r="M66" s="84"/>
      <c r="N66" s="86"/>
      <c r="O66" s="86"/>
      <c r="P66" s="86"/>
      <c r="Q66" s="86"/>
      <c r="R66" s="86"/>
      <c r="S66" s="86"/>
      <c r="T66" s="86"/>
    </row>
    <row r="67" ht="123.75" customHeight="1" outlineLevel="1">
      <c r="A67" s="70" t="str">
        <f t="shared" si="5"/>
        <v>TC_User_Package_53</v>
      </c>
      <c r="B67" s="72" t="s">
        <v>888</v>
      </c>
      <c r="C67" s="73"/>
      <c r="D67" s="72"/>
      <c r="E67" s="92" t="s">
        <v>886</v>
      </c>
      <c r="F67" s="76" t="s">
        <v>109</v>
      </c>
      <c r="G67" s="76" t="s">
        <v>101</v>
      </c>
      <c r="H67" s="77"/>
      <c r="I67" s="77"/>
      <c r="J67" s="78"/>
      <c r="K67" s="80"/>
      <c r="L67" s="82" t="s">
        <v>12</v>
      </c>
      <c r="M67" s="84"/>
      <c r="N67" s="86"/>
      <c r="O67" s="86"/>
      <c r="P67" s="86"/>
      <c r="Q67" s="86"/>
      <c r="R67" s="86"/>
      <c r="S67" s="86"/>
      <c r="T67" s="86"/>
    </row>
    <row r="68" ht="42.0" customHeight="1">
      <c r="A68" s="55" t="s">
        <v>891</v>
      </c>
      <c r="B68" s="10"/>
      <c r="C68" s="57"/>
      <c r="D68" s="58"/>
      <c r="E68" s="58"/>
      <c r="F68" s="58"/>
      <c r="G68" s="60"/>
      <c r="H68" s="60"/>
      <c r="I68" s="60"/>
      <c r="J68" s="60"/>
      <c r="K68" s="60"/>
      <c r="L68" s="60"/>
      <c r="M68" s="60"/>
      <c r="N68" s="49"/>
      <c r="O68" s="49"/>
      <c r="P68" s="49"/>
      <c r="Q68" s="49"/>
      <c r="R68" s="49"/>
      <c r="S68" s="49"/>
      <c r="T68" s="49"/>
    </row>
    <row r="69" ht="123.75" customHeight="1" outlineLevel="1">
      <c r="A69" s="70" t="str">
        <f t="shared" ref="A69:A78" si="6">"TC_User_Package_"&amp;(ROW()-ROW($A$11)+1-5)</f>
        <v>TC_User_Package_54</v>
      </c>
      <c r="B69" s="72" t="s">
        <v>895</v>
      </c>
      <c r="C69" s="73"/>
      <c r="D69" s="72"/>
      <c r="E69" s="92" t="s">
        <v>896</v>
      </c>
      <c r="F69" s="76" t="s">
        <v>56</v>
      </c>
      <c r="G69" s="76" t="s">
        <v>101</v>
      </c>
      <c r="H69" s="77"/>
      <c r="I69" s="77"/>
      <c r="J69" s="78"/>
      <c r="K69" s="80"/>
      <c r="L69" s="82" t="s">
        <v>22</v>
      </c>
      <c r="M69" s="84"/>
      <c r="N69" s="86"/>
      <c r="O69" s="86"/>
      <c r="P69" s="86"/>
      <c r="Q69" s="86"/>
      <c r="R69" s="86"/>
      <c r="S69" s="86"/>
      <c r="T69" s="86"/>
    </row>
    <row r="70" ht="123.75" customHeight="1" outlineLevel="1">
      <c r="A70" s="70" t="str">
        <f t="shared" si="6"/>
        <v>TC_User_Package_55</v>
      </c>
      <c r="B70" s="72" t="s">
        <v>900</v>
      </c>
      <c r="C70" s="73"/>
      <c r="D70" s="72"/>
      <c r="E70" s="92" t="s">
        <v>901</v>
      </c>
      <c r="F70" s="76" t="s">
        <v>109</v>
      </c>
      <c r="G70" s="76" t="s">
        <v>101</v>
      </c>
      <c r="H70" s="77"/>
      <c r="I70" s="77"/>
      <c r="J70" s="78"/>
      <c r="K70" s="80"/>
      <c r="L70" s="82" t="s">
        <v>22</v>
      </c>
      <c r="M70" s="84"/>
      <c r="N70" s="86"/>
      <c r="O70" s="86"/>
      <c r="P70" s="86"/>
      <c r="Q70" s="86"/>
      <c r="R70" s="86"/>
      <c r="S70" s="86"/>
      <c r="T70" s="86"/>
    </row>
    <row r="71" ht="123.75" customHeight="1" outlineLevel="1">
      <c r="A71" s="70" t="str">
        <f t="shared" si="6"/>
        <v>TC_User_Package_56</v>
      </c>
      <c r="B71" s="72" t="s">
        <v>904</v>
      </c>
      <c r="C71" s="73"/>
      <c r="D71" s="72"/>
      <c r="E71" s="92" t="s">
        <v>901</v>
      </c>
      <c r="F71" s="76" t="s">
        <v>109</v>
      </c>
      <c r="G71" s="76" t="s">
        <v>101</v>
      </c>
      <c r="H71" s="77"/>
      <c r="I71" s="77"/>
      <c r="J71" s="78"/>
      <c r="K71" s="80"/>
      <c r="L71" s="82" t="s">
        <v>22</v>
      </c>
      <c r="M71" s="84"/>
      <c r="N71" s="86"/>
      <c r="O71" s="86"/>
      <c r="P71" s="86"/>
      <c r="Q71" s="86"/>
      <c r="R71" s="86"/>
      <c r="S71" s="86"/>
      <c r="T71" s="86"/>
    </row>
    <row r="72" ht="123.75" customHeight="1" outlineLevel="1">
      <c r="A72" s="70" t="str">
        <f t="shared" si="6"/>
        <v>TC_User_Package_57</v>
      </c>
      <c r="B72" s="72" t="s">
        <v>909</v>
      </c>
      <c r="C72" s="73"/>
      <c r="D72" s="72"/>
      <c r="E72" s="92" t="s">
        <v>896</v>
      </c>
      <c r="F72" s="76" t="s">
        <v>56</v>
      </c>
      <c r="G72" s="76" t="s">
        <v>101</v>
      </c>
      <c r="H72" s="77"/>
      <c r="I72" s="77"/>
      <c r="J72" s="78"/>
      <c r="K72" s="80"/>
      <c r="L72" s="82" t="s">
        <v>22</v>
      </c>
      <c r="M72" s="84"/>
      <c r="N72" s="86"/>
      <c r="O72" s="86"/>
      <c r="P72" s="86"/>
      <c r="Q72" s="86"/>
      <c r="R72" s="86"/>
      <c r="S72" s="86"/>
      <c r="T72" s="86"/>
    </row>
    <row r="73" ht="123.75" customHeight="1" outlineLevel="1">
      <c r="A73" s="70" t="str">
        <f t="shared" si="6"/>
        <v>TC_User_Package_58</v>
      </c>
      <c r="B73" s="72" t="s">
        <v>911</v>
      </c>
      <c r="C73" s="73"/>
      <c r="D73" s="72"/>
      <c r="E73" s="92" t="s">
        <v>914</v>
      </c>
      <c r="F73" s="76" t="s">
        <v>56</v>
      </c>
      <c r="G73" s="76" t="s">
        <v>101</v>
      </c>
      <c r="H73" s="77"/>
      <c r="I73" s="77"/>
      <c r="J73" s="78"/>
      <c r="K73" s="80"/>
      <c r="L73" s="82" t="s">
        <v>22</v>
      </c>
      <c r="M73" s="84"/>
      <c r="N73" s="86"/>
      <c r="O73" s="86"/>
      <c r="P73" s="86"/>
      <c r="Q73" s="86"/>
      <c r="R73" s="86"/>
      <c r="S73" s="86"/>
      <c r="T73" s="86"/>
    </row>
    <row r="74" ht="123.75" customHeight="1" outlineLevel="1">
      <c r="A74" s="70" t="str">
        <f t="shared" si="6"/>
        <v>TC_User_Package_59</v>
      </c>
      <c r="B74" s="72" t="s">
        <v>918</v>
      </c>
      <c r="C74" s="73"/>
      <c r="D74" s="72"/>
      <c r="E74" s="92" t="s">
        <v>901</v>
      </c>
      <c r="F74" s="76" t="s">
        <v>109</v>
      </c>
      <c r="G74" s="76" t="s">
        <v>101</v>
      </c>
      <c r="H74" s="77"/>
      <c r="I74" s="77"/>
      <c r="J74" s="78"/>
      <c r="K74" s="80"/>
      <c r="L74" s="82" t="s">
        <v>22</v>
      </c>
      <c r="M74" s="84"/>
      <c r="N74" s="86"/>
      <c r="O74" s="86"/>
      <c r="P74" s="86"/>
      <c r="Q74" s="86"/>
      <c r="R74" s="86"/>
      <c r="S74" s="86"/>
      <c r="T74" s="86"/>
    </row>
    <row r="75" ht="123.75" customHeight="1" outlineLevel="1">
      <c r="A75" s="70" t="str">
        <f t="shared" si="6"/>
        <v>TC_User_Package_60</v>
      </c>
      <c r="B75" s="72" t="s">
        <v>923</v>
      </c>
      <c r="C75" s="73"/>
      <c r="D75" s="72"/>
      <c r="E75" s="92" t="s">
        <v>901</v>
      </c>
      <c r="F75" s="76" t="s">
        <v>109</v>
      </c>
      <c r="G75" s="76" t="s">
        <v>101</v>
      </c>
      <c r="H75" s="77"/>
      <c r="I75" s="77"/>
      <c r="J75" s="78"/>
      <c r="K75" s="80"/>
      <c r="L75" s="82" t="s">
        <v>22</v>
      </c>
      <c r="M75" s="84"/>
      <c r="N75" s="86"/>
      <c r="O75" s="86"/>
      <c r="P75" s="86"/>
      <c r="Q75" s="86"/>
      <c r="R75" s="86"/>
      <c r="S75" s="86"/>
      <c r="T75" s="86"/>
    </row>
    <row r="76" ht="123.75" customHeight="1" outlineLevel="1">
      <c r="A76" s="70" t="str">
        <f t="shared" si="6"/>
        <v>TC_User_Package_61</v>
      </c>
      <c r="B76" s="72" t="s">
        <v>929</v>
      </c>
      <c r="C76" s="73"/>
      <c r="D76" s="72"/>
      <c r="E76" s="92" t="s">
        <v>914</v>
      </c>
      <c r="F76" s="76" t="s">
        <v>56</v>
      </c>
      <c r="G76" s="76" t="s">
        <v>101</v>
      </c>
      <c r="H76" s="77"/>
      <c r="I76" s="77"/>
      <c r="J76" s="78"/>
      <c r="K76" s="80"/>
      <c r="L76" s="82" t="s">
        <v>22</v>
      </c>
      <c r="M76" s="84"/>
      <c r="N76" s="86"/>
      <c r="O76" s="86"/>
      <c r="P76" s="86"/>
      <c r="Q76" s="86"/>
      <c r="R76" s="86"/>
      <c r="S76" s="86"/>
      <c r="T76" s="86"/>
    </row>
    <row r="77" ht="123.75" customHeight="1" outlineLevel="1">
      <c r="A77" s="70" t="str">
        <f t="shared" si="6"/>
        <v>TC_User_Package_62</v>
      </c>
      <c r="B77" s="72" t="s">
        <v>931</v>
      </c>
      <c r="C77" s="73"/>
      <c r="D77" s="72"/>
      <c r="E77" s="92" t="s">
        <v>932</v>
      </c>
      <c r="F77" s="76" t="s">
        <v>56</v>
      </c>
      <c r="G77" s="76" t="s">
        <v>101</v>
      </c>
      <c r="H77" s="77"/>
      <c r="I77" s="77"/>
      <c r="J77" s="78"/>
      <c r="K77" s="80"/>
      <c r="L77" s="82" t="s">
        <v>22</v>
      </c>
      <c r="M77" s="84"/>
      <c r="N77" s="86"/>
      <c r="O77" s="86"/>
      <c r="P77" s="86"/>
      <c r="Q77" s="86"/>
      <c r="R77" s="86"/>
      <c r="S77" s="86"/>
      <c r="T77" s="86"/>
    </row>
    <row r="78" ht="123.75" customHeight="1" outlineLevel="1">
      <c r="A78" s="70" t="str">
        <f t="shared" si="6"/>
        <v>TC_User_Package_63</v>
      </c>
      <c r="B78" s="72" t="s">
        <v>937</v>
      </c>
      <c r="C78" s="73"/>
      <c r="D78" s="72"/>
      <c r="E78" s="92" t="s">
        <v>939</v>
      </c>
      <c r="F78" s="76" t="s">
        <v>56</v>
      </c>
      <c r="G78" s="76" t="s">
        <v>101</v>
      </c>
      <c r="H78" s="77"/>
      <c r="I78" s="77"/>
      <c r="J78" s="78"/>
      <c r="K78" s="80"/>
      <c r="L78" s="82" t="s">
        <v>12</v>
      </c>
      <c r="M78" s="84"/>
      <c r="N78" s="86"/>
      <c r="O78" s="86"/>
      <c r="P78" s="86"/>
      <c r="Q78" s="86"/>
      <c r="R78" s="86"/>
      <c r="S78" s="86"/>
      <c r="T78" s="86"/>
    </row>
    <row r="79" ht="42.0" customHeight="1">
      <c r="A79" s="55" t="s">
        <v>943</v>
      </c>
      <c r="B79" s="10"/>
      <c r="C79" s="57"/>
      <c r="D79" s="58"/>
      <c r="E79" s="58"/>
      <c r="F79" s="58"/>
      <c r="G79" s="60"/>
      <c r="H79" s="60"/>
      <c r="I79" s="60"/>
      <c r="J79" s="60"/>
      <c r="K79" s="60"/>
      <c r="L79" s="60"/>
      <c r="M79" s="60"/>
      <c r="N79" s="49"/>
      <c r="O79" s="49"/>
      <c r="P79" s="49"/>
      <c r="Q79" s="49"/>
      <c r="R79" s="49"/>
      <c r="S79" s="49"/>
      <c r="T79" s="49"/>
    </row>
    <row r="80" ht="123.75" customHeight="1" outlineLevel="1">
      <c r="A80" s="70" t="str">
        <f t="shared" ref="A80:A85" si="7">"TC_User_Package_"&amp;(ROW()-ROW($A$11)+1-6)</f>
        <v>TC_User_Package_64</v>
      </c>
      <c r="B80" s="72" t="s">
        <v>948</v>
      </c>
      <c r="C80" s="73"/>
      <c r="D80" s="72"/>
      <c r="E80" s="92" t="s">
        <v>949</v>
      </c>
      <c r="F80" s="76" t="s">
        <v>56</v>
      </c>
      <c r="G80" s="76" t="s">
        <v>101</v>
      </c>
      <c r="H80" s="77"/>
      <c r="I80" s="77"/>
      <c r="J80" s="78"/>
      <c r="K80" s="80"/>
      <c r="L80" s="82" t="s">
        <v>22</v>
      </c>
      <c r="M80" s="84"/>
      <c r="N80" s="86"/>
      <c r="O80" s="86"/>
      <c r="P80" s="86"/>
      <c r="Q80" s="86"/>
      <c r="R80" s="86"/>
      <c r="S80" s="86"/>
      <c r="T80" s="86"/>
    </row>
    <row r="81" ht="123.75" customHeight="1" outlineLevel="1">
      <c r="A81" s="70" t="str">
        <f t="shared" si="7"/>
        <v>TC_User_Package_65</v>
      </c>
      <c r="B81" s="72" t="s">
        <v>952</v>
      </c>
      <c r="C81" s="73"/>
      <c r="D81" s="72"/>
      <c r="E81" s="92" t="s">
        <v>953</v>
      </c>
      <c r="F81" s="76" t="s">
        <v>109</v>
      </c>
      <c r="G81" s="76" t="s">
        <v>101</v>
      </c>
      <c r="H81" s="77"/>
      <c r="I81" s="77"/>
      <c r="J81" s="78"/>
      <c r="K81" s="80"/>
      <c r="L81" s="82" t="s">
        <v>22</v>
      </c>
      <c r="M81" s="84"/>
      <c r="N81" s="86"/>
      <c r="O81" s="86"/>
      <c r="P81" s="86"/>
      <c r="Q81" s="86"/>
      <c r="R81" s="86"/>
      <c r="S81" s="86"/>
      <c r="T81" s="86"/>
    </row>
    <row r="82" ht="123.75" customHeight="1" outlineLevel="1">
      <c r="A82" s="70" t="str">
        <f t="shared" si="7"/>
        <v>TC_User_Package_66</v>
      </c>
      <c r="B82" s="72" t="s">
        <v>958</v>
      </c>
      <c r="C82" s="73"/>
      <c r="D82" s="72"/>
      <c r="E82" s="92" t="s">
        <v>953</v>
      </c>
      <c r="F82" s="76" t="s">
        <v>109</v>
      </c>
      <c r="G82" s="76" t="s">
        <v>101</v>
      </c>
      <c r="H82" s="77"/>
      <c r="I82" s="77"/>
      <c r="J82" s="78"/>
      <c r="K82" s="80"/>
      <c r="L82" s="82" t="s">
        <v>22</v>
      </c>
      <c r="M82" s="84"/>
      <c r="N82" s="86"/>
      <c r="O82" s="86"/>
      <c r="P82" s="86"/>
      <c r="Q82" s="86"/>
      <c r="R82" s="86"/>
      <c r="S82" s="86"/>
      <c r="T82" s="86"/>
    </row>
    <row r="83" ht="123.75" customHeight="1" outlineLevel="1">
      <c r="A83" s="70" t="str">
        <f t="shared" si="7"/>
        <v>TC_User_Package_67</v>
      </c>
      <c r="B83" s="72" t="s">
        <v>963</v>
      </c>
      <c r="C83" s="73"/>
      <c r="D83" s="72"/>
      <c r="E83" s="92" t="s">
        <v>966</v>
      </c>
      <c r="F83" s="76" t="s">
        <v>56</v>
      </c>
      <c r="G83" s="76" t="s">
        <v>101</v>
      </c>
      <c r="H83" s="77"/>
      <c r="I83" s="77"/>
      <c r="J83" s="78"/>
      <c r="K83" s="80"/>
      <c r="L83" s="82" t="s">
        <v>22</v>
      </c>
      <c r="M83" s="84"/>
      <c r="N83" s="86"/>
      <c r="O83" s="86"/>
      <c r="P83" s="86"/>
      <c r="Q83" s="86"/>
      <c r="R83" s="86"/>
      <c r="S83" s="86"/>
      <c r="T83" s="86"/>
    </row>
    <row r="84" ht="123.75" customHeight="1" outlineLevel="1">
      <c r="A84" s="70" t="str">
        <f t="shared" si="7"/>
        <v>TC_User_Package_68</v>
      </c>
      <c r="B84" s="72" t="s">
        <v>970</v>
      </c>
      <c r="C84" s="73"/>
      <c r="D84" s="72"/>
      <c r="E84" s="92" t="s">
        <v>971</v>
      </c>
      <c r="F84" s="76" t="s">
        <v>56</v>
      </c>
      <c r="G84" s="76" t="s">
        <v>101</v>
      </c>
      <c r="H84" s="77"/>
      <c r="I84" s="77"/>
      <c r="J84" s="78"/>
      <c r="K84" s="80"/>
      <c r="L84" s="82" t="s">
        <v>22</v>
      </c>
      <c r="M84" s="84"/>
      <c r="N84" s="86"/>
      <c r="O84" s="86"/>
      <c r="P84" s="86"/>
      <c r="Q84" s="86"/>
      <c r="R84" s="86"/>
      <c r="S84" s="86"/>
      <c r="T84" s="86"/>
    </row>
    <row r="85" ht="123.75" customHeight="1" outlineLevel="1">
      <c r="A85" s="70" t="str">
        <f t="shared" si="7"/>
        <v>TC_User_Package_69</v>
      </c>
      <c r="B85" s="72" t="s">
        <v>974</v>
      </c>
      <c r="C85" s="73"/>
      <c r="D85" s="72"/>
      <c r="E85" s="92" t="s">
        <v>976</v>
      </c>
      <c r="F85" s="76" t="s">
        <v>109</v>
      </c>
      <c r="G85" s="76" t="s">
        <v>101</v>
      </c>
      <c r="H85" s="77"/>
      <c r="I85" s="77"/>
      <c r="J85" s="78"/>
      <c r="K85" s="80"/>
      <c r="L85" s="82" t="s">
        <v>22</v>
      </c>
      <c r="M85" s="84"/>
      <c r="N85" s="86"/>
      <c r="O85" s="86"/>
      <c r="P85" s="86"/>
      <c r="Q85" s="86"/>
      <c r="R85" s="86"/>
      <c r="S85" s="86"/>
      <c r="T85" s="86"/>
    </row>
    <row r="86" ht="42.0" customHeight="1">
      <c r="A86" s="55" t="s">
        <v>979</v>
      </c>
      <c r="B86" s="10"/>
      <c r="C86" s="57"/>
      <c r="D86" s="58"/>
      <c r="E86" s="58"/>
      <c r="F86" s="58"/>
      <c r="G86" s="60"/>
      <c r="H86" s="60"/>
      <c r="I86" s="60"/>
      <c r="J86" s="60"/>
      <c r="K86" s="60"/>
      <c r="L86" s="60"/>
      <c r="M86" s="60"/>
      <c r="N86" s="49"/>
      <c r="O86" s="49"/>
      <c r="P86" s="49"/>
      <c r="Q86" s="49"/>
      <c r="R86" s="49"/>
      <c r="S86" s="49"/>
      <c r="T86" s="49"/>
    </row>
    <row r="87" ht="123.75" customHeight="1" outlineLevel="1">
      <c r="A87" s="70" t="str">
        <f t="shared" ref="A87:A89" si="8">"TC_User_Package_"&amp;(ROW()-ROW($A$11)+1-7)</f>
        <v>TC_User_Package_70</v>
      </c>
      <c r="B87" s="72" t="s">
        <v>986</v>
      </c>
      <c r="C87" s="73"/>
      <c r="D87" s="72"/>
      <c r="E87" s="92" t="s">
        <v>987</v>
      </c>
      <c r="F87" s="76" t="s">
        <v>109</v>
      </c>
      <c r="G87" s="76" t="s">
        <v>101</v>
      </c>
      <c r="H87" s="77"/>
      <c r="I87" s="79" t="s">
        <v>649</v>
      </c>
      <c r="J87" s="78"/>
      <c r="K87" s="139">
        <v>46239.0</v>
      </c>
      <c r="L87" s="82" t="s">
        <v>22</v>
      </c>
      <c r="M87" s="141" t="s">
        <v>734</v>
      </c>
      <c r="N87" s="86"/>
      <c r="O87" s="86"/>
      <c r="P87" s="86"/>
      <c r="Q87" s="86"/>
      <c r="R87" s="86"/>
      <c r="S87" s="86"/>
      <c r="T87" s="86"/>
    </row>
    <row r="88" ht="123.75" customHeight="1" outlineLevel="1">
      <c r="A88" s="70" t="str">
        <f t="shared" si="8"/>
        <v>TC_User_Package_71</v>
      </c>
      <c r="B88" s="72" t="s">
        <v>994</v>
      </c>
      <c r="C88" s="73"/>
      <c r="D88" s="72"/>
      <c r="E88" s="92" t="s">
        <v>995</v>
      </c>
      <c r="F88" s="76" t="s">
        <v>109</v>
      </c>
      <c r="G88" s="76" t="s">
        <v>57</v>
      </c>
      <c r="H88" s="77"/>
      <c r="I88" s="79" t="s">
        <v>649</v>
      </c>
      <c r="J88" s="78"/>
      <c r="K88" s="139">
        <v>46239.0</v>
      </c>
      <c r="L88" s="82" t="s">
        <v>32</v>
      </c>
      <c r="M88" s="142" t="s">
        <v>998</v>
      </c>
      <c r="N88" s="86"/>
      <c r="O88" s="86"/>
      <c r="P88" s="86"/>
      <c r="Q88" s="86"/>
      <c r="R88" s="86"/>
      <c r="S88" s="86"/>
      <c r="T88" s="86"/>
    </row>
    <row r="89" ht="123.75" customHeight="1" outlineLevel="1">
      <c r="A89" s="70" t="str">
        <f t="shared" si="8"/>
        <v>TC_User_Package_72</v>
      </c>
      <c r="B89" s="72" t="s">
        <v>1000</v>
      </c>
      <c r="C89" s="73"/>
      <c r="D89" s="72"/>
      <c r="E89" s="92" t="s">
        <v>1002</v>
      </c>
      <c r="F89" s="76" t="s">
        <v>109</v>
      </c>
      <c r="G89" s="76" t="s">
        <v>101</v>
      </c>
      <c r="H89" s="77"/>
      <c r="I89" s="79" t="s">
        <v>649</v>
      </c>
      <c r="J89" s="78"/>
      <c r="K89" s="139">
        <v>46239.0</v>
      </c>
      <c r="L89" s="82" t="s">
        <v>22</v>
      </c>
      <c r="M89" s="84"/>
      <c r="N89" s="86"/>
      <c r="O89" s="86"/>
      <c r="P89" s="86"/>
      <c r="Q89" s="86"/>
      <c r="R89" s="86"/>
      <c r="S89" s="86"/>
      <c r="T89" s="86"/>
    </row>
    <row r="90" ht="42.0" customHeight="1">
      <c r="A90" s="55" t="s">
        <v>1007</v>
      </c>
      <c r="B90" s="10"/>
      <c r="C90" s="57"/>
      <c r="D90" s="58"/>
      <c r="E90" s="58"/>
      <c r="F90" s="58"/>
      <c r="G90" s="60"/>
      <c r="H90" s="60"/>
      <c r="I90" s="60"/>
      <c r="J90" s="60"/>
      <c r="K90" s="60"/>
      <c r="L90" s="60"/>
      <c r="M90" s="60"/>
      <c r="N90" s="49"/>
      <c r="O90" s="49"/>
      <c r="P90" s="49"/>
      <c r="Q90" s="49"/>
      <c r="R90" s="49"/>
      <c r="S90" s="49"/>
      <c r="T90" s="49"/>
    </row>
    <row r="91" ht="123.75" customHeight="1" outlineLevel="1">
      <c r="A91" s="70" t="str">
        <f t="shared" ref="A91:A92" si="9">"TC_User_Package_"&amp;(ROW()-ROW($A$11)+1-8)</f>
        <v>TC_User_Package_73</v>
      </c>
      <c r="B91" s="72" t="s">
        <v>1012</v>
      </c>
      <c r="C91" s="73"/>
      <c r="D91" s="72"/>
      <c r="E91" s="92" t="s">
        <v>1015</v>
      </c>
      <c r="F91" s="76" t="s">
        <v>109</v>
      </c>
      <c r="G91" s="76" t="s">
        <v>101</v>
      </c>
      <c r="H91" s="77"/>
      <c r="I91" s="79" t="s">
        <v>649</v>
      </c>
      <c r="J91" s="78"/>
      <c r="K91" s="139">
        <v>46238.0</v>
      </c>
      <c r="L91" s="82" t="s">
        <v>32</v>
      </c>
      <c r="M91" s="160" t="s">
        <v>1016</v>
      </c>
      <c r="N91" s="86"/>
      <c r="O91" s="86"/>
      <c r="P91" s="86"/>
      <c r="Q91" s="86"/>
      <c r="R91" s="86"/>
      <c r="S91" s="86"/>
      <c r="T91" s="86"/>
    </row>
    <row r="92" ht="123.75" customHeight="1" outlineLevel="1">
      <c r="A92" s="70" t="str">
        <f t="shared" si="9"/>
        <v>TC_User_Package_74</v>
      </c>
      <c r="B92" s="72" t="s">
        <v>1020</v>
      </c>
      <c r="C92" s="73"/>
      <c r="D92" s="72"/>
      <c r="E92" s="92" t="s">
        <v>1023</v>
      </c>
      <c r="F92" s="76" t="s">
        <v>109</v>
      </c>
      <c r="G92" s="76" t="s">
        <v>57</v>
      </c>
      <c r="H92" s="77"/>
      <c r="I92" s="79"/>
      <c r="J92" s="78"/>
      <c r="K92" s="139"/>
      <c r="L92" s="82" t="s">
        <v>12</v>
      </c>
      <c r="M92" s="161" t="s">
        <v>1025</v>
      </c>
      <c r="N92" s="86"/>
      <c r="O92" s="86"/>
      <c r="P92" s="86"/>
      <c r="Q92" s="86"/>
      <c r="R92" s="86"/>
      <c r="S92" s="86"/>
      <c r="T92" s="86"/>
    </row>
    <row r="93" ht="15.75" customHeight="1">
      <c r="I93" s="117"/>
      <c r="K93" s="117"/>
      <c r="L93" s="118"/>
    </row>
    <row r="94" ht="15.75" customHeight="1">
      <c r="I94" s="117"/>
      <c r="K94" s="117"/>
      <c r="L94" s="118"/>
    </row>
    <row r="95" ht="15.75" customHeight="1">
      <c r="I95" s="117"/>
      <c r="K95" s="117"/>
      <c r="L95" s="118"/>
    </row>
    <row r="96" ht="15.75" customHeight="1">
      <c r="I96" s="117"/>
      <c r="K96" s="117"/>
      <c r="L96" s="118"/>
    </row>
    <row r="97" ht="15.75" customHeight="1">
      <c r="I97" s="117"/>
      <c r="K97" s="117"/>
      <c r="L97" s="118"/>
    </row>
    <row r="98" ht="15.75" customHeight="1">
      <c r="I98" s="117"/>
      <c r="K98" s="117"/>
      <c r="L98" s="118"/>
    </row>
    <row r="99" ht="15.75" customHeight="1">
      <c r="A99" s="111" t="s">
        <v>1031</v>
      </c>
      <c r="I99" s="117"/>
      <c r="K99" s="117"/>
      <c r="L99" s="118"/>
    </row>
    <row r="100" ht="15.75" customHeight="1">
      <c r="A100" s="111" t="s">
        <v>1032</v>
      </c>
      <c r="I100" s="117"/>
      <c r="K100" s="117"/>
      <c r="L100" s="118"/>
    </row>
    <row r="101" ht="15.75" customHeight="1">
      <c r="I101" s="117"/>
      <c r="K101" s="117"/>
      <c r="L101" s="118"/>
    </row>
    <row r="102" ht="15.75" customHeight="1">
      <c r="I102" s="117"/>
      <c r="K102" s="117"/>
      <c r="L102" s="118"/>
    </row>
    <row r="103" ht="15.75" customHeight="1">
      <c r="I103" s="117"/>
      <c r="K103" s="117"/>
      <c r="L103" s="118"/>
    </row>
    <row r="104" ht="15.75" customHeight="1">
      <c r="I104" s="117"/>
      <c r="K104" s="117"/>
      <c r="L104" s="118"/>
    </row>
    <row r="105" ht="15.75" customHeight="1">
      <c r="I105" s="117"/>
      <c r="K105" s="117"/>
      <c r="L105" s="118"/>
    </row>
    <row r="106" ht="15.75" customHeight="1">
      <c r="I106" s="117"/>
      <c r="K106" s="117"/>
      <c r="L106" s="118"/>
    </row>
    <row r="107" ht="15.75" customHeight="1">
      <c r="I107" s="117"/>
      <c r="K107" s="117"/>
      <c r="L107" s="118"/>
    </row>
    <row r="108" ht="15.75" customHeight="1">
      <c r="I108" s="117"/>
      <c r="K108" s="117"/>
      <c r="L108" s="118"/>
    </row>
    <row r="109" ht="15.75" customHeight="1">
      <c r="I109" s="117"/>
      <c r="K109" s="117"/>
      <c r="L109" s="118"/>
    </row>
    <row r="110" ht="15.75" customHeight="1">
      <c r="I110" s="117"/>
      <c r="K110" s="117"/>
      <c r="L110" s="118"/>
    </row>
    <row r="111" ht="15.75" customHeight="1">
      <c r="I111" s="117"/>
      <c r="K111" s="117"/>
      <c r="L111" s="118"/>
    </row>
    <row r="112" ht="15.75" customHeight="1">
      <c r="E112" s="124" t="s">
        <v>462</v>
      </c>
      <c r="F112" s="125">
        <f>COUNTIF(L11:L89,"Pass")</f>
        <v>51</v>
      </c>
      <c r="G112" s="126">
        <f>(F112/F118)*100</f>
        <v>71.83098592</v>
      </c>
      <c r="H112" s="127" t="s">
        <v>465</v>
      </c>
      <c r="I112" s="117"/>
      <c r="K112" s="117"/>
      <c r="L112" s="118"/>
    </row>
    <row r="113" ht="15.75" customHeight="1">
      <c r="E113" s="124" t="s">
        <v>467</v>
      </c>
      <c r="F113" s="125">
        <f>COUNTIF(L11:L89,"Fail")</f>
        <v>4</v>
      </c>
      <c r="G113" s="126">
        <f>(F113/F118)*100</f>
        <v>5.633802817</v>
      </c>
      <c r="H113" s="127" t="s">
        <v>465</v>
      </c>
      <c r="I113" s="117"/>
      <c r="K113" s="117"/>
      <c r="L113" s="118"/>
    </row>
    <row r="114" ht="15.75" customHeight="1">
      <c r="E114" s="124" t="s">
        <v>12</v>
      </c>
      <c r="F114" s="125">
        <f>COUNTIF(L11:L89,"Not Start")</f>
        <v>14</v>
      </c>
      <c r="G114" s="126">
        <f>(F114/F118)*100</f>
        <v>19.71830986</v>
      </c>
      <c r="H114" s="127" t="s">
        <v>465</v>
      </c>
      <c r="I114" s="117"/>
      <c r="K114" s="117"/>
      <c r="L114" s="118"/>
    </row>
    <row r="115" ht="15.75" customHeight="1">
      <c r="E115" s="124" t="s">
        <v>474</v>
      </c>
      <c r="F115" s="125">
        <f>COUNTIF(L11:L89,"Pending")</f>
        <v>0</v>
      </c>
      <c r="G115" s="126">
        <f>(F115/F118)*100</f>
        <v>0</v>
      </c>
      <c r="H115" s="127" t="s">
        <v>465</v>
      </c>
      <c r="I115" s="117"/>
      <c r="K115" s="117"/>
      <c r="L115" s="118"/>
    </row>
    <row r="116" ht="15.75" customHeight="1">
      <c r="E116" s="124" t="s">
        <v>44</v>
      </c>
      <c r="F116" s="125">
        <f>COUNTIF(L11:L89,"Deferred")</f>
        <v>2</v>
      </c>
      <c r="G116" s="126">
        <f>(F116/F118)*100</f>
        <v>2.816901408</v>
      </c>
      <c r="H116" s="127" t="s">
        <v>465</v>
      </c>
      <c r="I116" s="117"/>
      <c r="K116" s="117"/>
      <c r="L116" s="118"/>
    </row>
    <row r="117" ht="15.75" customHeight="1">
      <c r="E117" s="124" t="s">
        <v>479</v>
      </c>
      <c r="F117" s="125">
        <f>COUNTIF(L11:L89,"Not Applicable")</f>
        <v>0</v>
      </c>
      <c r="G117" s="126">
        <f>(F117/F118)*100</f>
        <v>0</v>
      </c>
      <c r="H117" s="127" t="s">
        <v>465</v>
      </c>
      <c r="I117" s="117"/>
      <c r="K117" s="117"/>
      <c r="L117" s="118"/>
    </row>
    <row r="118" ht="15.75" customHeight="1">
      <c r="E118" s="128" t="s">
        <v>49</v>
      </c>
      <c r="F118" s="129">
        <f t="shared" ref="F118:G118" si="10">SUM(F112:F117)</f>
        <v>71</v>
      </c>
      <c r="G118" s="130">
        <f t="shared" si="10"/>
        <v>100</v>
      </c>
      <c r="H118" s="131" t="s">
        <v>465</v>
      </c>
      <c r="I118" s="117"/>
      <c r="K118" s="117"/>
      <c r="L118" s="118"/>
    </row>
    <row r="119" ht="15.75" customHeight="1">
      <c r="E119" s="132" t="s">
        <v>484</v>
      </c>
      <c r="F119" s="133"/>
      <c r="G119" s="134">
        <f>G112+G113+G115+G117</f>
        <v>77.46478873</v>
      </c>
      <c r="H119" s="135"/>
      <c r="I119" s="117"/>
      <c r="K119" s="117"/>
      <c r="L119" s="118"/>
    </row>
    <row r="120" ht="15.75" customHeight="1">
      <c r="E120" s="132" t="s">
        <v>485</v>
      </c>
      <c r="F120" s="36"/>
      <c r="G120" s="136">
        <f>F112/(F118-F117-F115)</f>
        <v>0.7183098592</v>
      </c>
      <c r="H120" s="137"/>
      <c r="I120" s="117"/>
      <c r="K120" s="117"/>
      <c r="L120" s="118"/>
    </row>
    <row r="121" ht="15.75" customHeight="1">
      <c r="I121" s="117"/>
      <c r="K121" s="117"/>
      <c r="L121" s="118"/>
    </row>
    <row r="122" ht="15.75" customHeight="1">
      <c r="I122" s="117"/>
      <c r="K122" s="117"/>
      <c r="L122" s="118"/>
    </row>
    <row r="123" ht="15.75" customHeight="1">
      <c r="I123" s="117"/>
      <c r="K123" s="117"/>
      <c r="L123" s="118"/>
    </row>
    <row r="124" ht="15.75" customHeight="1">
      <c r="I124" s="117"/>
      <c r="K124" s="117"/>
      <c r="L124" s="118"/>
    </row>
    <row r="125" ht="15.75" customHeight="1">
      <c r="I125" s="117"/>
      <c r="K125" s="117"/>
      <c r="L125" s="118"/>
    </row>
    <row r="126" ht="15.75" customHeight="1">
      <c r="I126" s="117"/>
      <c r="K126" s="117"/>
      <c r="L126" s="118"/>
    </row>
    <row r="127" ht="15.75" customHeight="1">
      <c r="I127" s="117"/>
      <c r="K127" s="117"/>
      <c r="L127" s="118"/>
    </row>
    <row r="128" ht="15.75" customHeight="1">
      <c r="I128" s="117"/>
      <c r="K128" s="117"/>
      <c r="L128" s="118"/>
    </row>
    <row r="129" ht="15.75" customHeight="1">
      <c r="I129" s="117"/>
      <c r="K129" s="117"/>
      <c r="L129" s="118"/>
    </row>
    <row r="130" ht="15.75" customHeight="1">
      <c r="I130" s="117"/>
      <c r="K130" s="117"/>
      <c r="L130" s="118"/>
    </row>
    <row r="131" ht="15.75" customHeight="1">
      <c r="I131" s="117"/>
      <c r="K131" s="117"/>
      <c r="L131" s="118"/>
    </row>
    <row r="132" ht="15.75" customHeight="1">
      <c r="I132" s="117"/>
      <c r="K132" s="117"/>
      <c r="L132" s="118"/>
    </row>
    <row r="133" ht="15.75" customHeight="1">
      <c r="I133" s="117"/>
      <c r="K133" s="117"/>
      <c r="L133" s="118"/>
    </row>
    <row r="134" ht="15.75" customHeight="1">
      <c r="I134" s="117"/>
      <c r="K134" s="117"/>
      <c r="L134" s="118"/>
    </row>
    <row r="135" ht="15.75" customHeight="1">
      <c r="I135" s="117"/>
      <c r="K135" s="117"/>
      <c r="L135" s="118"/>
    </row>
    <row r="136" ht="15.75" customHeight="1">
      <c r="I136" s="117"/>
      <c r="K136" s="117"/>
      <c r="L136" s="118"/>
    </row>
    <row r="137" ht="15.75" customHeight="1">
      <c r="I137" s="117"/>
      <c r="K137" s="117"/>
      <c r="L137" s="118"/>
    </row>
    <row r="138" ht="15.75" customHeight="1">
      <c r="I138" s="117"/>
      <c r="K138" s="117"/>
      <c r="L138" s="118"/>
    </row>
    <row r="139" ht="15.75" customHeight="1">
      <c r="I139" s="117"/>
      <c r="K139" s="117"/>
      <c r="L139" s="118"/>
    </row>
    <row r="140" ht="15.75" customHeight="1">
      <c r="I140" s="117"/>
      <c r="K140" s="117"/>
      <c r="L140" s="118"/>
    </row>
    <row r="141" ht="15.75" customHeight="1">
      <c r="I141" s="117"/>
      <c r="K141" s="117"/>
      <c r="L141" s="118"/>
    </row>
    <row r="142" ht="15.75" customHeight="1">
      <c r="I142" s="117"/>
      <c r="K142" s="117"/>
      <c r="L142" s="118"/>
    </row>
    <row r="143" ht="15.75" customHeight="1">
      <c r="I143" s="117"/>
      <c r="K143" s="117"/>
      <c r="L143" s="118"/>
    </row>
    <row r="144" ht="15.75" customHeight="1">
      <c r="I144" s="117"/>
      <c r="K144" s="117"/>
      <c r="L144" s="118"/>
    </row>
    <row r="145" ht="15.75" customHeight="1">
      <c r="I145" s="117"/>
      <c r="K145" s="117"/>
      <c r="L145" s="118"/>
    </row>
    <row r="146" ht="15.75" customHeight="1">
      <c r="I146" s="117"/>
      <c r="K146" s="117"/>
      <c r="L146" s="118"/>
    </row>
    <row r="147" ht="15.75" customHeight="1">
      <c r="I147" s="117"/>
      <c r="K147" s="117"/>
      <c r="L147" s="118"/>
    </row>
    <row r="148" ht="15.75" customHeight="1">
      <c r="I148" s="117"/>
      <c r="K148" s="117"/>
      <c r="L148" s="118"/>
    </row>
    <row r="149" ht="15.75" customHeight="1">
      <c r="I149" s="117"/>
      <c r="K149" s="117"/>
      <c r="L149" s="118"/>
    </row>
    <row r="150" ht="15.75" customHeight="1">
      <c r="I150" s="117"/>
      <c r="K150" s="117"/>
      <c r="L150" s="118"/>
    </row>
    <row r="151" ht="15.75" customHeight="1">
      <c r="I151" s="117"/>
      <c r="K151" s="117"/>
      <c r="L151" s="118"/>
    </row>
    <row r="152" ht="15.75" customHeight="1">
      <c r="I152" s="117"/>
      <c r="K152" s="117"/>
      <c r="L152" s="118"/>
    </row>
    <row r="153" ht="15.75" customHeight="1">
      <c r="I153" s="117"/>
      <c r="K153" s="117"/>
      <c r="L153" s="118"/>
    </row>
    <row r="154" ht="15.75" customHeight="1">
      <c r="I154" s="117"/>
      <c r="K154" s="117"/>
      <c r="L154" s="118"/>
    </row>
    <row r="155" ht="15.75" customHeight="1">
      <c r="I155" s="117"/>
      <c r="K155" s="117"/>
      <c r="L155" s="118"/>
    </row>
    <row r="156" ht="15.75" customHeight="1">
      <c r="I156" s="117"/>
      <c r="K156" s="117"/>
      <c r="L156" s="118"/>
    </row>
    <row r="157" ht="15.75" customHeight="1">
      <c r="I157" s="117"/>
      <c r="K157" s="117"/>
      <c r="L157" s="118"/>
    </row>
    <row r="158" ht="15.75" customHeight="1">
      <c r="I158" s="117"/>
      <c r="K158" s="117"/>
      <c r="L158" s="118"/>
    </row>
    <row r="159" ht="15.75" customHeight="1">
      <c r="I159" s="117"/>
      <c r="K159" s="117"/>
      <c r="L159" s="118"/>
    </row>
    <row r="160" ht="15.75" customHeight="1">
      <c r="I160" s="117"/>
      <c r="K160" s="117"/>
      <c r="L160" s="118"/>
    </row>
    <row r="161" ht="15.75" customHeight="1">
      <c r="I161" s="117"/>
      <c r="K161" s="117"/>
      <c r="L161" s="118"/>
    </row>
    <row r="162" ht="15.75" customHeight="1">
      <c r="I162" s="117"/>
      <c r="K162" s="117"/>
      <c r="L162" s="118"/>
    </row>
    <row r="163" ht="15.75" customHeight="1">
      <c r="I163" s="117"/>
      <c r="K163" s="117"/>
      <c r="L163" s="118"/>
    </row>
    <row r="164" ht="15.75" customHeight="1">
      <c r="I164" s="117"/>
      <c r="K164" s="117"/>
      <c r="L164" s="118"/>
    </row>
    <row r="165" ht="15.75" customHeight="1">
      <c r="I165" s="117"/>
      <c r="K165" s="117"/>
      <c r="L165" s="118"/>
    </row>
    <row r="166" ht="15.75" customHeight="1">
      <c r="I166" s="117"/>
      <c r="K166" s="117"/>
      <c r="L166" s="118"/>
    </row>
    <row r="167" ht="15.75" customHeight="1">
      <c r="I167" s="117"/>
      <c r="K167" s="117"/>
      <c r="L167" s="118"/>
    </row>
    <row r="168" ht="15.75" customHeight="1">
      <c r="I168" s="117"/>
      <c r="K168" s="117"/>
      <c r="L168" s="118"/>
    </row>
    <row r="169" ht="15.75" customHeight="1">
      <c r="I169" s="117"/>
      <c r="K169" s="117"/>
      <c r="L169" s="118"/>
    </row>
    <row r="170" ht="15.75" customHeight="1">
      <c r="I170" s="117"/>
      <c r="K170" s="117"/>
      <c r="L170" s="118"/>
    </row>
    <row r="171" ht="15.75" customHeight="1">
      <c r="I171" s="117"/>
      <c r="K171" s="117"/>
      <c r="L171" s="118"/>
    </row>
    <row r="172" ht="15.75" customHeight="1">
      <c r="I172" s="117"/>
      <c r="K172" s="117"/>
      <c r="L172" s="118"/>
    </row>
    <row r="173" ht="15.75" customHeight="1">
      <c r="I173" s="117"/>
      <c r="K173" s="117"/>
      <c r="L173" s="118"/>
    </row>
    <row r="174" ht="15.75" customHeight="1">
      <c r="I174" s="117"/>
      <c r="K174" s="117"/>
      <c r="L174" s="118"/>
    </row>
    <row r="175" ht="15.75" customHeight="1">
      <c r="I175" s="117"/>
      <c r="K175" s="117"/>
      <c r="L175" s="118"/>
    </row>
    <row r="176" ht="15.75" customHeight="1">
      <c r="I176" s="117"/>
      <c r="K176" s="117"/>
      <c r="L176" s="118"/>
    </row>
    <row r="177" ht="15.75" customHeight="1">
      <c r="I177" s="117"/>
      <c r="K177" s="117"/>
      <c r="L177" s="118"/>
    </row>
    <row r="178" ht="15.75" customHeight="1">
      <c r="I178" s="117"/>
      <c r="K178" s="117"/>
      <c r="L178" s="118"/>
    </row>
    <row r="179" ht="15.75" customHeight="1">
      <c r="I179" s="117"/>
      <c r="K179" s="117"/>
      <c r="L179" s="118"/>
    </row>
    <row r="180" ht="15.75" customHeight="1">
      <c r="I180" s="117"/>
      <c r="K180" s="117"/>
      <c r="L180" s="118"/>
    </row>
    <row r="181" ht="15.75" customHeight="1">
      <c r="I181" s="117"/>
      <c r="K181" s="117"/>
      <c r="L181" s="118"/>
    </row>
    <row r="182" ht="15.75" customHeight="1">
      <c r="I182" s="117"/>
      <c r="K182" s="117"/>
      <c r="L182" s="118"/>
    </row>
    <row r="183" ht="15.75" customHeight="1">
      <c r="I183" s="117"/>
      <c r="K183" s="117"/>
      <c r="L183" s="118"/>
    </row>
    <row r="184" ht="15.75" customHeight="1">
      <c r="I184" s="117"/>
      <c r="K184" s="117"/>
      <c r="L184" s="118"/>
    </row>
    <row r="185" ht="15.75" customHeight="1">
      <c r="I185" s="117"/>
      <c r="K185" s="117"/>
      <c r="L185" s="118"/>
    </row>
    <row r="186" ht="15.75" customHeight="1">
      <c r="I186" s="117"/>
      <c r="K186" s="117"/>
      <c r="L186" s="118"/>
    </row>
    <row r="187" ht="15.75" customHeight="1">
      <c r="I187" s="117"/>
      <c r="K187" s="117"/>
      <c r="L187" s="118"/>
    </row>
    <row r="188" ht="15.75" customHeight="1">
      <c r="I188" s="117"/>
      <c r="K188" s="117"/>
      <c r="L188" s="118"/>
    </row>
    <row r="189" ht="15.75" customHeight="1">
      <c r="I189" s="117"/>
      <c r="K189" s="117"/>
      <c r="L189" s="118"/>
    </row>
    <row r="190" ht="15.75" customHeight="1">
      <c r="I190" s="117"/>
      <c r="K190" s="117"/>
      <c r="L190" s="118"/>
    </row>
    <row r="191" ht="15.75" customHeight="1">
      <c r="I191" s="117"/>
      <c r="K191" s="117"/>
      <c r="L191" s="118"/>
    </row>
    <row r="192" ht="15.75" customHeight="1">
      <c r="I192" s="117"/>
      <c r="K192" s="117"/>
      <c r="L192" s="118"/>
    </row>
    <row r="193" ht="15.75" customHeight="1">
      <c r="I193" s="117"/>
      <c r="K193" s="117"/>
      <c r="L193" s="118"/>
    </row>
    <row r="194" ht="15.75" customHeight="1">
      <c r="I194" s="117"/>
      <c r="K194" s="117"/>
      <c r="L194" s="118"/>
    </row>
    <row r="195" ht="15.75" customHeight="1">
      <c r="I195" s="117"/>
      <c r="K195" s="117"/>
      <c r="L195" s="118"/>
    </row>
    <row r="196" ht="15.75" customHeight="1">
      <c r="I196" s="117"/>
      <c r="K196" s="117"/>
      <c r="L196" s="118"/>
    </row>
    <row r="197" ht="15.75" customHeight="1">
      <c r="I197" s="117"/>
      <c r="K197" s="117"/>
      <c r="L197" s="118"/>
    </row>
    <row r="198" ht="15.75" customHeight="1">
      <c r="I198" s="117"/>
      <c r="K198" s="117"/>
      <c r="L198" s="118"/>
    </row>
    <row r="199" ht="15.75" customHeight="1">
      <c r="I199" s="117"/>
      <c r="K199" s="117"/>
      <c r="L199" s="118"/>
    </row>
    <row r="200" ht="15.75" customHeight="1">
      <c r="I200" s="117"/>
      <c r="K200" s="117"/>
      <c r="L200" s="118"/>
    </row>
    <row r="201" ht="15.75" customHeight="1">
      <c r="I201" s="117"/>
      <c r="K201" s="117"/>
      <c r="L201" s="118"/>
    </row>
    <row r="202" ht="15.75" customHeight="1">
      <c r="I202" s="117"/>
      <c r="K202" s="117"/>
      <c r="L202" s="118"/>
    </row>
    <row r="203" ht="15.75" customHeight="1">
      <c r="I203" s="117"/>
      <c r="K203" s="117"/>
      <c r="L203" s="118"/>
    </row>
    <row r="204" ht="15.75" customHeight="1">
      <c r="I204" s="117"/>
      <c r="K204" s="117"/>
      <c r="L204" s="118"/>
    </row>
    <row r="205" ht="15.75" customHeight="1">
      <c r="I205" s="117"/>
      <c r="K205" s="117"/>
      <c r="L205" s="118"/>
    </row>
    <row r="206" ht="15.75" customHeight="1">
      <c r="I206" s="117"/>
      <c r="K206" s="117"/>
      <c r="L206" s="118"/>
    </row>
    <row r="207" ht="15.75" customHeight="1">
      <c r="I207" s="117"/>
      <c r="K207" s="117"/>
      <c r="L207" s="118"/>
    </row>
    <row r="208" ht="15.75" customHeight="1">
      <c r="I208" s="117"/>
      <c r="K208" s="117"/>
      <c r="L208" s="118"/>
    </row>
    <row r="209" ht="15.75" customHeight="1">
      <c r="I209" s="117"/>
      <c r="K209" s="117"/>
      <c r="L209" s="118"/>
    </row>
    <row r="210" ht="15.75" customHeight="1">
      <c r="I210" s="117"/>
      <c r="K210" s="117"/>
      <c r="L210" s="118"/>
    </row>
    <row r="211" ht="15.75" customHeight="1">
      <c r="I211" s="117"/>
      <c r="K211" s="117"/>
      <c r="L211" s="118"/>
    </row>
    <row r="212" ht="15.75" customHeight="1">
      <c r="I212" s="117"/>
      <c r="K212" s="117"/>
      <c r="L212" s="118"/>
    </row>
    <row r="213" ht="15.75" customHeight="1">
      <c r="I213" s="117"/>
      <c r="K213" s="117"/>
      <c r="L213" s="118"/>
    </row>
    <row r="214" ht="15.75" customHeight="1">
      <c r="I214" s="117"/>
      <c r="K214" s="117"/>
      <c r="L214" s="118"/>
    </row>
    <row r="215" ht="15.75" customHeight="1">
      <c r="I215" s="117"/>
      <c r="K215" s="117"/>
      <c r="L215" s="118"/>
    </row>
    <row r="216" ht="15.75" customHeight="1">
      <c r="I216" s="117"/>
      <c r="K216" s="117"/>
      <c r="L216" s="118"/>
    </row>
    <row r="217" ht="15.75" customHeight="1">
      <c r="I217" s="117"/>
      <c r="K217" s="117"/>
      <c r="L217" s="118"/>
    </row>
    <row r="218" ht="15.75" customHeight="1">
      <c r="I218" s="117"/>
      <c r="K218" s="117"/>
      <c r="L218" s="118"/>
    </row>
    <row r="219" ht="15.75" customHeight="1">
      <c r="I219" s="117"/>
      <c r="K219" s="117"/>
      <c r="L219" s="118"/>
    </row>
    <row r="220" ht="15.75" customHeight="1">
      <c r="I220" s="117"/>
      <c r="K220" s="117"/>
      <c r="L220" s="118"/>
    </row>
    <row r="221" ht="15.75" customHeight="1">
      <c r="I221" s="117"/>
      <c r="K221" s="117"/>
      <c r="L221" s="118"/>
    </row>
    <row r="222" ht="15.75" customHeight="1">
      <c r="I222" s="117"/>
      <c r="K222" s="117"/>
      <c r="L222" s="118"/>
    </row>
    <row r="223" ht="15.75" customHeight="1">
      <c r="I223" s="117"/>
      <c r="K223" s="117"/>
      <c r="L223" s="118"/>
    </row>
    <row r="224" ht="15.75" customHeight="1">
      <c r="I224" s="117"/>
      <c r="K224" s="117"/>
      <c r="L224" s="118"/>
    </row>
    <row r="225" ht="15.75" customHeight="1">
      <c r="I225" s="117"/>
      <c r="K225" s="117"/>
      <c r="L225" s="118"/>
    </row>
    <row r="226" ht="15.75" customHeight="1">
      <c r="I226" s="117"/>
      <c r="K226" s="117"/>
      <c r="L226" s="118"/>
    </row>
    <row r="227" ht="15.75" customHeight="1">
      <c r="I227" s="117"/>
      <c r="K227" s="117"/>
      <c r="L227" s="118"/>
    </row>
    <row r="228" ht="15.75" customHeight="1">
      <c r="I228" s="117"/>
      <c r="K228" s="117"/>
      <c r="L228" s="118"/>
    </row>
    <row r="229" ht="15.75" customHeight="1">
      <c r="I229" s="117"/>
      <c r="K229" s="117"/>
      <c r="L229" s="118"/>
    </row>
    <row r="230" ht="15.75" customHeight="1">
      <c r="I230" s="117"/>
      <c r="K230" s="117"/>
      <c r="L230" s="118"/>
    </row>
    <row r="231" ht="15.75" customHeight="1">
      <c r="I231" s="117"/>
      <c r="K231" s="117"/>
      <c r="L231" s="118"/>
    </row>
    <row r="232" ht="15.75" customHeight="1">
      <c r="I232" s="117"/>
      <c r="K232" s="117"/>
      <c r="L232" s="118"/>
    </row>
    <row r="233" ht="15.75" customHeight="1">
      <c r="I233" s="117"/>
      <c r="K233" s="117"/>
      <c r="L233" s="118"/>
    </row>
    <row r="234" ht="15.75" customHeight="1">
      <c r="I234" s="117"/>
      <c r="K234" s="117"/>
      <c r="L234" s="118"/>
    </row>
    <row r="235" ht="15.75" customHeight="1">
      <c r="I235" s="117"/>
      <c r="K235" s="117"/>
      <c r="L235" s="118"/>
    </row>
    <row r="236" ht="15.75" customHeight="1">
      <c r="I236" s="117"/>
      <c r="K236" s="117"/>
      <c r="L236" s="118"/>
    </row>
    <row r="237" ht="15.75" customHeight="1">
      <c r="I237" s="117"/>
      <c r="K237" s="117"/>
      <c r="L237" s="118"/>
    </row>
    <row r="238" ht="15.75" customHeight="1">
      <c r="I238" s="117"/>
      <c r="K238" s="117"/>
      <c r="L238" s="118"/>
    </row>
    <row r="239" ht="15.75" customHeight="1">
      <c r="I239" s="117"/>
      <c r="K239" s="117"/>
      <c r="L239" s="118"/>
    </row>
    <row r="240" ht="15.75" customHeight="1">
      <c r="I240" s="117"/>
      <c r="K240" s="117"/>
      <c r="L240" s="118"/>
    </row>
    <row r="241" ht="15.75" customHeight="1">
      <c r="I241" s="117"/>
      <c r="K241" s="117"/>
      <c r="L241" s="118"/>
    </row>
    <row r="242" ht="15.75" customHeight="1">
      <c r="I242" s="117"/>
      <c r="K242" s="117"/>
      <c r="L242" s="118"/>
    </row>
    <row r="243" ht="15.75" customHeight="1">
      <c r="I243" s="117"/>
      <c r="K243" s="117"/>
      <c r="L243" s="118"/>
    </row>
    <row r="244" ht="15.75" customHeight="1">
      <c r="I244" s="117"/>
      <c r="K244" s="117"/>
      <c r="L244" s="118"/>
    </row>
    <row r="245" ht="15.75" customHeight="1">
      <c r="I245" s="117"/>
      <c r="K245" s="117"/>
      <c r="L245" s="118"/>
    </row>
    <row r="246" ht="15.75" customHeight="1">
      <c r="I246" s="117"/>
      <c r="K246" s="117"/>
      <c r="L246" s="118"/>
    </row>
    <row r="247" ht="15.75" customHeight="1">
      <c r="I247" s="117"/>
      <c r="K247" s="117"/>
      <c r="L247" s="118"/>
    </row>
    <row r="248" ht="15.75" customHeight="1">
      <c r="I248" s="117"/>
      <c r="K248" s="117"/>
      <c r="L248" s="118"/>
    </row>
    <row r="249" ht="15.75" customHeight="1">
      <c r="I249" s="117"/>
      <c r="K249" s="117"/>
      <c r="L249" s="118"/>
    </row>
    <row r="250" ht="15.75" customHeight="1">
      <c r="I250" s="117"/>
      <c r="K250" s="117"/>
      <c r="L250" s="118"/>
    </row>
    <row r="251" ht="15.75" customHeight="1">
      <c r="I251" s="117"/>
      <c r="K251" s="117"/>
      <c r="L251" s="118"/>
    </row>
    <row r="252" ht="15.75" customHeight="1">
      <c r="I252" s="117"/>
      <c r="K252" s="117"/>
      <c r="L252" s="118"/>
    </row>
    <row r="253" ht="15.75" customHeight="1">
      <c r="I253" s="117"/>
      <c r="K253" s="117"/>
      <c r="L253" s="118"/>
    </row>
    <row r="254" ht="15.75" customHeight="1">
      <c r="I254" s="117"/>
      <c r="K254" s="117"/>
      <c r="L254" s="118"/>
    </row>
    <row r="255" ht="15.75" customHeight="1">
      <c r="I255" s="117"/>
      <c r="K255" s="117"/>
      <c r="L255" s="118"/>
    </row>
    <row r="256" ht="15.75" customHeight="1">
      <c r="I256" s="117"/>
      <c r="K256" s="117"/>
      <c r="L256" s="118"/>
    </row>
    <row r="257" ht="15.75" customHeight="1">
      <c r="I257" s="117"/>
      <c r="K257" s="117"/>
      <c r="L257" s="118"/>
    </row>
    <row r="258" ht="15.75" customHeight="1">
      <c r="I258" s="117"/>
      <c r="K258" s="117"/>
      <c r="L258" s="118"/>
    </row>
    <row r="259" ht="15.75" customHeight="1">
      <c r="I259" s="117"/>
      <c r="K259" s="117"/>
      <c r="L259" s="118"/>
    </row>
    <row r="260" ht="15.75" customHeight="1">
      <c r="I260" s="117"/>
      <c r="K260" s="117"/>
      <c r="L260" s="118"/>
    </row>
    <row r="261" ht="15.75" customHeight="1">
      <c r="I261" s="117"/>
      <c r="K261" s="117"/>
      <c r="L261" s="118"/>
    </row>
    <row r="262" ht="15.75" customHeight="1">
      <c r="I262" s="117"/>
      <c r="K262" s="117"/>
      <c r="L262" s="118"/>
    </row>
    <row r="263" ht="15.75" customHeight="1">
      <c r="I263" s="117"/>
      <c r="K263" s="117"/>
      <c r="L263" s="118"/>
    </row>
    <row r="264" ht="15.75" customHeight="1">
      <c r="I264" s="117"/>
      <c r="K264" s="117"/>
      <c r="L264" s="118"/>
    </row>
    <row r="265" ht="15.75" customHeight="1">
      <c r="I265" s="117"/>
      <c r="K265" s="117"/>
      <c r="L265" s="118"/>
    </row>
    <row r="266" ht="15.75" customHeight="1">
      <c r="I266" s="117"/>
      <c r="K266" s="117"/>
      <c r="L266" s="118"/>
    </row>
    <row r="267" ht="15.75" customHeight="1">
      <c r="I267" s="117"/>
      <c r="K267" s="117"/>
      <c r="L267" s="118"/>
    </row>
    <row r="268" ht="15.75" customHeight="1">
      <c r="I268" s="117"/>
      <c r="K268" s="117"/>
      <c r="L268" s="118"/>
    </row>
    <row r="269" ht="15.75" customHeight="1">
      <c r="I269" s="117"/>
      <c r="K269" s="117"/>
      <c r="L269" s="118"/>
    </row>
    <row r="270" ht="15.75" customHeight="1">
      <c r="I270" s="117"/>
      <c r="K270" s="117"/>
      <c r="L270" s="118"/>
    </row>
    <row r="271" ht="15.75" customHeight="1">
      <c r="I271" s="117"/>
      <c r="K271" s="117"/>
      <c r="L271" s="118"/>
    </row>
    <row r="272" ht="15.75" customHeight="1">
      <c r="I272" s="117"/>
      <c r="K272" s="117"/>
      <c r="L272" s="118"/>
    </row>
    <row r="273" ht="15.75" customHeight="1">
      <c r="I273" s="117"/>
      <c r="K273" s="117"/>
      <c r="L273" s="118"/>
    </row>
    <row r="274" ht="15.75" customHeight="1">
      <c r="I274" s="117"/>
      <c r="K274" s="117"/>
      <c r="L274" s="118"/>
    </row>
    <row r="275" ht="15.75" customHeight="1">
      <c r="I275" s="117"/>
      <c r="K275" s="117"/>
      <c r="L275" s="118"/>
    </row>
    <row r="276" ht="15.75" customHeight="1">
      <c r="I276" s="117"/>
      <c r="K276" s="117"/>
      <c r="L276" s="118"/>
    </row>
    <row r="277" ht="15.75" customHeight="1">
      <c r="I277" s="117"/>
      <c r="K277" s="117"/>
      <c r="L277" s="118"/>
    </row>
    <row r="278" ht="15.75" customHeight="1">
      <c r="I278" s="117"/>
      <c r="K278" s="117"/>
      <c r="L278" s="118"/>
    </row>
    <row r="279" ht="15.75" customHeight="1">
      <c r="I279" s="117"/>
      <c r="K279" s="117"/>
      <c r="L279" s="118"/>
    </row>
    <row r="280" ht="15.75" customHeight="1">
      <c r="I280" s="117"/>
      <c r="K280" s="117"/>
      <c r="L280" s="118"/>
    </row>
    <row r="281" ht="15.75" customHeight="1">
      <c r="I281" s="117"/>
      <c r="K281" s="117"/>
      <c r="L281" s="118"/>
    </row>
    <row r="282" ht="15.75" customHeight="1">
      <c r="I282" s="117"/>
      <c r="K282" s="117"/>
      <c r="L282" s="118"/>
    </row>
    <row r="283" ht="15.75" customHeight="1">
      <c r="I283" s="117"/>
      <c r="K283" s="117"/>
      <c r="L283" s="118"/>
    </row>
    <row r="284" ht="15.75" customHeight="1">
      <c r="I284" s="117"/>
      <c r="K284" s="117"/>
      <c r="L284" s="118"/>
    </row>
    <row r="285" ht="15.75" customHeight="1">
      <c r="I285" s="117"/>
      <c r="K285" s="117"/>
      <c r="L285" s="118"/>
    </row>
    <row r="286" ht="15.75" customHeight="1">
      <c r="I286" s="117"/>
      <c r="K286" s="117"/>
      <c r="L286" s="118"/>
    </row>
    <row r="287" ht="15.75" customHeight="1">
      <c r="I287" s="117"/>
      <c r="K287" s="117"/>
      <c r="L287" s="118"/>
    </row>
    <row r="288" ht="15.75" customHeight="1">
      <c r="I288" s="117"/>
      <c r="K288" s="117"/>
      <c r="L288" s="118"/>
    </row>
    <row r="289" ht="15.75" customHeight="1">
      <c r="I289" s="117"/>
      <c r="K289" s="117"/>
      <c r="L289" s="118"/>
    </row>
    <row r="290" ht="15.75" customHeight="1">
      <c r="I290" s="117"/>
      <c r="K290" s="117"/>
      <c r="L290" s="118"/>
    </row>
    <row r="291" ht="15.75" customHeight="1">
      <c r="I291" s="117"/>
      <c r="K291" s="117"/>
      <c r="L291" s="118"/>
    </row>
    <row r="292" ht="15.75" customHeight="1">
      <c r="I292" s="117"/>
      <c r="K292" s="117"/>
      <c r="L292" s="118"/>
    </row>
    <row r="293" ht="15.75" customHeight="1">
      <c r="I293" s="117"/>
      <c r="K293" s="117"/>
      <c r="L293" s="118"/>
    </row>
    <row r="294" ht="15.75" customHeight="1">
      <c r="I294" s="117"/>
      <c r="K294" s="117"/>
      <c r="L294" s="118"/>
    </row>
    <row r="295" ht="15.75" customHeight="1">
      <c r="I295" s="117"/>
      <c r="K295" s="117"/>
      <c r="L295" s="118"/>
    </row>
    <row r="296" ht="15.75" customHeight="1">
      <c r="I296" s="117"/>
      <c r="K296" s="117"/>
      <c r="L296" s="118"/>
    </row>
    <row r="297" ht="15.75" customHeight="1">
      <c r="I297" s="117"/>
      <c r="K297" s="117"/>
      <c r="L297" s="118"/>
    </row>
    <row r="298" ht="15.75" customHeight="1">
      <c r="I298" s="117"/>
      <c r="K298" s="117"/>
      <c r="L298" s="118"/>
    </row>
    <row r="299" ht="15.75" customHeight="1">
      <c r="I299" s="117"/>
      <c r="K299" s="117"/>
      <c r="L299" s="118"/>
    </row>
    <row r="300" ht="15.75" customHeight="1">
      <c r="I300" s="117"/>
      <c r="K300" s="117"/>
      <c r="L300" s="118"/>
    </row>
    <row r="301" ht="15.75" customHeight="1">
      <c r="I301" s="117"/>
      <c r="K301" s="117"/>
      <c r="L301" s="118"/>
    </row>
    <row r="302" ht="15.75" customHeight="1">
      <c r="I302" s="117"/>
      <c r="K302" s="117"/>
      <c r="L302" s="118"/>
    </row>
    <row r="303" ht="15.75" customHeight="1">
      <c r="I303" s="117"/>
      <c r="K303" s="117"/>
      <c r="L303" s="118"/>
    </row>
    <row r="304" ht="15.75" customHeight="1">
      <c r="I304" s="117"/>
      <c r="K304" s="117"/>
      <c r="L304" s="118"/>
    </row>
    <row r="305" ht="15.75" customHeight="1">
      <c r="I305" s="117"/>
      <c r="K305" s="117"/>
      <c r="L305" s="118"/>
    </row>
    <row r="306" ht="15.75" customHeight="1">
      <c r="I306" s="117"/>
      <c r="K306" s="117"/>
      <c r="L306" s="118"/>
    </row>
    <row r="307" ht="15.75" customHeight="1">
      <c r="I307" s="117"/>
      <c r="K307" s="117"/>
      <c r="L307" s="118"/>
    </row>
    <row r="308" ht="15.75" customHeight="1">
      <c r="I308" s="117"/>
      <c r="K308" s="117"/>
      <c r="L308" s="118"/>
    </row>
    <row r="309" ht="15.75" customHeight="1">
      <c r="I309" s="117"/>
      <c r="K309" s="117"/>
      <c r="L309" s="118"/>
    </row>
    <row r="310" ht="15.75" customHeight="1">
      <c r="I310" s="117"/>
      <c r="K310" s="117"/>
      <c r="L310" s="118"/>
    </row>
    <row r="311" ht="15.75" customHeight="1">
      <c r="I311" s="117"/>
      <c r="K311" s="117"/>
      <c r="L311" s="118"/>
    </row>
    <row r="312" ht="15.75" customHeight="1">
      <c r="I312" s="117"/>
      <c r="K312" s="117"/>
      <c r="L312" s="118"/>
    </row>
    <row r="313" ht="15.75" customHeight="1">
      <c r="I313" s="117"/>
      <c r="K313" s="117"/>
      <c r="L313" s="118"/>
    </row>
    <row r="314" ht="15.75" customHeight="1">
      <c r="I314" s="117"/>
      <c r="K314" s="117"/>
      <c r="L314" s="118"/>
    </row>
    <row r="315" ht="15.75" customHeight="1">
      <c r="I315" s="117"/>
      <c r="K315" s="117"/>
      <c r="L315" s="118"/>
    </row>
    <row r="316" ht="15.75" customHeight="1">
      <c r="I316" s="117"/>
      <c r="K316" s="117"/>
      <c r="L316" s="118"/>
    </row>
    <row r="317" ht="15.75" customHeight="1">
      <c r="I317" s="117"/>
      <c r="K317" s="117"/>
      <c r="L317" s="118"/>
    </row>
    <row r="318" ht="15.75" customHeight="1">
      <c r="I318" s="117"/>
      <c r="K318" s="117"/>
      <c r="L318" s="118"/>
    </row>
    <row r="319" ht="15.75" customHeight="1">
      <c r="I319" s="117"/>
      <c r="K319" s="117"/>
      <c r="L319" s="118"/>
    </row>
    <row r="320" ht="15.75" customHeight="1">
      <c r="I320" s="117"/>
      <c r="K320" s="117"/>
      <c r="L320" s="118"/>
    </row>
    <row r="321" ht="15.75" customHeight="1">
      <c r="I321" s="117"/>
      <c r="K321" s="117"/>
      <c r="L321" s="118"/>
    </row>
    <row r="322" ht="15.75" customHeight="1">
      <c r="I322" s="117"/>
      <c r="K322" s="117"/>
      <c r="L322" s="118"/>
    </row>
    <row r="323" ht="15.75" customHeight="1">
      <c r="I323" s="117"/>
      <c r="K323" s="117"/>
      <c r="L323" s="118"/>
    </row>
    <row r="324" ht="15.75" customHeight="1">
      <c r="I324" s="117"/>
      <c r="K324" s="117"/>
      <c r="L324" s="118"/>
    </row>
    <row r="325" ht="15.75" customHeight="1">
      <c r="I325" s="117"/>
      <c r="K325" s="117"/>
      <c r="L325" s="118"/>
    </row>
    <row r="326" ht="15.75" customHeight="1">
      <c r="I326" s="117"/>
      <c r="K326" s="117"/>
      <c r="L326" s="118"/>
    </row>
    <row r="327" ht="15.75" customHeight="1">
      <c r="I327" s="117"/>
      <c r="K327" s="117"/>
      <c r="L327" s="118"/>
    </row>
    <row r="328" ht="15.75" customHeight="1">
      <c r="I328" s="117"/>
      <c r="K328" s="117"/>
      <c r="L328" s="118"/>
    </row>
    <row r="329" ht="15.75" customHeight="1">
      <c r="I329" s="117"/>
      <c r="K329" s="117"/>
      <c r="L329" s="118"/>
    </row>
    <row r="330" ht="15.75" customHeight="1">
      <c r="I330" s="117"/>
      <c r="K330" s="117"/>
      <c r="L330" s="118"/>
    </row>
    <row r="331" ht="15.75" customHeight="1">
      <c r="I331" s="117"/>
      <c r="K331" s="117"/>
      <c r="L331" s="118"/>
    </row>
    <row r="332" ht="15.75" customHeight="1">
      <c r="I332" s="117"/>
      <c r="K332" s="117"/>
      <c r="L332" s="118"/>
    </row>
    <row r="333" ht="15.75" customHeight="1">
      <c r="I333" s="117"/>
      <c r="K333" s="117"/>
      <c r="L333" s="118"/>
    </row>
    <row r="334" ht="15.75" customHeight="1">
      <c r="I334" s="117"/>
      <c r="K334" s="117"/>
      <c r="L334" s="118"/>
    </row>
    <row r="335" ht="15.75" customHeight="1">
      <c r="I335" s="117"/>
      <c r="K335" s="117"/>
      <c r="L335" s="118"/>
    </row>
    <row r="336" ht="15.75" customHeight="1">
      <c r="I336" s="117"/>
      <c r="K336" s="117"/>
      <c r="L336" s="118"/>
    </row>
    <row r="337" ht="15.75" customHeight="1">
      <c r="I337" s="117"/>
      <c r="K337" s="117"/>
      <c r="L337" s="118"/>
    </row>
    <row r="338" ht="15.75" customHeight="1">
      <c r="I338" s="117"/>
      <c r="K338" s="117"/>
      <c r="L338" s="118"/>
    </row>
    <row r="339" ht="15.75" customHeight="1">
      <c r="I339" s="117"/>
      <c r="K339" s="117"/>
      <c r="L339" s="118"/>
    </row>
    <row r="340" ht="15.75" customHeight="1">
      <c r="I340" s="117"/>
      <c r="K340" s="117"/>
      <c r="L340" s="118"/>
    </row>
    <row r="341" ht="15.75" customHeight="1">
      <c r="I341" s="117"/>
      <c r="K341" s="117"/>
      <c r="L341" s="118"/>
    </row>
    <row r="342" ht="15.75" customHeight="1">
      <c r="I342" s="117"/>
      <c r="K342" s="117"/>
      <c r="L342" s="118"/>
    </row>
    <row r="343" ht="15.75" customHeight="1">
      <c r="I343" s="117"/>
      <c r="K343" s="117"/>
      <c r="L343" s="118"/>
    </row>
    <row r="344" ht="15.75" customHeight="1">
      <c r="I344" s="117"/>
      <c r="K344" s="117"/>
      <c r="L344" s="118"/>
    </row>
    <row r="345" ht="15.75" customHeight="1">
      <c r="I345" s="117"/>
      <c r="K345" s="117"/>
      <c r="L345" s="118"/>
    </row>
    <row r="346" ht="15.75" customHeight="1">
      <c r="I346" s="117"/>
      <c r="K346" s="117"/>
      <c r="L346" s="118"/>
    </row>
    <row r="347" ht="15.75" customHeight="1">
      <c r="I347" s="117"/>
      <c r="K347" s="117"/>
      <c r="L347" s="118"/>
    </row>
    <row r="348" ht="15.75" customHeight="1">
      <c r="I348" s="117"/>
      <c r="K348" s="117"/>
      <c r="L348" s="118"/>
    </row>
    <row r="349" ht="15.75" customHeight="1">
      <c r="I349" s="117"/>
      <c r="K349" s="117"/>
      <c r="L349" s="118"/>
    </row>
    <row r="350" ht="15.75" customHeight="1">
      <c r="I350" s="117"/>
      <c r="K350" s="117"/>
      <c r="L350" s="118"/>
    </row>
    <row r="351" ht="15.75" customHeight="1">
      <c r="I351" s="117"/>
      <c r="K351" s="117"/>
      <c r="L351" s="118"/>
    </row>
    <row r="352" ht="15.75" customHeight="1">
      <c r="I352" s="117"/>
      <c r="K352" s="117"/>
      <c r="L352" s="118"/>
    </row>
    <row r="353" ht="15.75" customHeight="1">
      <c r="I353" s="117"/>
      <c r="K353" s="117"/>
      <c r="L353" s="118"/>
    </row>
    <row r="354" ht="15.75" customHeight="1">
      <c r="I354" s="117"/>
      <c r="K354" s="117"/>
      <c r="L354" s="118"/>
    </row>
    <row r="355" ht="15.75" customHeight="1">
      <c r="I355" s="117"/>
      <c r="K355" s="117"/>
      <c r="L355" s="118"/>
    </row>
    <row r="356" ht="15.75" customHeight="1">
      <c r="I356" s="117"/>
      <c r="K356" s="117"/>
      <c r="L356" s="118"/>
    </row>
    <row r="357" ht="15.75" customHeight="1">
      <c r="I357" s="117"/>
      <c r="K357" s="117"/>
      <c r="L357" s="118"/>
    </row>
    <row r="358" ht="15.75" customHeight="1">
      <c r="I358" s="117"/>
      <c r="K358" s="117"/>
      <c r="L358" s="118"/>
    </row>
    <row r="359" ht="15.75" customHeight="1">
      <c r="I359" s="117"/>
      <c r="K359" s="117"/>
      <c r="L359" s="118"/>
    </row>
    <row r="360" ht="15.75" customHeight="1">
      <c r="I360" s="117"/>
      <c r="K360" s="117"/>
      <c r="L360" s="118"/>
    </row>
    <row r="361" ht="15.75" customHeight="1">
      <c r="I361" s="117"/>
      <c r="K361" s="117"/>
      <c r="L361" s="118"/>
    </row>
    <row r="362" ht="15.75" customHeight="1">
      <c r="I362" s="117"/>
      <c r="K362" s="117"/>
      <c r="L362" s="118"/>
    </row>
    <row r="363" ht="15.75" customHeight="1">
      <c r="I363" s="117"/>
      <c r="K363" s="117"/>
      <c r="L363" s="118"/>
    </row>
    <row r="364" ht="15.75" customHeight="1">
      <c r="I364" s="117"/>
      <c r="K364" s="117"/>
      <c r="L364" s="118"/>
    </row>
    <row r="365" ht="15.75" customHeight="1">
      <c r="I365" s="117"/>
      <c r="K365" s="117"/>
      <c r="L365" s="118"/>
    </row>
    <row r="366" ht="15.75" customHeight="1">
      <c r="I366" s="117"/>
      <c r="K366" s="117"/>
      <c r="L366" s="118"/>
    </row>
    <row r="367" ht="15.75" customHeight="1">
      <c r="I367" s="117"/>
      <c r="K367" s="117"/>
      <c r="L367" s="118"/>
    </row>
    <row r="368" ht="15.75" customHeight="1">
      <c r="I368" s="117"/>
      <c r="K368" s="117"/>
      <c r="L368" s="118"/>
    </row>
    <row r="369" ht="15.75" customHeight="1">
      <c r="I369" s="117"/>
      <c r="K369" s="117"/>
      <c r="L369" s="118"/>
    </row>
    <row r="370" ht="15.75" customHeight="1">
      <c r="I370" s="117"/>
      <c r="K370" s="117"/>
      <c r="L370" s="118"/>
    </row>
    <row r="371" ht="15.75" customHeight="1">
      <c r="I371" s="117"/>
      <c r="K371" s="117"/>
      <c r="L371" s="118"/>
    </row>
    <row r="372" ht="15.75" customHeight="1">
      <c r="I372" s="117"/>
      <c r="K372" s="117"/>
      <c r="L372" s="118"/>
    </row>
    <row r="373" ht="15.75" customHeight="1">
      <c r="I373" s="117"/>
      <c r="K373" s="117"/>
      <c r="L373" s="118"/>
    </row>
    <row r="374" ht="15.75" customHeight="1">
      <c r="I374" s="117"/>
      <c r="K374" s="117"/>
      <c r="L374" s="118"/>
    </row>
    <row r="375" ht="15.75" customHeight="1">
      <c r="I375" s="117"/>
      <c r="K375" s="117"/>
      <c r="L375" s="118"/>
    </row>
    <row r="376" ht="15.75" customHeight="1">
      <c r="I376" s="117"/>
      <c r="K376" s="117"/>
      <c r="L376" s="118"/>
    </row>
    <row r="377" ht="15.75" customHeight="1">
      <c r="I377" s="117"/>
      <c r="K377" s="117"/>
      <c r="L377" s="118"/>
    </row>
    <row r="378" ht="15.75" customHeight="1">
      <c r="I378" s="117"/>
      <c r="K378" s="117"/>
      <c r="L378" s="118"/>
    </row>
    <row r="379" ht="15.75" customHeight="1">
      <c r="I379" s="117"/>
      <c r="K379" s="117"/>
      <c r="L379" s="118"/>
    </row>
    <row r="380" ht="15.75" customHeight="1">
      <c r="I380" s="117"/>
      <c r="K380" s="117"/>
      <c r="L380" s="118"/>
    </row>
    <row r="381" ht="15.75" customHeight="1">
      <c r="I381" s="117"/>
      <c r="K381" s="117"/>
      <c r="L381" s="118"/>
    </row>
    <row r="382" ht="15.75" customHeight="1">
      <c r="I382" s="117"/>
      <c r="K382" s="117"/>
      <c r="L382" s="118"/>
    </row>
    <row r="383" ht="15.75" customHeight="1">
      <c r="I383" s="117"/>
      <c r="K383" s="117"/>
      <c r="L383" s="118"/>
    </row>
    <row r="384" ht="15.75" customHeight="1">
      <c r="I384" s="117"/>
      <c r="K384" s="117"/>
      <c r="L384" s="118"/>
    </row>
    <row r="385" ht="15.75" customHeight="1">
      <c r="I385" s="117"/>
      <c r="K385" s="117"/>
      <c r="L385" s="118"/>
    </row>
    <row r="386" ht="15.75" customHeight="1">
      <c r="I386" s="117"/>
      <c r="K386" s="117"/>
      <c r="L386" s="118"/>
    </row>
    <row r="387" ht="15.75" customHeight="1">
      <c r="I387" s="117"/>
      <c r="K387" s="117"/>
      <c r="L387" s="118"/>
    </row>
    <row r="388" ht="15.75" customHeight="1">
      <c r="I388" s="117"/>
      <c r="K388" s="117"/>
      <c r="L388" s="118"/>
    </row>
    <row r="389" ht="15.75" customHeight="1">
      <c r="I389" s="117"/>
      <c r="K389" s="117"/>
      <c r="L389" s="118"/>
    </row>
    <row r="390" ht="15.75" customHeight="1">
      <c r="I390" s="117"/>
      <c r="K390" s="117"/>
      <c r="L390" s="118"/>
    </row>
    <row r="391" ht="15.75" customHeight="1">
      <c r="I391" s="117"/>
      <c r="K391" s="117"/>
      <c r="L391" s="118"/>
    </row>
    <row r="392" ht="15.75" customHeight="1">
      <c r="I392" s="117"/>
      <c r="K392" s="117"/>
      <c r="L392" s="118"/>
    </row>
    <row r="393" ht="15.75" customHeight="1">
      <c r="I393" s="117"/>
      <c r="K393" s="117"/>
      <c r="L393" s="118"/>
    </row>
    <row r="394" ht="15.75" customHeight="1">
      <c r="I394" s="117"/>
      <c r="K394" s="117"/>
      <c r="L394" s="118"/>
    </row>
    <row r="395" ht="15.75" customHeight="1">
      <c r="I395" s="117"/>
      <c r="K395" s="117"/>
      <c r="L395" s="118"/>
    </row>
    <row r="396" ht="15.75" customHeight="1">
      <c r="I396" s="117"/>
      <c r="K396" s="117"/>
      <c r="L396" s="118"/>
    </row>
    <row r="397" ht="15.75" customHeight="1">
      <c r="I397" s="117"/>
      <c r="K397" s="117"/>
      <c r="L397" s="118"/>
    </row>
    <row r="398" ht="15.75" customHeight="1">
      <c r="I398" s="117"/>
      <c r="K398" s="117"/>
      <c r="L398" s="118"/>
    </row>
    <row r="399" ht="15.75" customHeight="1">
      <c r="I399" s="117"/>
      <c r="K399" s="117"/>
      <c r="L399" s="118"/>
    </row>
    <row r="400" ht="15.75" customHeight="1">
      <c r="I400" s="117"/>
      <c r="K400" s="117"/>
      <c r="L400" s="118"/>
    </row>
    <row r="401" ht="15.75" customHeight="1">
      <c r="I401" s="117"/>
      <c r="K401" s="117"/>
      <c r="L401" s="118"/>
    </row>
    <row r="402" ht="15.75" customHeight="1">
      <c r="I402" s="117"/>
      <c r="K402" s="117"/>
      <c r="L402" s="118"/>
    </row>
    <row r="403" ht="15.75" customHeight="1">
      <c r="I403" s="117"/>
      <c r="K403" s="117"/>
      <c r="L403" s="118"/>
    </row>
    <row r="404" ht="15.75" customHeight="1">
      <c r="I404" s="117"/>
      <c r="K404" s="117"/>
      <c r="L404" s="118"/>
    </row>
    <row r="405" ht="15.75" customHeight="1">
      <c r="I405" s="117"/>
      <c r="K405" s="117"/>
      <c r="L405" s="118"/>
    </row>
    <row r="406" ht="15.75" customHeight="1">
      <c r="I406" s="117"/>
      <c r="K406" s="117"/>
      <c r="L406" s="118"/>
    </row>
    <row r="407" ht="15.75" customHeight="1">
      <c r="I407" s="117"/>
      <c r="K407" s="117"/>
      <c r="L407" s="118"/>
    </row>
    <row r="408" ht="15.75" customHeight="1">
      <c r="I408" s="117"/>
      <c r="K408" s="117"/>
      <c r="L408" s="118"/>
    </row>
    <row r="409" ht="15.75" customHeight="1">
      <c r="I409" s="117"/>
      <c r="K409" s="117"/>
      <c r="L409" s="118"/>
    </row>
    <row r="410" ht="15.75" customHeight="1">
      <c r="I410" s="117"/>
      <c r="K410" s="117"/>
      <c r="L410" s="118"/>
    </row>
    <row r="411" ht="15.75" customHeight="1">
      <c r="I411" s="117"/>
      <c r="K411" s="117"/>
      <c r="L411" s="118"/>
    </row>
    <row r="412" ht="15.75" customHeight="1">
      <c r="I412" s="117"/>
      <c r="K412" s="117"/>
      <c r="L412" s="118"/>
    </row>
    <row r="413" ht="15.75" customHeight="1">
      <c r="I413" s="117"/>
      <c r="K413" s="117"/>
      <c r="L413" s="118"/>
    </row>
    <row r="414" ht="15.75" customHeight="1">
      <c r="I414" s="117"/>
      <c r="K414" s="117"/>
      <c r="L414" s="118"/>
    </row>
    <row r="415" ht="15.75" customHeight="1">
      <c r="I415" s="117"/>
      <c r="K415" s="117"/>
      <c r="L415" s="118"/>
    </row>
    <row r="416" ht="15.75" customHeight="1">
      <c r="I416" s="117"/>
      <c r="K416" s="117"/>
      <c r="L416" s="118"/>
    </row>
    <row r="417" ht="15.75" customHeight="1">
      <c r="I417" s="117"/>
      <c r="K417" s="117"/>
      <c r="L417" s="118"/>
    </row>
    <row r="418" ht="15.75" customHeight="1">
      <c r="I418" s="117"/>
      <c r="K418" s="117"/>
      <c r="L418" s="118"/>
    </row>
    <row r="419" ht="15.75" customHeight="1">
      <c r="I419" s="117"/>
      <c r="K419" s="117"/>
      <c r="L419" s="118"/>
    </row>
    <row r="420" ht="15.75" customHeight="1">
      <c r="I420" s="117"/>
      <c r="K420" s="117"/>
      <c r="L420" s="118"/>
    </row>
    <row r="421" ht="15.75" customHeight="1">
      <c r="I421" s="117"/>
      <c r="K421" s="117"/>
      <c r="L421" s="118"/>
    </row>
    <row r="422" ht="15.75" customHeight="1">
      <c r="I422" s="117"/>
      <c r="K422" s="117"/>
      <c r="L422" s="118"/>
    </row>
    <row r="423" ht="15.75" customHeight="1">
      <c r="I423" s="117"/>
      <c r="K423" s="117"/>
      <c r="L423" s="118"/>
    </row>
    <row r="424" ht="15.75" customHeight="1">
      <c r="I424" s="117"/>
      <c r="K424" s="117"/>
      <c r="L424" s="118"/>
    </row>
    <row r="425" ht="15.75" customHeight="1">
      <c r="I425" s="117"/>
      <c r="K425" s="117"/>
      <c r="L425" s="118"/>
    </row>
    <row r="426" ht="15.75" customHeight="1">
      <c r="I426" s="117"/>
      <c r="K426" s="117"/>
      <c r="L426" s="118"/>
    </row>
    <row r="427" ht="15.75" customHeight="1">
      <c r="I427" s="117"/>
      <c r="K427" s="117"/>
      <c r="L427" s="118"/>
    </row>
    <row r="428" ht="15.75" customHeight="1">
      <c r="I428" s="117"/>
      <c r="K428" s="117"/>
      <c r="L428" s="118"/>
    </row>
    <row r="429" ht="15.75" customHeight="1">
      <c r="I429" s="117"/>
      <c r="K429" s="117"/>
      <c r="L429" s="118"/>
    </row>
    <row r="430" ht="15.75" customHeight="1">
      <c r="I430" s="117"/>
      <c r="K430" s="117"/>
      <c r="L430" s="118"/>
    </row>
    <row r="431" ht="15.75" customHeight="1">
      <c r="I431" s="117"/>
      <c r="K431" s="117"/>
      <c r="L431" s="118"/>
    </row>
    <row r="432" ht="15.75" customHeight="1">
      <c r="I432" s="117"/>
      <c r="K432" s="117"/>
      <c r="L432" s="118"/>
    </row>
    <row r="433" ht="15.75" customHeight="1">
      <c r="I433" s="117"/>
      <c r="K433" s="117"/>
      <c r="L433" s="118"/>
    </row>
    <row r="434" ht="15.75" customHeight="1">
      <c r="I434" s="117"/>
      <c r="K434" s="117"/>
      <c r="L434" s="118"/>
    </row>
    <row r="435" ht="15.75" customHeight="1">
      <c r="I435" s="117"/>
      <c r="K435" s="117"/>
      <c r="L435" s="118"/>
    </row>
    <row r="436" ht="15.75" customHeight="1">
      <c r="I436" s="117"/>
      <c r="K436" s="117"/>
      <c r="L436" s="118"/>
    </row>
    <row r="437" ht="15.75" customHeight="1">
      <c r="I437" s="117"/>
      <c r="K437" s="117"/>
      <c r="L437" s="118"/>
    </row>
    <row r="438" ht="15.75" customHeight="1">
      <c r="I438" s="117"/>
      <c r="K438" s="117"/>
      <c r="L438" s="118"/>
    </row>
    <row r="439" ht="15.75" customHeight="1">
      <c r="I439" s="117"/>
      <c r="K439" s="117"/>
      <c r="L439" s="118"/>
    </row>
    <row r="440" ht="15.75" customHeight="1">
      <c r="I440" s="117"/>
      <c r="K440" s="117"/>
      <c r="L440" s="118"/>
    </row>
    <row r="441" ht="15.75" customHeight="1">
      <c r="I441" s="117"/>
      <c r="K441" s="117"/>
      <c r="L441" s="118"/>
    </row>
    <row r="442" ht="15.75" customHeight="1">
      <c r="I442" s="117"/>
      <c r="K442" s="117"/>
      <c r="L442" s="118"/>
    </row>
    <row r="443" ht="15.75" customHeight="1">
      <c r="I443" s="117"/>
      <c r="K443" s="117"/>
      <c r="L443" s="118"/>
    </row>
    <row r="444" ht="15.75" customHeight="1">
      <c r="I444" s="117"/>
      <c r="K444" s="117"/>
      <c r="L444" s="118"/>
    </row>
    <row r="445" ht="15.75" customHeight="1">
      <c r="I445" s="117"/>
      <c r="K445" s="117"/>
      <c r="L445" s="118"/>
    </row>
    <row r="446" ht="15.75" customHeight="1">
      <c r="I446" s="117"/>
      <c r="K446" s="117"/>
      <c r="L446" s="118"/>
    </row>
    <row r="447" ht="15.75" customHeight="1">
      <c r="I447" s="117"/>
      <c r="K447" s="117"/>
      <c r="L447" s="118"/>
    </row>
    <row r="448" ht="15.75" customHeight="1">
      <c r="I448" s="117"/>
      <c r="K448" s="117"/>
      <c r="L448" s="118"/>
    </row>
    <row r="449" ht="15.75" customHeight="1">
      <c r="I449" s="117"/>
      <c r="K449" s="117"/>
      <c r="L449" s="118"/>
    </row>
    <row r="450" ht="15.75" customHeight="1">
      <c r="I450" s="117"/>
      <c r="K450" s="117"/>
      <c r="L450" s="118"/>
    </row>
    <row r="451" ht="15.75" customHeight="1">
      <c r="I451" s="117"/>
      <c r="K451" s="117"/>
      <c r="L451" s="118"/>
    </row>
    <row r="452" ht="15.75" customHeight="1">
      <c r="I452" s="117"/>
      <c r="K452" s="117"/>
      <c r="L452" s="118"/>
    </row>
    <row r="453" ht="15.75" customHeight="1">
      <c r="I453" s="117"/>
      <c r="K453" s="117"/>
      <c r="L453" s="118"/>
    </row>
    <row r="454" ht="15.75" customHeight="1">
      <c r="I454" s="117"/>
      <c r="K454" s="117"/>
      <c r="L454" s="118"/>
    </row>
    <row r="455" ht="15.75" customHeight="1">
      <c r="I455" s="117"/>
      <c r="K455" s="117"/>
      <c r="L455" s="118"/>
    </row>
    <row r="456" ht="15.75" customHeight="1">
      <c r="I456" s="117"/>
      <c r="K456" s="117"/>
      <c r="L456" s="118"/>
    </row>
    <row r="457" ht="15.75" customHeight="1">
      <c r="I457" s="117"/>
      <c r="K457" s="117"/>
      <c r="L457" s="118"/>
    </row>
    <row r="458" ht="15.75" customHeight="1">
      <c r="I458" s="117"/>
      <c r="K458" s="117"/>
      <c r="L458" s="118"/>
    </row>
    <row r="459" ht="15.75" customHeight="1">
      <c r="I459" s="117"/>
      <c r="K459" s="117"/>
      <c r="L459" s="118"/>
    </row>
    <row r="460" ht="15.75" customHeight="1">
      <c r="I460" s="117"/>
      <c r="K460" s="117"/>
      <c r="L460" s="118"/>
    </row>
    <row r="461" ht="15.75" customHeight="1">
      <c r="I461" s="117"/>
      <c r="K461" s="117"/>
      <c r="L461" s="118"/>
    </row>
    <row r="462" ht="15.75" customHeight="1">
      <c r="I462" s="117"/>
      <c r="K462" s="117"/>
      <c r="L462" s="118"/>
    </row>
    <row r="463" ht="15.75" customHeight="1">
      <c r="I463" s="117"/>
      <c r="K463" s="117"/>
      <c r="L463" s="118"/>
    </row>
    <row r="464" ht="15.75" customHeight="1">
      <c r="I464" s="117"/>
      <c r="K464" s="117"/>
      <c r="L464" s="118"/>
    </row>
    <row r="465" ht="15.75" customHeight="1">
      <c r="I465" s="117"/>
      <c r="K465" s="117"/>
      <c r="L465" s="118"/>
    </row>
    <row r="466" ht="15.75" customHeight="1">
      <c r="I466" s="117"/>
      <c r="K466" s="117"/>
      <c r="L466" s="118"/>
    </row>
    <row r="467" ht="15.75" customHeight="1">
      <c r="I467" s="117"/>
      <c r="K467" s="117"/>
      <c r="L467" s="118"/>
    </row>
    <row r="468" ht="15.75" customHeight="1">
      <c r="I468" s="117"/>
      <c r="K468" s="117"/>
      <c r="L468" s="118"/>
    </row>
    <row r="469" ht="15.75" customHeight="1">
      <c r="I469" s="117"/>
      <c r="K469" s="117"/>
      <c r="L469" s="118"/>
    </row>
    <row r="470" ht="15.75" customHeight="1">
      <c r="I470" s="117"/>
      <c r="K470" s="117"/>
      <c r="L470" s="118"/>
    </row>
    <row r="471" ht="15.75" customHeight="1">
      <c r="I471" s="117"/>
      <c r="K471" s="117"/>
      <c r="L471" s="118"/>
    </row>
    <row r="472" ht="15.75" customHeight="1">
      <c r="I472" s="117"/>
      <c r="K472" s="117"/>
      <c r="L472" s="118"/>
    </row>
    <row r="473" ht="15.75" customHeight="1">
      <c r="I473" s="117"/>
      <c r="K473" s="117"/>
      <c r="L473" s="118"/>
    </row>
    <row r="474" ht="15.75" customHeight="1">
      <c r="I474" s="117"/>
      <c r="K474" s="117"/>
      <c r="L474" s="118"/>
    </row>
    <row r="475" ht="15.75" customHeight="1">
      <c r="I475" s="117"/>
      <c r="K475" s="117"/>
      <c r="L475" s="118"/>
    </row>
    <row r="476" ht="15.75" customHeight="1">
      <c r="I476" s="117"/>
      <c r="K476" s="117"/>
      <c r="L476" s="118"/>
    </row>
    <row r="477" ht="15.75" customHeight="1">
      <c r="I477" s="117"/>
      <c r="K477" s="117"/>
      <c r="L477" s="118"/>
    </row>
    <row r="478" ht="15.75" customHeight="1">
      <c r="I478" s="117"/>
      <c r="K478" s="117"/>
      <c r="L478" s="118"/>
    </row>
    <row r="479" ht="15.75" customHeight="1">
      <c r="I479" s="117"/>
      <c r="K479" s="117"/>
      <c r="L479" s="118"/>
    </row>
    <row r="480" ht="15.75" customHeight="1">
      <c r="I480" s="117"/>
      <c r="K480" s="117"/>
      <c r="L480" s="118"/>
    </row>
    <row r="481" ht="15.75" customHeight="1">
      <c r="I481" s="117"/>
      <c r="K481" s="117"/>
      <c r="L481" s="118"/>
    </row>
    <row r="482" ht="15.75" customHeight="1">
      <c r="I482" s="117"/>
      <c r="K482" s="117"/>
      <c r="L482" s="118"/>
    </row>
    <row r="483" ht="15.75" customHeight="1">
      <c r="I483" s="117"/>
      <c r="K483" s="117"/>
      <c r="L483" s="118"/>
    </row>
    <row r="484" ht="15.75" customHeight="1">
      <c r="I484" s="117"/>
      <c r="K484" s="117"/>
      <c r="L484" s="118"/>
    </row>
    <row r="485" ht="15.75" customHeight="1">
      <c r="I485" s="117"/>
      <c r="K485" s="117"/>
      <c r="L485" s="118"/>
    </row>
    <row r="486" ht="15.75" customHeight="1">
      <c r="I486" s="117"/>
      <c r="K486" s="117"/>
      <c r="L486" s="118"/>
    </row>
    <row r="487" ht="15.75" customHeight="1">
      <c r="I487" s="117"/>
      <c r="K487" s="117"/>
      <c r="L487" s="118"/>
    </row>
    <row r="488" ht="15.75" customHeight="1">
      <c r="I488" s="117"/>
      <c r="K488" s="117"/>
      <c r="L488" s="118"/>
    </row>
    <row r="489" ht="15.75" customHeight="1">
      <c r="I489" s="117"/>
      <c r="K489" s="117"/>
      <c r="L489" s="118"/>
    </row>
    <row r="490" ht="15.75" customHeight="1">
      <c r="I490" s="117"/>
      <c r="K490" s="117"/>
      <c r="L490" s="118"/>
    </row>
    <row r="491" ht="15.75" customHeight="1">
      <c r="I491" s="117"/>
      <c r="K491" s="117"/>
      <c r="L491" s="118"/>
    </row>
    <row r="492" ht="15.75" customHeight="1">
      <c r="I492" s="117"/>
      <c r="K492" s="117"/>
      <c r="L492" s="118"/>
    </row>
    <row r="493" ht="15.75" customHeight="1">
      <c r="I493" s="117"/>
      <c r="K493" s="117"/>
      <c r="L493" s="118"/>
    </row>
    <row r="494" ht="15.75" customHeight="1">
      <c r="I494" s="117"/>
      <c r="K494" s="117"/>
      <c r="L494" s="118"/>
    </row>
    <row r="495" ht="15.75" customHeight="1">
      <c r="I495" s="117"/>
      <c r="K495" s="117"/>
      <c r="L495" s="118"/>
    </row>
    <row r="496" ht="15.75" customHeight="1">
      <c r="I496" s="117"/>
      <c r="K496" s="117"/>
      <c r="L496" s="118"/>
    </row>
    <row r="497" ht="15.75" customHeight="1">
      <c r="I497" s="117"/>
      <c r="K497" s="117"/>
      <c r="L497" s="118"/>
    </row>
    <row r="498" ht="15.75" customHeight="1">
      <c r="I498" s="117"/>
      <c r="K498" s="117"/>
      <c r="L498" s="118"/>
    </row>
    <row r="499" ht="15.75" customHeight="1">
      <c r="I499" s="117"/>
      <c r="K499" s="117"/>
      <c r="L499" s="118"/>
    </row>
    <row r="500" ht="15.75" customHeight="1">
      <c r="I500" s="117"/>
      <c r="K500" s="117"/>
      <c r="L500" s="118"/>
    </row>
    <row r="501" ht="15.75" customHeight="1">
      <c r="I501" s="117"/>
      <c r="K501" s="117"/>
      <c r="L501" s="118"/>
    </row>
    <row r="502" ht="15.75" customHeight="1">
      <c r="I502" s="117"/>
      <c r="K502" s="117"/>
      <c r="L502" s="118"/>
    </row>
    <row r="503" ht="15.75" customHeight="1">
      <c r="I503" s="117"/>
      <c r="K503" s="117"/>
      <c r="L503" s="118"/>
    </row>
    <row r="504" ht="15.75" customHeight="1">
      <c r="I504" s="117"/>
      <c r="K504" s="117"/>
      <c r="L504" s="118"/>
    </row>
    <row r="505" ht="15.75" customHeight="1">
      <c r="I505" s="117"/>
      <c r="K505" s="117"/>
      <c r="L505" s="118"/>
    </row>
    <row r="506" ht="15.75" customHeight="1">
      <c r="I506" s="117"/>
      <c r="K506" s="117"/>
      <c r="L506" s="118"/>
    </row>
    <row r="507" ht="15.75" customHeight="1">
      <c r="I507" s="117"/>
      <c r="K507" s="117"/>
      <c r="L507" s="118"/>
    </row>
    <row r="508" ht="15.75" customHeight="1">
      <c r="I508" s="117"/>
      <c r="K508" s="117"/>
      <c r="L508" s="118"/>
    </row>
    <row r="509" ht="15.75" customHeight="1">
      <c r="I509" s="117"/>
      <c r="K509" s="117"/>
      <c r="L509" s="118"/>
    </row>
    <row r="510" ht="15.75" customHeight="1">
      <c r="I510" s="117"/>
      <c r="K510" s="117"/>
      <c r="L510" s="118"/>
    </row>
    <row r="511" ht="15.75" customHeight="1">
      <c r="I511" s="117"/>
      <c r="K511" s="117"/>
      <c r="L511" s="118"/>
    </row>
    <row r="512" ht="15.75" customHeight="1">
      <c r="I512" s="117"/>
      <c r="K512" s="117"/>
      <c r="L512" s="118"/>
    </row>
    <row r="513" ht="15.75" customHeight="1">
      <c r="I513" s="117"/>
      <c r="K513" s="117"/>
      <c r="L513" s="118"/>
    </row>
    <row r="514" ht="15.75" customHeight="1">
      <c r="I514" s="117"/>
      <c r="K514" s="117"/>
      <c r="L514" s="118"/>
    </row>
    <row r="515" ht="15.75" customHeight="1">
      <c r="I515" s="117"/>
      <c r="K515" s="117"/>
      <c r="L515" s="118"/>
    </row>
    <row r="516" ht="15.75" customHeight="1">
      <c r="I516" s="117"/>
      <c r="K516" s="117"/>
      <c r="L516" s="118"/>
    </row>
    <row r="517" ht="15.75" customHeight="1">
      <c r="I517" s="117"/>
      <c r="K517" s="117"/>
      <c r="L517" s="118"/>
    </row>
    <row r="518" ht="15.75" customHeight="1">
      <c r="I518" s="117"/>
      <c r="K518" s="117"/>
      <c r="L518" s="118"/>
    </row>
    <row r="519" ht="15.75" customHeight="1">
      <c r="I519" s="117"/>
      <c r="K519" s="117"/>
      <c r="L519" s="118"/>
    </row>
    <row r="520" ht="15.75" customHeight="1">
      <c r="I520" s="117"/>
      <c r="K520" s="117"/>
      <c r="L520" s="118"/>
    </row>
    <row r="521" ht="15.75" customHeight="1">
      <c r="I521" s="117"/>
      <c r="K521" s="117"/>
      <c r="L521" s="118"/>
    </row>
    <row r="522" ht="15.75" customHeight="1">
      <c r="I522" s="117"/>
      <c r="K522" s="117"/>
      <c r="L522" s="118"/>
    </row>
    <row r="523" ht="15.75" customHeight="1">
      <c r="I523" s="117"/>
      <c r="K523" s="117"/>
      <c r="L523" s="118"/>
    </row>
    <row r="524" ht="15.75" customHeight="1">
      <c r="I524" s="117"/>
      <c r="K524" s="117"/>
      <c r="L524" s="118"/>
    </row>
    <row r="525" ht="15.75" customHeight="1">
      <c r="I525" s="117"/>
      <c r="K525" s="117"/>
      <c r="L525" s="118"/>
    </row>
    <row r="526" ht="15.75" customHeight="1">
      <c r="I526" s="117"/>
      <c r="K526" s="117"/>
      <c r="L526" s="118"/>
    </row>
    <row r="527" ht="15.75" customHeight="1">
      <c r="I527" s="117"/>
      <c r="K527" s="117"/>
      <c r="L527" s="118"/>
    </row>
    <row r="528" ht="15.75" customHeight="1">
      <c r="I528" s="117"/>
      <c r="K528" s="117"/>
      <c r="L528" s="118"/>
    </row>
    <row r="529" ht="15.75" customHeight="1">
      <c r="I529" s="117"/>
      <c r="K529" s="117"/>
      <c r="L529" s="118"/>
    </row>
    <row r="530" ht="15.75" customHeight="1">
      <c r="I530" s="117"/>
      <c r="K530" s="117"/>
      <c r="L530" s="118"/>
    </row>
    <row r="531" ht="15.75" customHeight="1">
      <c r="I531" s="117"/>
      <c r="K531" s="117"/>
      <c r="L531" s="118"/>
    </row>
    <row r="532" ht="15.75" customHeight="1">
      <c r="I532" s="117"/>
      <c r="K532" s="117"/>
      <c r="L532" s="118"/>
    </row>
    <row r="533" ht="15.75" customHeight="1">
      <c r="I533" s="117"/>
      <c r="K533" s="117"/>
      <c r="L533" s="118"/>
    </row>
    <row r="534" ht="15.75" customHeight="1">
      <c r="I534" s="117"/>
      <c r="K534" s="117"/>
      <c r="L534" s="118"/>
    </row>
    <row r="535" ht="15.75" customHeight="1">
      <c r="I535" s="117"/>
      <c r="K535" s="117"/>
      <c r="L535" s="118"/>
    </row>
    <row r="536" ht="15.75" customHeight="1">
      <c r="I536" s="117"/>
      <c r="K536" s="117"/>
      <c r="L536" s="118"/>
    </row>
    <row r="537" ht="15.75" customHeight="1">
      <c r="I537" s="117"/>
      <c r="K537" s="117"/>
      <c r="L537" s="118"/>
    </row>
    <row r="538" ht="15.75" customHeight="1">
      <c r="I538" s="117"/>
      <c r="K538" s="117"/>
      <c r="L538" s="118"/>
    </row>
    <row r="539" ht="15.75" customHeight="1">
      <c r="I539" s="117"/>
      <c r="K539" s="117"/>
      <c r="L539" s="118"/>
    </row>
    <row r="540" ht="15.75" customHeight="1">
      <c r="I540" s="117"/>
      <c r="K540" s="117"/>
      <c r="L540" s="118"/>
    </row>
    <row r="541" ht="15.75" customHeight="1">
      <c r="I541" s="117"/>
      <c r="K541" s="117"/>
      <c r="L541" s="118"/>
    </row>
    <row r="542" ht="15.75" customHeight="1">
      <c r="I542" s="117"/>
      <c r="K542" s="117"/>
      <c r="L542" s="118"/>
    </row>
    <row r="543" ht="15.75" customHeight="1">
      <c r="I543" s="117"/>
      <c r="K543" s="117"/>
      <c r="L543" s="118"/>
    </row>
    <row r="544" ht="15.75" customHeight="1">
      <c r="I544" s="117"/>
      <c r="K544" s="117"/>
      <c r="L544" s="118"/>
    </row>
    <row r="545" ht="15.75" customHeight="1">
      <c r="I545" s="117"/>
      <c r="K545" s="117"/>
      <c r="L545" s="118"/>
    </row>
    <row r="546" ht="15.75" customHeight="1">
      <c r="I546" s="117"/>
      <c r="K546" s="117"/>
      <c r="L546" s="118"/>
    </row>
    <row r="547" ht="15.75" customHeight="1">
      <c r="I547" s="117"/>
      <c r="K547" s="117"/>
      <c r="L547" s="118"/>
    </row>
    <row r="548" ht="15.75" customHeight="1">
      <c r="I548" s="117"/>
      <c r="K548" s="117"/>
      <c r="L548" s="118"/>
    </row>
    <row r="549" ht="15.75" customHeight="1">
      <c r="I549" s="117"/>
      <c r="K549" s="117"/>
      <c r="L549" s="118"/>
    </row>
    <row r="550" ht="15.75" customHeight="1">
      <c r="I550" s="117"/>
      <c r="K550" s="117"/>
      <c r="L550" s="118"/>
    </row>
    <row r="551" ht="15.75" customHeight="1">
      <c r="I551" s="117"/>
      <c r="K551" s="117"/>
      <c r="L551" s="118"/>
    </row>
    <row r="552" ht="15.75" customHeight="1">
      <c r="I552" s="117"/>
      <c r="K552" s="117"/>
      <c r="L552" s="118"/>
    </row>
    <row r="553" ht="15.75" customHeight="1">
      <c r="I553" s="117"/>
      <c r="K553" s="117"/>
      <c r="L553" s="118"/>
    </row>
    <row r="554" ht="15.75" customHeight="1">
      <c r="I554" s="117"/>
      <c r="K554" s="117"/>
      <c r="L554" s="118"/>
    </row>
    <row r="555" ht="15.75" customHeight="1">
      <c r="I555" s="117"/>
      <c r="K555" s="117"/>
      <c r="L555" s="118"/>
    </row>
    <row r="556" ht="15.75" customHeight="1">
      <c r="I556" s="117"/>
      <c r="K556" s="117"/>
      <c r="L556" s="118"/>
    </row>
    <row r="557" ht="15.75" customHeight="1">
      <c r="I557" s="117"/>
      <c r="K557" s="117"/>
      <c r="L557" s="118"/>
    </row>
    <row r="558" ht="15.75" customHeight="1">
      <c r="I558" s="117"/>
      <c r="K558" s="117"/>
      <c r="L558" s="118"/>
    </row>
    <row r="559" ht="15.75" customHeight="1">
      <c r="I559" s="117"/>
      <c r="K559" s="117"/>
      <c r="L559" s="118"/>
    </row>
    <row r="560" ht="15.75" customHeight="1">
      <c r="I560" s="117"/>
      <c r="K560" s="117"/>
      <c r="L560" s="118"/>
    </row>
    <row r="561" ht="15.75" customHeight="1">
      <c r="I561" s="117"/>
      <c r="K561" s="117"/>
      <c r="L561" s="118"/>
    </row>
    <row r="562" ht="15.75" customHeight="1">
      <c r="I562" s="117"/>
      <c r="K562" s="117"/>
      <c r="L562" s="118"/>
    </row>
    <row r="563" ht="15.75" customHeight="1">
      <c r="I563" s="117"/>
      <c r="K563" s="117"/>
      <c r="L563" s="118"/>
    </row>
    <row r="564" ht="15.75" customHeight="1">
      <c r="I564" s="117"/>
      <c r="K564" s="117"/>
      <c r="L564" s="118"/>
    </row>
    <row r="565" ht="15.75" customHeight="1">
      <c r="I565" s="117"/>
      <c r="K565" s="117"/>
      <c r="L565" s="118"/>
    </row>
    <row r="566" ht="15.75" customHeight="1">
      <c r="I566" s="117"/>
      <c r="K566" s="117"/>
      <c r="L566" s="118"/>
    </row>
    <row r="567" ht="15.75" customHeight="1">
      <c r="I567" s="117"/>
      <c r="K567" s="117"/>
      <c r="L567" s="118"/>
    </row>
    <row r="568" ht="15.75" customHeight="1">
      <c r="I568" s="117"/>
      <c r="K568" s="117"/>
      <c r="L568" s="118"/>
    </row>
    <row r="569" ht="15.75" customHeight="1">
      <c r="I569" s="117"/>
      <c r="K569" s="117"/>
      <c r="L569" s="118"/>
    </row>
    <row r="570" ht="15.75" customHeight="1">
      <c r="I570" s="117"/>
      <c r="K570" s="117"/>
      <c r="L570" s="118"/>
    </row>
    <row r="571" ht="15.75" customHeight="1">
      <c r="I571" s="117"/>
      <c r="K571" s="117"/>
      <c r="L571" s="118"/>
    </row>
    <row r="572" ht="15.75" customHeight="1">
      <c r="I572" s="117"/>
      <c r="K572" s="117"/>
      <c r="L572" s="118"/>
    </row>
    <row r="573" ht="15.75" customHeight="1">
      <c r="I573" s="117"/>
      <c r="K573" s="117"/>
      <c r="L573" s="118"/>
    </row>
    <row r="574" ht="15.75" customHeight="1">
      <c r="I574" s="117"/>
      <c r="K574" s="117"/>
      <c r="L574" s="118"/>
    </row>
    <row r="575" ht="15.75" customHeight="1">
      <c r="I575" s="117"/>
      <c r="K575" s="117"/>
      <c r="L575" s="118"/>
    </row>
    <row r="576" ht="15.75" customHeight="1">
      <c r="I576" s="117"/>
      <c r="K576" s="117"/>
      <c r="L576" s="118"/>
    </row>
    <row r="577" ht="15.75" customHeight="1">
      <c r="I577" s="117"/>
      <c r="K577" s="117"/>
      <c r="L577" s="118"/>
    </row>
    <row r="578" ht="15.75" customHeight="1">
      <c r="I578" s="117"/>
      <c r="K578" s="117"/>
      <c r="L578" s="118"/>
    </row>
    <row r="579" ht="15.75" customHeight="1">
      <c r="I579" s="117"/>
      <c r="K579" s="117"/>
      <c r="L579" s="118"/>
    </row>
    <row r="580" ht="15.75" customHeight="1">
      <c r="I580" s="117"/>
      <c r="K580" s="117"/>
      <c r="L580" s="118"/>
    </row>
    <row r="581" ht="15.75" customHeight="1">
      <c r="I581" s="117"/>
      <c r="K581" s="117"/>
      <c r="L581" s="118"/>
    </row>
    <row r="582" ht="15.75" customHeight="1">
      <c r="I582" s="117"/>
      <c r="K582" s="117"/>
      <c r="L582" s="118"/>
    </row>
    <row r="583" ht="15.75" customHeight="1">
      <c r="I583" s="117"/>
      <c r="K583" s="117"/>
      <c r="L583" s="118"/>
    </row>
    <row r="584" ht="15.75" customHeight="1">
      <c r="I584" s="117"/>
      <c r="K584" s="117"/>
      <c r="L584" s="118"/>
    </row>
    <row r="585" ht="15.75" customHeight="1">
      <c r="I585" s="117"/>
      <c r="K585" s="117"/>
      <c r="L585" s="118"/>
    </row>
    <row r="586" ht="15.75" customHeight="1">
      <c r="I586" s="117"/>
      <c r="K586" s="117"/>
      <c r="L586" s="118"/>
    </row>
    <row r="587" ht="15.75" customHeight="1">
      <c r="I587" s="117"/>
      <c r="K587" s="117"/>
      <c r="L587" s="118"/>
    </row>
    <row r="588" ht="15.75" customHeight="1">
      <c r="I588" s="117"/>
      <c r="K588" s="117"/>
      <c r="L588" s="118"/>
    </row>
    <row r="589" ht="15.75" customHeight="1">
      <c r="I589" s="117"/>
      <c r="K589" s="117"/>
      <c r="L589" s="118"/>
    </row>
    <row r="590" ht="15.75" customHeight="1">
      <c r="I590" s="117"/>
      <c r="K590" s="117"/>
      <c r="L590" s="118"/>
    </row>
    <row r="591" ht="15.75" customHeight="1">
      <c r="I591" s="117"/>
      <c r="K591" s="117"/>
      <c r="L591" s="118"/>
    </row>
    <row r="592" ht="15.75" customHeight="1">
      <c r="I592" s="117"/>
      <c r="K592" s="117"/>
      <c r="L592" s="118"/>
    </row>
    <row r="593" ht="15.75" customHeight="1">
      <c r="I593" s="117"/>
      <c r="K593" s="117"/>
      <c r="L593" s="118"/>
    </row>
    <row r="594" ht="15.75" customHeight="1">
      <c r="I594" s="117"/>
      <c r="K594" s="117"/>
      <c r="L594" s="118"/>
    </row>
    <row r="595" ht="15.75" customHeight="1">
      <c r="I595" s="117"/>
      <c r="K595" s="117"/>
      <c r="L595" s="118"/>
    </row>
    <row r="596" ht="15.75" customHeight="1">
      <c r="I596" s="117"/>
      <c r="K596" s="117"/>
      <c r="L596" s="118"/>
    </row>
    <row r="597" ht="15.75" customHeight="1">
      <c r="I597" s="117"/>
      <c r="K597" s="117"/>
      <c r="L597" s="118"/>
    </row>
    <row r="598" ht="15.75" customHeight="1">
      <c r="I598" s="117"/>
      <c r="K598" s="117"/>
      <c r="L598" s="118"/>
    </row>
    <row r="599" ht="15.75" customHeight="1">
      <c r="I599" s="117"/>
      <c r="K599" s="117"/>
      <c r="L599" s="118"/>
    </row>
    <row r="600" ht="15.75" customHeight="1">
      <c r="I600" s="117"/>
      <c r="K600" s="117"/>
      <c r="L600" s="118"/>
    </row>
    <row r="601" ht="15.75" customHeight="1">
      <c r="I601" s="117"/>
      <c r="K601" s="117"/>
      <c r="L601" s="118"/>
    </row>
    <row r="602" ht="15.75" customHeight="1">
      <c r="I602" s="117"/>
      <c r="K602" s="117"/>
      <c r="L602" s="118"/>
    </row>
    <row r="603" ht="15.75" customHeight="1">
      <c r="I603" s="117"/>
      <c r="K603" s="117"/>
      <c r="L603" s="118"/>
    </row>
    <row r="604" ht="15.75" customHeight="1">
      <c r="I604" s="117"/>
      <c r="K604" s="117"/>
      <c r="L604" s="118"/>
    </row>
    <row r="605" ht="15.75" customHeight="1">
      <c r="I605" s="117"/>
      <c r="K605" s="117"/>
      <c r="L605" s="118"/>
    </row>
    <row r="606" ht="15.75" customHeight="1">
      <c r="I606" s="117"/>
      <c r="K606" s="117"/>
      <c r="L606" s="118"/>
    </row>
    <row r="607" ht="15.75" customHeight="1">
      <c r="I607" s="117"/>
      <c r="K607" s="117"/>
      <c r="L607" s="118"/>
    </row>
    <row r="608" ht="15.75" customHeight="1">
      <c r="I608" s="117"/>
      <c r="K608" s="117"/>
      <c r="L608" s="118"/>
    </row>
    <row r="609" ht="15.75" customHeight="1">
      <c r="I609" s="117"/>
      <c r="K609" s="117"/>
      <c r="L609" s="118"/>
    </row>
    <row r="610" ht="15.75" customHeight="1">
      <c r="I610" s="117"/>
      <c r="K610" s="117"/>
      <c r="L610" s="118"/>
    </row>
    <row r="611" ht="15.75" customHeight="1">
      <c r="I611" s="117"/>
      <c r="K611" s="117"/>
      <c r="L611" s="118"/>
    </row>
    <row r="612" ht="15.75" customHeight="1">
      <c r="I612" s="117"/>
      <c r="K612" s="117"/>
      <c r="L612" s="118"/>
    </row>
    <row r="613" ht="15.75" customHeight="1">
      <c r="I613" s="117"/>
      <c r="K613" s="117"/>
      <c r="L613" s="118"/>
    </row>
    <row r="614" ht="15.75" customHeight="1">
      <c r="I614" s="117"/>
      <c r="K614" s="117"/>
      <c r="L614" s="118"/>
    </row>
    <row r="615" ht="15.75" customHeight="1">
      <c r="I615" s="117"/>
      <c r="K615" s="117"/>
      <c r="L615" s="118"/>
    </row>
    <row r="616" ht="15.75" customHeight="1">
      <c r="I616" s="117"/>
      <c r="K616" s="117"/>
      <c r="L616" s="118"/>
    </row>
    <row r="617" ht="15.75" customHeight="1">
      <c r="I617" s="117"/>
      <c r="K617" s="117"/>
      <c r="L617" s="118"/>
    </row>
    <row r="618" ht="15.75" customHeight="1">
      <c r="I618" s="117"/>
      <c r="K618" s="117"/>
      <c r="L618" s="118"/>
    </row>
    <row r="619" ht="15.75" customHeight="1">
      <c r="I619" s="117"/>
      <c r="K619" s="117"/>
      <c r="L619" s="118"/>
    </row>
    <row r="620" ht="15.75" customHeight="1">
      <c r="I620" s="117"/>
      <c r="K620" s="117"/>
      <c r="L620" s="118"/>
    </row>
    <row r="621" ht="15.75" customHeight="1">
      <c r="I621" s="117"/>
      <c r="K621" s="117"/>
      <c r="L621" s="118"/>
    </row>
    <row r="622" ht="15.75" customHeight="1">
      <c r="I622" s="117"/>
      <c r="K622" s="117"/>
      <c r="L622" s="118"/>
    </row>
    <row r="623" ht="15.75" customHeight="1">
      <c r="I623" s="117"/>
      <c r="K623" s="117"/>
      <c r="L623" s="118"/>
    </row>
    <row r="624" ht="15.75" customHeight="1">
      <c r="I624" s="117"/>
      <c r="K624" s="117"/>
      <c r="L624" s="118"/>
    </row>
    <row r="625" ht="15.75" customHeight="1">
      <c r="I625" s="117"/>
      <c r="K625" s="117"/>
      <c r="L625" s="118"/>
    </row>
    <row r="626" ht="15.75" customHeight="1">
      <c r="I626" s="117"/>
      <c r="K626" s="117"/>
      <c r="L626" s="118"/>
    </row>
    <row r="627" ht="15.75" customHeight="1">
      <c r="I627" s="117"/>
      <c r="K627" s="117"/>
      <c r="L627" s="118"/>
    </row>
    <row r="628" ht="15.75" customHeight="1">
      <c r="I628" s="117"/>
      <c r="K628" s="117"/>
      <c r="L628" s="118"/>
    </row>
    <row r="629" ht="15.75" customHeight="1">
      <c r="I629" s="117"/>
      <c r="K629" s="117"/>
      <c r="L629" s="118"/>
    </row>
    <row r="630" ht="15.75" customHeight="1">
      <c r="I630" s="117"/>
      <c r="K630" s="117"/>
      <c r="L630" s="118"/>
    </row>
    <row r="631" ht="15.75" customHeight="1">
      <c r="I631" s="117"/>
      <c r="K631" s="117"/>
      <c r="L631" s="118"/>
    </row>
    <row r="632" ht="15.75" customHeight="1">
      <c r="I632" s="117"/>
      <c r="K632" s="117"/>
      <c r="L632" s="118"/>
    </row>
    <row r="633" ht="15.75" customHeight="1">
      <c r="I633" s="117"/>
      <c r="K633" s="117"/>
      <c r="L633" s="118"/>
    </row>
    <row r="634" ht="15.75" customHeight="1">
      <c r="I634" s="117"/>
      <c r="K634" s="117"/>
      <c r="L634" s="118"/>
    </row>
    <row r="635" ht="15.75" customHeight="1">
      <c r="I635" s="117"/>
      <c r="K635" s="117"/>
      <c r="L635" s="118"/>
    </row>
    <row r="636" ht="15.75" customHeight="1">
      <c r="I636" s="117"/>
      <c r="K636" s="117"/>
      <c r="L636" s="118"/>
    </row>
    <row r="637" ht="15.75" customHeight="1">
      <c r="I637" s="117"/>
      <c r="K637" s="117"/>
      <c r="L637" s="118"/>
    </row>
    <row r="638" ht="15.75" customHeight="1">
      <c r="I638" s="117"/>
      <c r="K638" s="117"/>
      <c r="L638" s="118"/>
    </row>
    <row r="639" ht="15.75" customHeight="1">
      <c r="I639" s="117"/>
      <c r="K639" s="117"/>
      <c r="L639" s="118"/>
    </row>
    <row r="640" ht="15.75" customHeight="1">
      <c r="I640" s="117"/>
      <c r="K640" s="117"/>
      <c r="L640" s="118"/>
    </row>
    <row r="641" ht="15.75" customHeight="1">
      <c r="I641" s="117"/>
      <c r="K641" s="117"/>
      <c r="L641" s="118"/>
    </row>
    <row r="642" ht="15.75" customHeight="1">
      <c r="I642" s="117"/>
      <c r="K642" s="117"/>
      <c r="L642" s="118"/>
    </row>
    <row r="643" ht="15.75" customHeight="1">
      <c r="I643" s="117"/>
      <c r="K643" s="117"/>
      <c r="L643" s="118"/>
    </row>
    <row r="644" ht="15.75" customHeight="1">
      <c r="I644" s="117"/>
      <c r="K644" s="117"/>
      <c r="L644" s="118"/>
    </row>
    <row r="645" ht="15.75" customHeight="1">
      <c r="I645" s="117"/>
      <c r="K645" s="117"/>
      <c r="L645" s="118"/>
    </row>
    <row r="646" ht="15.75" customHeight="1">
      <c r="I646" s="117"/>
      <c r="K646" s="117"/>
      <c r="L646" s="118"/>
    </row>
    <row r="647" ht="15.75" customHeight="1">
      <c r="I647" s="117"/>
      <c r="K647" s="117"/>
      <c r="L647" s="118"/>
    </row>
    <row r="648" ht="15.75" customHeight="1">
      <c r="I648" s="117"/>
      <c r="K648" s="117"/>
      <c r="L648" s="118"/>
    </row>
    <row r="649" ht="15.75" customHeight="1">
      <c r="I649" s="117"/>
      <c r="K649" s="117"/>
      <c r="L649" s="118"/>
    </row>
    <row r="650" ht="15.75" customHeight="1">
      <c r="I650" s="117"/>
      <c r="K650" s="117"/>
      <c r="L650" s="118"/>
    </row>
    <row r="651" ht="15.75" customHeight="1">
      <c r="I651" s="117"/>
      <c r="K651" s="117"/>
      <c r="L651" s="118"/>
    </row>
    <row r="652" ht="15.75" customHeight="1">
      <c r="I652" s="117"/>
      <c r="K652" s="117"/>
      <c r="L652" s="118"/>
    </row>
    <row r="653" ht="15.75" customHeight="1">
      <c r="I653" s="117"/>
      <c r="K653" s="117"/>
      <c r="L653" s="118"/>
    </row>
    <row r="654" ht="15.75" customHeight="1">
      <c r="I654" s="117"/>
      <c r="K654" s="117"/>
      <c r="L654" s="118"/>
    </row>
    <row r="655" ht="15.75" customHeight="1">
      <c r="I655" s="117"/>
      <c r="K655" s="117"/>
      <c r="L655" s="118"/>
    </row>
    <row r="656" ht="15.75" customHeight="1">
      <c r="I656" s="117"/>
      <c r="K656" s="117"/>
      <c r="L656" s="118"/>
    </row>
    <row r="657" ht="15.75" customHeight="1">
      <c r="I657" s="117"/>
      <c r="K657" s="117"/>
      <c r="L657" s="118"/>
    </row>
    <row r="658" ht="15.75" customHeight="1">
      <c r="I658" s="117"/>
      <c r="K658" s="117"/>
      <c r="L658" s="118"/>
    </row>
    <row r="659" ht="15.75" customHeight="1">
      <c r="I659" s="117"/>
      <c r="K659" s="117"/>
      <c r="L659" s="118"/>
    </row>
    <row r="660" ht="15.75" customHeight="1">
      <c r="I660" s="117"/>
      <c r="K660" s="117"/>
      <c r="L660" s="118"/>
    </row>
    <row r="661" ht="15.75" customHeight="1">
      <c r="I661" s="117"/>
      <c r="K661" s="117"/>
      <c r="L661" s="118"/>
    </row>
    <row r="662" ht="15.75" customHeight="1">
      <c r="I662" s="117"/>
      <c r="K662" s="117"/>
      <c r="L662" s="118"/>
    </row>
    <row r="663" ht="15.75" customHeight="1">
      <c r="I663" s="117"/>
      <c r="K663" s="117"/>
      <c r="L663" s="118"/>
    </row>
    <row r="664" ht="15.75" customHeight="1">
      <c r="I664" s="117"/>
      <c r="K664" s="117"/>
      <c r="L664" s="118"/>
    </row>
    <row r="665" ht="15.75" customHeight="1">
      <c r="I665" s="117"/>
      <c r="K665" s="117"/>
      <c r="L665" s="118"/>
    </row>
    <row r="666" ht="15.75" customHeight="1">
      <c r="I666" s="117"/>
      <c r="K666" s="117"/>
      <c r="L666" s="118"/>
    </row>
    <row r="667" ht="15.75" customHeight="1">
      <c r="I667" s="117"/>
      <c r="K667" s="117"/>
      <c r="L667" s="118"/>
    </row>
    <row r="668" ht="15.75" customHeight="1">
      <c r="I668" s="117"/>
      <c r="K668" s="117"/>
      <c r="L668" s="118"/>
    </row>
    <row r="669" ht="15.75" customHeight="1">
      <c r="I669" s="117"/>
      <c r="K669" s="117"/>
      <c r="L669" s="118"/>
    </row>
    <row r="670" ht="15.75" customHeight="1">
      <c r="I670" s="117"/>
      <c r="K670" s="117"/>
      <c r="L670" s="118"/>
    </row>
    <row r="671" ht="15.75" customHeight="1">
      <c r="I671" s="117"/>
      <c r="K671" s="117"/>
      <c r="L671" s="118"/>
    </row>
    <row r="672" ht="15.75" customHeight="1">
      <c r="I672" s="117"/>
      <c r="K672" s="117"/>
      <c r="L672" s="118"/>
    </row>
    <row r="673" ht="15.75" customHeight="1">
      <c r="I673" s="117"/>
      <c r="K673" s="117"/>
      <c r="L673" s="118"/>
    </row>
    <row r="674" ht="15.75" customHeight="1">
      <c r="I674" s="117"/>
      <c r="K674" s="117"/>
      <c r="L674" s="118"/>
    </row>
    <row r="675" ht="15.75" customHeight="1">
      <c r="I675" s="117"/>
      <c r="K675" s="117"/>
      <c r="L675" s="118"/>
    </row>
    <row r="676" ht="15.75" customHeight="1">
      <c r="I676" s="117"/>
      <c r="K676" s="117"/>
      <c r="L676" s="118"/>
    </row>
    <row r="677" ht="15.75" customHeight="1">
      <c r="I677" s="117"/>
      <c r="K677" s="117"/>
      <c r="L677" s="118"/>
    </row>
    <row r="678" ht="15.75" customHeight="1">
      <c r="I678" s="117"/>
      <c r="K678" s="117"/>
      <c r="L678" s="118"/>
    </row>
    <row r="679" ht="15.75" customHeight="1">
      <c r="I679" s="117"/>
      <c r="K679" s="117"/>
      <c r="L679" s="118"/>
    </row>
    <row r="680" ht="15.75" customHeight="1">
      <c r="I680" s="117"/>
      <c r="K680" s="117"/>
      <c r="L680" s="118"/>
    </row>
    <row r="681" ht="15.75" customHeight="1">
      <c r="I681" s="117"/>
      <c r="K681" s="117"/>
      <c r="L681" s="118"/>
    </row>
    <row r="682" ht="15.75" customHeight="1">
      <c r="I682" s="117"/>
      <c r="K682" s="117"/>
      <c r="L682" s="118"/>
    </row>
    <row r="683" ht="15.75" customHeight="1">
      <c r="I683" s="117"/>
      <c r="K683" s="117"/>
      <c r="L683" s="118"/>
    </row>
    <row r="684" ht="15.75" customHeight="1">
      <c r="I684" s="117"/>
      <c r="K684" s="117"/>
      <c r="L684" s="118"/>
    </row>
    <row r="685" ht="15.75" customHeight="1">
      <c r="I685" s="117"/>
      <c r="K685" s="117"/>
      <c r="L685" s="118"/>
    </row>
    <row r="686" ht="15.75" customHeight="1">
      <c r="I686" s="117"/>
      <c r="K686" s="117"/>
      <c r="L686" s="118"/>
    </row>
    <row r="687" ht="15.75" customHeight="1">
      <c r="I687" s="117"/>
      <c r="K687" s="117"/>
      <c r="L687" s="118"/>
    </row>
    <row r="688" ht="15.75" customHeight="1">
      <c r="I688" s="117"/>
      <c r="K688" s="117"/>
      <c r="L688" s="118"/>
    </row>
    <row r="689" ht="15.75" customHeight="1">
      <c r="I689" s="117"/>
      <c r="K689" s="117"/>
      <c r="L689" s="118"/>
    </row>
    <row r="690" ht="15.75" customHeight="1">
      <c r="I690" s="117"/>
      <c r="K690" s="117"/>
      <c r="L690" s="118"/>
    </row>
    <row r="691" ht="15.75" customHeight="1">
      <c r="I691" s="117"/>
      <c r="K691" s="117"/>
      <c r="L691" s="118"/>
    </row>
    <row r="692" ht="15.75" customHeight="1">
      <c r="I692" s="117"/>
      <c r="K692" s="117"/>
      <c r="L692" s="118"/>
    </row>
    <row r="693" ht="15.75" customHeight="1">
      <c r="I693" s="117"/>
      <c r="K693" s="117"/>
      <c r="L693" s="118"/>
    </row>
    <row r="694" ht="15.75" customHeight="1">
      <c r="I694" s="117"/>
      <c r="K694" s="117"/>
      <c r="L694" s="118"/>
    </row>
    <row r="695" ht="15.75" customHeight="1">
      <c r="I695" s="117"/>
      <c r="K695" s="117"/>
      <c r="L695" s="118"/>
    </row>
    <row r="696" ht="15.75" customHeight="1">
      <c r="I696" s="117"/>
      <c r="K696" s="117"/>
      <c r="L696" s="118"/>
    </row>
    <row r="697" ht="15.75" customHeight="1">
      <c r="I697" s="117"/>
      <c r="K697" s="117"/>
      <c r="L697" s="118"/>
    </row>
    <row r="698" ht="15.75" customHeight="1">
      <c r="I698" s="117"/>
      <c r="K698" s="117"/>
      <c r="L698" s="118"/>
    </row>
    <row r="699" ht="15.75" customHeight="1">
      <c r="I699" s="117"/>
      <c r="K699" s="117"/>
      <c r="L699" s="118"/>
    </row>
    <row r="700" ht="15.75" customHeight="1">
      <c r="I700" s="117"/>
      <c r="K700" s="117"/>
      <c r="L700" s="118"/>
    </row>
    <row r="701" ht="15.75" customHeight="1">
      <c r="I701" s="117"/>
      <c r="K701" s="117"/>
      <c r="L701" s="118"/>
    </row>
    <row r="702" ht="15.75" customHeight="1">
      <c r="I702" s="117"/>
      <c r="K702" s="117"/>
      <c r="L702" s="118"/>
    </row>
    <row r="703" ht="15.75" customHeight="1">
      <c r="I703" s="117"/>
      <c r="K703" s="117"/>
      <c r="L703" s="118"/>
    </row>
    <row r="704" ht="15.75" customHeight="1">
      <c r="I704" s="117"/>
      <c r="K704" s="117"/>
      <c r="L704" s="118"/>
    </row>
    <row r="705" ht="15.75" customHeight="1">
      <c r="I705" s="117"/>
      <c r="K705" s="117"/>
      <c r="L705" s="118"/>
    </row>
    <row r="706" ht="15.75" customHeight="1">
      <c r="I706" s="117"/>
      <c r="K706" s="117"/>
      <c r="L706" s="118"/>
    </row>
    <row r="707" ht="15.75" customHeight="1">
      <c r="I707" s="117"/>
      <c r="K707" s="117"/>
      <c r="L707" s="118"/>
    </row>
    <row r="708" ht="15.75" customHeight="1">
      <c r="I708" s="117"/>
      <c r="K708" s="117"/>
      <c r="L708" s="118"/>
    </row>
    <row r="709" ht="15.75" customHeight="1">
      <c r="I709" s="117"/>
      <c r="K709" s="117"/>
      <c r="L709" s="118"/>
    </row>
    <row r="710" ht="15.75" customHeight="1">
      <c r="I710" s="117"/>
      <c r="K710" s="117"/>
      <c r="L710" s="118"/>
    </row>
    <row r="711" ht="15.75" customHeight="1">
      <c r="I711" s="117"/>
      <c r="K711" s="117"/>
      <c r="L711" s="118"/>
    </row>
    <row r="712" ht="15.75" customHeight="1">
      <c r="I712" s="117"/>
      <c r="K712" s="117"/>
      <c r="L712" s="118"/>
    </row>
    <row r="713" ht="15.75" customHeight="1">
      <c r="I713" s="117"/>
      <c r="K713" s="117"/>
      <c r="L713" s="118"/>
    </row>
    <row r="714" ht="15.75" customHeight="1">
      <c r="I714" s="117"/>
      <c r="K714" s="117"/>
      <c r="L714" s="118"/>
    </row>
    <row r="715" ht="15.75" customHeight="1">
      <c r="I715" s="117"/>
      <c r="K715" s="117"/>
      <c r="L715" s="118"/>
    </row>
    <row r="716" ht="15.75" customHeight="1">
      <c r="I716" s="117"/>
      <c r="K716" s="117"/>
      <c r="L716" s="118"/>
    </row>
    <row r="717" ht="15.75" customHeight="1">
      <c r="I717" s="117"/>
      <c r="K717" s="117"/>
      <c r="L717" s="118"/>
    </row>
    <row r="718" ht="15.75" customHeight="1">
      <c r="I718" s="117"/>
      <c r="K718" s="117"/>
      <c r="L718" s="118"/>
    </row>
    <row r="719" ht="15.75" customHeight="1">
      <c r="I719" s="117"/>
      <c r="K719" s="117"/>
      <c r="L719" s="118"/>
    </row>
    <row r="720" ht="15.75" customHeight="1">
      <c r="I720" s="117"/>
      <c r="K720" s="117"/>
      <c r="L720" s="118"/>
    </row>
    <row r="721" ht="15.75" customHeight="1">
      <c r="I721" s="117"/>
      <c r="K721" s="117"/>
      <c r="L721" s="118"/>
    </row>
    <row r="722" ht="15.75" customHeight="1">
      <c r="I722" s="117"/>
      <c r="K722" s="117"/>
      <c r="L722" s="118"/>
    </row>
    <row r="723" ht="15.75" customHeight="1">
      <c r="I723" s="117"/>
      <c r="K723" s="117"/>
      <c r="L723" s="118"/>
    </row>
    <row r="724" ht="15.75" customHeight="1">
      <c r="I724" s="117"/>
      <c r="K724" s="117"/>
      <c r="L724" s="118"/>
    </row>
    <row r="725" ht="15.75" customHeight="1">
      <c r="I725" s="117"/>
      <c r="K725" s="117"/>
      <c r="L725" s="118"/>
    </row>
    <row r="726" ht="15.75" customHeight="1">
      <c r="I726" s="117"/>
      <c r="K726" s="117"/>
      <c r="L726" s="118"/>
    </row>
    <row r="727" ht="15.75" customHeight="1">
      <c r="I727" s="117"/>
      <c r="K727" s="117"/>
      <c r="L727" s="118"/>
    </row>
    <row r="728" ht="15.75" customHeight="1">
      <c r="I728" s="117"/>
      <c r="K728" s="117"/>
      <c r="L728" s="118"/>
    </row>
    <row r="729" ht="15.75" customHeight="1">
      <c r="I729" s="117"/>
      <c r="K729" s="117"/>
      <c r="L729" s="118"/>
    </row>
    <row r="730" ht="15.75" customHeight="1">
      <c r="I730" s="117"/>
      <c r="K730" s="117"/>
      <c r="L730" s="118"/>
    </row>
    <row r="731" ht="15.75" customHeight="1">
      <c r="I731" s="117"/>
      <c r="K731" s="117"/>
      <c r="L731" s="118"/>
    </row>
    <row r="732" ht="15.75" customHeight="1">
      <c r="I732" s="117"/>
      <c r="K732" s="117"/>
      <c r="L732" s="118"/>
    </row>
    <row r="733" ht="15.75" customHeight="1">
      <c r="I733" s="117"/>
      <c r="K733" s="117"/>
      <c r="L733" s="118"/>
    </row>
    <row r="734" ht="15.75" customHeight="1">
      <c r="I734" s="117"/>
      <c r="K734" s="117"/>
      <c r="L734" s="118"/>
    </row>
    <row r="735" ht="15.75" customHeight="1">
      <c r="I735" s="117"/>
      <c r="K735" s="117"/>
      <c r="L735" s="118"/>
    </row>
    <row r="736" ht="15.75" customHeight="1">
      <c r="I736" s="117"/>
      <c r="K736" s="117"/>
      <c r="L736" s="118"/>
    </row>
    <row r="737" ht="15.75" customHeight="1">
      <c r="I737" s="117"/>
      <c r="K737" s="117"/>
      <c r="L737" s="118"/>
    </row>
    <row r="738" ht="15.75" customHeight="1">
      <c r="I738" s="117"/>
      <c r="K738" s="117"/>
      <c r="L738" s="118"/>
    </row>
    <row r="739" ht="15.75" customHeight="1">
      <c r="I739" s="117"/>
      <c r="K739" s="117"/>
      <c r="L739" s="118"/>
    </row>
    <row r="740" ht="15.75" customHeight="1">
      <c r="I740" s="117"/>
      <c r="K740" s="117"/>
      <c r="L740" s="118"/>
    </row>
    <row r="741" ht="15.75" customHeight="1">
      <c r="I741" s="117"/>
      <c r="K741" s="117"/>
      <c r="L741" s="118"/>
    </row>
    <row r="742" ht="15.75" customHeight="1">
      <c r="I742" s="117"/>
      <c r="K742" s="117"/>
      <c r="L742" s="118"/>
    </row>
    <row r="743" ht="15.75" customHeight="1">
      <c r="I743" s="117"/>
      <c r="K743" s="117"/>
      <c r="L743" s="118"/>
    </row>
    <row r="744" ht="15.75" customHeight="1">
      <c r="I744" s="117"/>
      <c r="K744" s="117"/>
      <c r="L744" s="118"/>
    </row>
    <row r="745" ht="15.75" customHeight="1">
      <c r="I745" s="117"/>
      <c r="K745" s="117"/>
      <c r="L745" s="118"/>
    </row>
    <row r="746" ht="15.75" customHeight="1">
      <c r="I746" s="117"/>
      <c r="K746" s="117"/>
      <c r="L746" s="118"/>
    </row>
    <row r="747" ht="15.75" customHeight="1">
      <c r="I747" s="117"/>
      <c r="K747" s="117"/>
      <c r="L747" s="118"/>
    </row>
    <row r="748" ht="15.75" customHeight="1">
      <c r="I748" s="117"/>
      <c r="K748" s="117"/>
      <c r="L748" s="118"/>
    </row>
    <row r="749" ht="15.75" customHeight="1">
      <c r="I749" s="117"/>
      <c r="K749" s="117"/>
      <c r="L749" s="118"/>
    </row>
    <row r="750" ht="15.75" customHeight="1">
      <c r="I750" s="117"/>
      <c r="K750" s="117"/>
      <c r="L750" s="118"/>
    </row>
    <row r="751" ht="15.75" customHeight="1">
      <c r="I751" s="117"/>
      <c r="K751" s="117"/>
      <c r="L751" s="118"/>
    </row>
    <row r="752" ht="15.75" customHeight="1">
      <c r="I752" s="117"/>
      <c r="K752" s="117"/>
      <c r="L752" s="118"/>
    </row>
    <row r="753" ht="15.75" customHeight="1">
      <c r="I753" s="117"/>
      <c r="K753" s="117"/>
      <c r="L753" s="118"/>
    </row>
    <row r="754" ht="15.75" customHeight="1">
      <c r="I754" s="117"/>
      <c r="K754" s="117"/>
      <c r="L754" s="118"/>
    </row>
    <row r="755" ht="15.75" customHeight="1">
      <c r="I755" s="117"/>
      <c r="K755" s="117"/>
      <c r="L755" s="118"/>
    </row>
    <row r="756" ht="15.75" customHeight="1">
      <c r="I756" s="117"/>
      <c r="K756" s="117"/>
      <c r="L756" s="118"/>
    </row>
    <row r="757" ht="15.75" customHeight="1">
      <c r="I757" s="117"/>
      <c r="K757" s="117"/>
      <c r="L757" s="118"/>
    </row>
    <row r="758" ht="15.75" customHeight="1">
      <c r="I758" s="117"/>
      <c r="K758" s="117"/>
      <c r="L758" s="118"/>
    </row>
    <row r="759" ht="15.75" customHeight="1">
      <c r="I759" s="117"/>
      <c r="K759" s="117"/>
      <c r="L759" s="118"/>
    </row>
    <row r="760" ht="15.75" customHeight="1">
      <c r="I760" s="117"/>
      <c r="K760" s="117"/>
      <c r="L760" s="118"/>
    </row>
    <row r="761" ht="15.75" customHeight="1">
      <c r="I761" s="117"/>
      <c r="K761" s="117"/>
      <c r="L761" s="118"/>
    </row>
    <row r="762" ht="15.75" customHeight="1">
      <c r="I762" s="117"/>
      <c r="K762" s="117"/>
      <c r="L762" s="118"/>
    </row>
    <row r="763" ht="15.75" customHeight="1">
      <c r="I763" s="117"/>
      <c r="K763" s="117"/>
      <c r="L763" s="118"/>
    </row>
    <row r="764" ht="15.75" customHeight="1">
      <c r="I764" s="117"/>
      <c r="K764" s="117"/>
      <c r="L764" s="118"/>
    </row>
    <row r="765" ht="15.75" customHeight="1">
      <c r="I765" s="117"/>
      <c r="K765" s="117"/>
      <c r="L765" s="118"/>
    </row>
    <row r="766" ht="15.75" customHeight="1">
      <c r="I766" s="117"/>
      <c r="K766" s="117"/>
      <c r="L766" s="118"/>
    </row>
    <row r="767" ht="15.75" customHeight="1">
      <c r="I767" s="117"/>
      <c r="K767" s="117"/>
      <c r="L767" s="118"/>
    </row>
    <row r="768" ht="15.75" customHeight="1">
      <c r="I768" s="117"/>
      <c r="K768" s="117"/>
      <c r="L768" s="118"/>
    </row>
    <row r="769" ht="15.75" customHeight="1">
      <c r="I769" s="117"/>
      <c r="K769" s="117"/>
      <c r="L769" s="118"/>
    </row>
    <row r="770" ht="15.75" customHeight="1">
      <c r="I770" s="117"/>
      <c r="K770" s="117"/>
      <c r="L770" s="118"/>
    </row>
    <row r="771" ht="15.75" customHeight="1">
      <c r="I771" s="117"/>
      <c r="K771" s="117"/>
      <c r="L771" s="118"/>
    </row>
    <row r="772" ht="15.75" customHeight="1">
      <c r="I772" s="117"/>
      <c r="K772" s="117"/>
      <c r="L772" s="118"/>
    </row>
    <row r="773" ht="15.75" customHeight="1">
      <c r="I773" s="117"/>
      <c r="K773" s="117"/>
      <c r="L773" s="118"/>
    </row>
    <row r="774" ht="15.75" customHeight="1">
      <c r="I774" s="117"/>
      <c r="K774" s="117"/>
      <c r="L774" s="118"/>
    </row>
    <row r="775" ht="15.75" customHeight="1">
      <c r="I775" s="117"/>
      <c r="K775" s="117"/>
      <c r="L775" s="118"/>
    </row>
    <row r="776" ht="15.75" customHeight="1">
      <c r="I776" s="117"/>
      <c r="K776" s="117"/>
      <c r="L776" s="118"/>
    </row>
    <row r="777" ht="15.75" customHeight="1">
      <c r="I777" s="117"/>
      <c r="K777" s="117"/>
      <c r="L777" s="118"/>
    </row>
    <row r="778" ht="15.75" customHeight="1">
      <c r="I778" s="117"/>
      <c r="K778" s="117"/>
      <c r="L778" s="118"/>
    </row>
    <row r="779" ht="15.75" customHeight="1">
      <c r="I779" s="117"/>
      <c r="K779" s="117"/>
      <c r="L779" s="118"/>
    </row>
    <row r="780" ht="15.75" customHeight="1">
      <c r="I780" s="117"/>
      <c r="K780" s="117"/>
      <c r="L780" s="118"/>
    </row>
    <row r="781" ht="15.75" customHeight="1">
      <c r="I781" s="117"/>
      <c r="K781" s="117"/>
      <c r="L781" s="118"/>
    </row>
    <row r="782" ht="15.75" customHeight="1">
      <c r="I782" s="117"/>
      <c r="K782" s="117"/>
      <c r="L782" s="118"/>
    </row>
    <row r="783" ht="15.75" customHeight="1">
      <c r="I783" s="117"/>
      <c r="K783" s="117"/>
      <c r="L783" s="118"/>
    </row>
    <row r="784" ht="15.75" customHeight="1">
      <c r="I784" s="117"/>
      <c r="K784" s="117"/>
      <c r="L784" s="118"/>
    </row>
    <row r="785" ht="15.75" customHeight="1">
      <c r="I785" s="117"/>
      <c r="K785" s="117"/>
      <c r="L785" s="118"/>
    </row>
    <row r="786" ht="15.75" customHeight="1">
      <c r="I786" s="117"/>
      <c r="K786" s="117"/>
      <c r="L786" s="118"/>
    </row>
    <row r="787" ht="15.75" customHeight="1">
      <c r="I787" s="117"/>
      <c r="K787" s="117"/>
      <c r="L787" s="118"/>
    </row>
    <row r="788" ht="15.75" customHeight="1">
      <c r="I788" s="117"/>
      <c r="K788" s="117"/>
      <c r="L788" s="118"/>
    </row>
    <row r="789" ht="15.75" customHeight="1">
      <c r="I789" s="117"/>
      <c r="K789" s="117"/>
      <c r="L789" s="118"/>
    </row>
    <row r="790" ht="15.75" customHeight="1">
      <c r="I790" s="117"/>
      <c r="K790" s="117"/>
      <c r="L790" s="118"/>
    </row>
    <row r="791" ht="15.75" customHeight="1">
      <c r="I791" s="117"/>
      <c r="K791" s="117"/>
      <c r="L791" s="118"/>
    </row>
    <row r="792" ht="15.75" customHeight="1">
      <c r="I792" s="117"/>
      <c r="K792" s="117"/>
      <c r="L792" s="118"/>
    </row>
    <row r="793" ht="15.75" customHeight="1">
      <c r="I793" s="117"/>
      <c r="K793" s="117"/>
      <c r="L793" s="118"/>
    </row>
    <row r="794" ht="15.75" customHeight="1">
      <c r="I794" s="117"/>
      <c r="K794" s="117"/>
      <c r="L794" s="118"/>
    </row>
    <row r="795" ht="15.75" customHeight="1">
      <c r="I795" s="117"/>
      <c r="K795" s="117"/>
      <c r="L795" s="118"/>
    </row>
    <row r="796" ht="15.75" customHeight="1">
      <c r="I796" s="117"/>
      <c r="K796" s="117"/>
      <c r="L796" s="118"/>
    </row>
    <row r="797" ht="15.75" customHeight="1">
      <c r="I797" s="117"/>
      <c r="K797" s="117"/>
      <c r="L797" s="118"/>
    </row>
    <row r="798" ht="15.75" customHeight="1">
      <c r="I798" s="117"/>
      <c r="K798" s="117"/>
      <c r="L798" s="118"/>
    </row>
    <row r="799" ht="15.75" customHeight="1">
      <c r="I799" s="117"/>
      <c r="K799" s="117"/>
      <c r="L799" s="118"/>
    </row>
    <row r="800" ht="15.75" customHeight="1">
      <c r="I800" s="117"/>
      <c r="K800" s="117"/>
      <c r="L800" s="118"/>
    </row>
    <row r="801" ht="15.75" customHeight="1">
      <c r="I801" s="117"/>
      <c r="K801" s="117"/>
      <c r="L801" s="118"/>
    </row>
    <row r="802" ht="15.75" customHeight="1">
      <c r="I802" s="117"/>
      <c r="K802" s="117"/>
      <c r="L802" s="118"/>
    </row>
    <row r="803" ht="15.75" customHeight="1">
      <c r="I803" s="117"/>
      <c r="K803" s="117"/>
      <c r="L803" s="118"/>
    </row>
    <row r="804" ht="15.75" customHeight="1">
      <c r="I804" s="117"/>
      <c r="K804" s="117"/>
      <c r="L804" s="118"/>
    </row>
    <row r="805" ht="15.75" customHeight="1">
      <c r="I805" s="117"/>
      <c r="K805" s="117"/>
      <c r="L805" s="118"/>
    </row>
    <row r="806" ht="15.75" customHeight="1">
      <c r="I806" s="117"/>
      <c r="K806" s="117"/>
      <c r="L806" s="118"/>
    </row>
    <row r="807" ht="15.75" customHeight="1">
      <c r="I807" s="117"/>
      <c r="K807" s="117"/>
      <c r="L807" s="118"/>
    </row>
    <row r="808" ht="15.75" customHeight="1">
      <c r="I808" s="117"/>
      <c r="K808" s="117"/>
      <c r="L808" s="118"/>
    </row>
    <row r="809" ht="15.75" customHeight="1">
      <c r="I809" s="117"/>
      <c r="K809" s="117"/>
      <c r="L809" s="118"/>
    </row>
    <row r="810" ht="15.75" customHeight="1">
      <c r="I810" s="117"/>
      <c r="K810" s="117"/>
      <c r="L810" s="118"/>
    </row>
    <row r="811" ht="15.75" customHeight="1">
      <c r="I811" s="117"/>
      <c r="K811" s="117"/>
      <c r="L811" s="118"/>
    </row>
    <row r="812" ht="15.75" customHeight="1">
      <c r="I812" s="117"/>
      <c r="K812" s="117"/>
      <c r="L812" s="118"/>
    </row>
    <row r="813" ht="15.75" customHeight="1">
      <c r="I813" s="117"/>
      <c r="K813" s="117"/>
      <c r="L813" s="118"/>
    </row>
    <row r="814" ht="15.75" customHeight="1">
      <c r="I814" s="117"/>
      <c r="K814" s="117"/>
      <c r="L814" s="118"/>
    </row>
    <row r="815" ht="15.75" customHeight="1">
      <c r="I815" s="117"/>
      <c r="K815" s="117"/>
      <c r="L815" s="118"/>
    </row>
    <row r="816" ht="15.75" customHeight="1">
      <c r="I816" s="117"/>
      <c r="K816" s="117"/>
      <c r="L816" s="118"/>
    </row>
    <row r="817" ht="15.75" customHeight="1">
      <c r="I817" s="117"/>
      <c r="K817" s="117"/>
      <c r="L817" s="118"/>
    </row>
    <row r="818" ht="15.75" customHeight="1">
      <c r="I818" s="117"/>
      <c r="K818" s="117"/>
      <c r="L818" s="118"/>
    </row>
    <row r="819" ht="15.75" customHeight="1">
      <c r="I819" s="117"/>
      <c r="K819" s="117"/>
      <c r="L819" s="118"/>
    </row>
    <row r="820" ht="15.75" customHeight="1">
      <c r="I820" s="117"/>
      <c r="K820" s="117"/>
      <c r="L820" s="118"/>
    </row>
    <row r="821" ht="15.75" customHeight="1">
      <c r="I821" s="117"/>
      <c r="K821" s="117"/>
      <c r="L821" s="118"/>
    </row>
    <row r="822" ht="15.75" customHeight="1">
      <c r="I822" s="117"/>
      <c r="K822" s="117"/>
      <c r="L822" s="118"/>
    </row>
    <row r="823" ht="15.75" customHeight="1">
      <c r="I823" s="117"/>
      <c r="K823" s="117"/>
      <c r="L823" s="118"/>
    </row>
    <row r="824" ht="15.75" customHeight="1">
      <c r="I824" s="117"/>
      <c r="K824" s="117"/>
      <c r="L824" s="118"/>
    </row>
    <row r="825" ht="15.75" customHeight="1">
      <c r="I825" s="117"/>
      <c r="K825" s="117"/>
      <c r="L825" s="118"/>
    </row>
    <row r="826" ht="15.75" customHeight="1">
      <c r="I826" s="117"/>
      <c r="K826" s="117"/>
      <c r="L826" s="118"/>
    </row>
    <row r="827" ht="15.75" customHeight="1">
      <c r="I827" s="117"/>
      <c r="K827" s="117"/>
      <c r="L827" s="118"/>
    </row>
    <row r="828" ht="15.75" customHeight="1">
      <c r="I828" s="117"/>
      <c r="K828" s="117"/>
      <c r="L828" s="118"/>
    </row>
    <row r="829" ht="15.75" customHeight="1">
      <c r="I829" s="117"/>
      <c r="K829" s="117"/>
      <c r="L829" s="118"/>
    </row>
    <row r="830" ht="15.75" customHeight="1">
      <c r="I830" s="117"/>
      <c r="K830" s="117"/>
      <c r="L830" s="118"/>
    </row>
    <row r="831" ht="15.75" customHeight="1">
      <c r="I831" s="117"/>
      <c r="K831" s="117"/>
      <c r="L831" s="118"/>
    </row>
    <row r="832" ht="15.75" customHeight="1">
      <c r="I832" s="117"/>
      <c r="K832" s="117"/>
      <c r="L832" s="118"/>
    </row>
    <row r="833" ht="15.75" customHeight="1">
      <c r="I833" s="117"/>
      <c r="K833" s="117"/>
      <c r="L833" s="118"/>
    </row>
    <row r="834" ht="15.75" customHeight="1">
      <c r="I834" s="117"/>
      <c r="K834" s="117"/>
      <c r="L834" s="118"/>
    </row>
    <row r="835" ht="15.75" customHeight="1">
      <c r="I835" s="117"/>
      <c r="K835" s="117"/>
      <c r="L835" s="118"/>
    </row>
    <row r="836" ht="15.75" customHeight="1">
      <c r="I836" s="117"/>
      <c r="K836" s="117"/>
      <c r="L836" s="118"/>
    </row>
    <row r="837" ht="15.75" customHeight="1">
      <c r="I837" s="117"/>
      <c r="K837" s="117"/>
      <c r="L837" s="118"/>
    </row>
    <row r="838" ht="15.75" customHeight="1">
      <c r="I838" s="117"/>
      <c r="K838" s="117"/>
      <c r="L838" s="118"/>
    </row>
    <row r="839" ht="15.75" customHeight="1">
      <c r="I839" s="117"/>
      <c r="K839" s="117"/>
      <c r="L839" s="118"/>
    </row>
    <row r="840" ht="15.75" customHeight="1">
      <c r="I840" s="117"/>
      <c r="K840" s="117"/>
      <c r="L840" s="118"/>
    </row>
    <row r="841" ht="15.75" customHeight="1">
      <c r="I841" s="117"/>
      <c r="K841" s="117"/>
      <c r="L841" s="118"/>
    </row>
    <row r="842" ht="15.75" customHeight="1">
      <c r="I842" s="117"/>
      <c r="K842" s="117"/>
      <c r="L842" s="118"/>
    </row>
    <row r="843" ht="15.75" customHeight="1">
      <c r="I843" s="117"/>
      <c r="K843" s="117"/>
      <c r="L843" s="118"/>
    </row>
    <row r="844" ht="15.75" customHeight="1">
      <c r="I844" s="117"/>
      <c r="K844" s="117"/>
      <c r="L844" s="118"/>
    </row>
    <row r="845" ht="15.75" customHeight="1">
      <c r="I845" s="117"/>
      <c r="K845" s="117"/>
      <c r="L845" s="118"/>
    </row>
    <row r="846" ht="15.75" customHeight="1">
      <c r="I846" s="117"/>
      <c r="K846" s="117"/>
      <c r="L846" s="118"/>
    </row>
    <row r="847" ht="15.75" customHeight="1">
      <c r="I847" s="117"/>
      <c r="K847" s="117"/>
      <c r="L847" s="118"/>
    </row>
    <row r="848" ht="15.75" customHeight="1">
      <c r="I848" s="117"/>
      <c r="K848" s="117"/>
      <c r="L848" s="118"/>
    </row>
    <row r="849" ht="15.75" customHeight="1">
      <c r="I849" s="117"/>
      <c r="K849" s="117"/>
      <c r="L849" s="118"/>
    </row>
    <row r="850" ht="15.75" customHeight="1">
      <c r="I850" s="117"/>
      <c r="K850" s="117"/>
      <c r="L850" s="118"/>
    </row>
    <row r="851" ht="15.75" customHeight="1">
      <c r="I851" s="117"/>
      <c r="K851" s="117"/>
      <c r="L851" s="118"/>
    </row>
    <row r="852" ht="15.75" customHeight="1">
      <c r="I852" s="117"/>
      <c r="K852" s="117"/>
      <c r="L852" s="118"/>
    </row>
    <row r="853" ht="15.75" customHeight="1">
      <c r="I853" s="117"/>
      <c r="K853" s="117"/>
      <c r="L853" s="118"/>
    </row>
    <row r="854" ht="15.75" customHeight="1">
      <c r="I854" s="117"/>
      <c r="K854" s="117"/>
      <c r="L854" s="118"/>
    </row>
    <row r="855" ht="15.75" customHeight="1">
      <c r="I855" s="117"/>
      <c r="K855" s="117"/>
      <c r="L855" s="118"/>
    </row>
    <row r="856" ht="15.75" customHeight="1">
      <c r="I856" s="117"/>
      <c r="K856" s="117"/>
      <c r="L856" s="118"/>
    </row>
    <row r="857" ht="15.75" customHeight="1">
      <c r="I857" s="117"/>
      <c r="K857" s="117"/>
      <c r="L857" s="118"/>
    </row>
    <row r="858" ht="15.75" customHeight="1">
      <c r="I858" s="117"/>
      <c r="K858" s="117"/>
      <c r="L858" s="118"/>
    </row>
    <row r="859" ht="15.75" customHeight="1">
      <c r="I859" s="117"/>
      <c r="K859" s="117"/>
      <c r="L859" s="118"/>
    </row>
    <row r="860" ht="15.75" customHeight="1">
      <c r="I860" s="117"/>
      <c r="K860" s="117"/>
      <c r="L860" s="118"/>
    </row>
    <row r="861" ht="15.75" customHeight="1">
      <c r="I861" s="117"/>
      <c r="K861" s="117"/>
      <c r="L861" s="118"/>
    </row>
    <row r="862" ht="15.75" customHeight="1">
      <c r="I862" s="117"/>
      <c r="K862" s="117"/>
      <c r="L862" s="118"/>
    </row>
    <row r="863" ht="15.75" customHeight="1">
      <c r="I863" s="117"/>
      <c r="K863" s="117"/>
      <c r="L863" s="118"/>
    </row>
    <row r="864" ht="15.75" customHeight="1">
      <c r="I864" s="117"/>
      <c r="K864" s="117"/>
      <c r="L864" s="118"/>
    </row>
    <row r="865" ht="15.75" customHeight="1">
      <c r="I865" s="117"/>
      <c r="K865" s="117"/>
      <c r="L865" s="118"/>
    </row>
    <row r="866" ht="15.75" customHeight="1">
      <c r="I866" s="117"/>
      <c r="K866" s="117"/>
      <c r="L866" s="118"/>
    </row>
    <row r="867" ht="15.75" customHeight="1">
      <c r="I867" s="117"/>
      <c r="K867" s="117"/>
      <c r="L867" s="118"/>
    </row>
    <row r="868" ht="15.75" customHeight="1">
      <c r="I868" s="117"/>
      <c r="K868" s="117"/>
      <c r="L868" s="118"/>
    </row>
    <row r="869" ht="15.75" customHeight="1">
      <c r="I869" s="117"/>
      <c r="K869" s="117"/>
      <c r="L869" s="118"/>
    </row>
    <row r="870" ht="15.75" customHeight="1">
      <c r="I870" s="117"/>
      <c r="K870" s="117"/>
      <c r="L870" s="118"/>
    </row>
    <row r="871" ht="15.75" customHeight="1">
      <c r="I871" s="117"/>
      <c r="K871" s="117"/>
      <c r="L871" s="118"/>
    </row>
    <row r="872" ht="15.75" customHeight="1">
      <c r="I872" s="117"/>
      <c r="K872" s="117"/>
      <c r="L872" s="118"/>
    </row>
    <row r="873" ht="15.75" customHeight="1">
      <c r="I873" s="117"/>
      <c r="K873" s="117"/>
      <c r="L873" s="118"/>
    </row>
    <row r="874" ht="15.75" customHeight="1">
      <c r="I874" s="117"/>
      <c r="K874" s="117"/>
      <c r="L874" s="118"/>
    </row>
    <row r="875" ht="15.75" customHeight="1">
      <c r="I875" s="117"/>
      <c r="K875" s="117"/>
      <c r="L875" s="118"/>
    </row>
    <row r="876" ht="15.75" customHeight="1">
      <c r="I876" s="117"/>
      <c r="K876" s="117"/>
      <c r="L876" s="118"/>
    </row>
    <row r="877" ht="15.75" customHeight="1">
      <c r="I877" s="117"/>
      <c r="K877" s="117"/>
      <c r="L877" s="118"/>
    </row>
    <row r="878" ht="15.75" customHeight="1">
      <c r="I878" s="117"/>
      <c r="K878" s="117"/>
      <c r="L878" s="118"/>
    </row>
    <row r="879" ht="15.75" customHeight="1">
      <c r="I879" s="117"/>
      <c r="K879" s="117"/>
      <c r="L879" s="118"/>
    </row>
    <row r="880" ht="15.75" customHeight="1">
      <c r="I880" s="117"/>
      <c r="K880" s="117"/>
      <c r="L880" s="118"/>
    </row>
    <row r="881" ht="15.75" customHeight="1">
      <c r="I881" s="117"/>
      <c r="K881" s="117"/>
      <c r="L881" s="118"/>
    </row>
    <row r="882" ht="15.75" customHeight="1">
      <c r="I882" s="117"/>
      <c r="K882" s="117"/>
      <c r="L882" s="118"/>
    </row>
    <row r="883" ht="15.75" customHeight="1">
      <c r="I883" s="117"/>
      <c r="K883" s="117"/>
      <c r="L883" s="118"/>
    </row>
    <row r="884" ht="15.75" customHeight="1">
      <c r="I884" s="117"/>
      <c r="K884" s="117"/>
      <c r="L884" s="118"/>
    </row>
    <row r="885" ht="15.75" customHeight="1">
      <c r="I885" s="117"/>
      <c r="K885" s="117"/>
      <c r="L885" s="118"/>
    </row>
    <row r="886" ht="15.75" customHeight="1">
      <c r="I886" s="117"/>
      <c r="K886" s="117"/>
      <c r="L886" s="118"/>
    </row>
    <row r="887" ht="15.75" customHeight="1">
      <c r="I887" s="117"/>
      <c r="K887" s="117"/>
      <c r="L887" s="118"/>
    </row>
    <row r="888" ht="15.75" customHeight="1">
      <c r="I888" s="117"/>
      <c r="K888" s="117"/>
      <c r="L888" s="118"/>
    </row>
    <row r="889" ht="15.75" customHeight="1">
      <c r="I889" s="117"/>
      <c r="K889" s="117"/>
      <c r="L889" s="118"/>
    </row>
    <row r="890" ht="15.75" customHeight="1">
      <c r="I890" s="117"/>
      <c r="K890" s="117"/>
      <c r="L890" s="118"/>
    </row>
    <row r="891" ht="15.75" customHeight="1">
      <c r="I891" s="117"/>
      <c r="K891" s="117"/>
      <c r="L891" s="118"/>
    </row>
    <row r="892" ht="15.75" customHeight="1">
      <c r="I892" s="117"/>
      <c r="K892" s="117"/>
      <c r="L892" s="118"/>
    </row>
    <row r="893" ht="15.75" customHeight="1">
      <c r="I893" s="117"/>
      <c r="K893" s="117"/>
      <c r="L893" s="118"/>
    </row>
    <row r="894" ht="15.75" customHeight="1">
      <c r="I894" s="117"/>
      <c r="K894" s="117"/>
      <c r="L894" s="118"/>
    </row>
    <row r="895" ht="15.75" customHeight="1">
      <c r="I895" s="117"/>
      <c r="K895" s="117"/>
      <c r="L895" s="118"/>
    </row>
    <row r="896" ht="15.75" customHeight="1">
      <c r="I896" s="117"/>
      <c r="K896" s="117"/>
      <c r="L896" s="118"/>
    </row>
    <row r="897" ht="15.75" customHeight="1">
      <c r="I897" s="117"/>
      <c r="K897" s="117"/>
      <c r="L897" s="118"/>
    </row>
    <row r="898" ht="15.75" customHeight="1">
      <c r="I898" s="117"/>
      <c r="K898" s="117"/>
      <c r="L898" s="118"/>
    </row>
    <row r="899" ht="15.75" customHeight="1">
      <c r="I899" s="117"/>
      <c r="K899" s="117"/>
      <c r="L899" s="118"/>
    </row>
    <row r="900" ht="15.75" customHeight="1">
      <c r="I900" s="117"/>
      <c r="K900" s="117"/>
      <c r="L900" s="118"/>
    </row>
    <row r="901" ht="15.75" customHeight="1">
      <c r="I901" s="117"/>
      <c r="K901" s="117"/>
      <c r="L901" s="118"/>
    </row>
    <row r="902" ht="15.75" customHeight="1">
      <c r="I902" s="117"/>
      <c r="K902" s="117"/>
      <c r="L902" s="118"/>
    </row>
    <row r="903" ht="15.75" customHeight="1">
      <c r="I903" s="117"/>
      <c r="K903" s="117"/>
      <c r="L903" s="118"/>
    </row>
    <row r="904" ht="15.75" customHeight="1">
      <c r="I904" s="117"/>
      <c r="K904" s="117"/>
      <c r="L904" s="118"/>
    </row>
    <row r="905" ht="15.75" customHeight="1">
      <c r="I905" s="117"/>
      <c r="K905" s="117"/>
      <c r="L905" s="118"/>
    </row>
    <row r="906" ht="15.75" customHeight="1">
      <c r="I906" s="117"/>
      <c r="K906" s="117"/>
      <c r="L906" s="118"/>
    </row>
    <row r="907" ht="15.75" customHeight="1">
      <c r="I907" s="117"/>
      <c r="K907" s="117"/>
      <c r="L907" s="118"/>
    </row>
    <row r="908" ht="15.75" customHeight="1">
      <c r="I908" s="117"/>
      <c r="K908" s="117"/>
      <c r="L908" s="118"/>
    </row>
    <row r="909" ht="15.75" customHeight="1">
      <c r="I909" s="117"/>
      <c r="K909" s="117"/>
      <c r="L909" s="118"/>
    </row>
    <row r="910" ht="15.75" customHeight="1">
      <c r="I910" s="117"/>
      <c r="K910" s="117"/>
      <c r="L910" s="118"/>
    </row>
    <row r="911" ht="15.75" customHeight="1">
      <c r="I911" s="117"/>
      <c r="K911" s="117"/>
      <c r="L911" s="118"/>
    </row>
    <row r="912" ht="15.75" customHeight="1">
      <c r="I912" s="117"/>
      <c r="K912" s="117"/>
      <c r="L912" s="118"/>
    </row>
    <row r="913" ht="15.75" customHeight="1">
      <c r="I913" s="117"/>
      <c r="K913" s="117"/>
      <c r="L913" s="118"/>
    </row>
    <row r="914" ht="15.75" customHeight="1">
      <c r="I914" s="117"/>
      <c r="K914" s="117"/>
      <c r="L914" s="118"/>
    </row>
    <row r="915" ht="15.75" customHeight="1">
      <c r="I915" s="117"/>
      <c r="K915" s="117"/>
      <c r="L915" s="118"/>
    </row>
    <row r="916" ht="15.75" customHeight="1">
      <c r="I916" s="117"/>
      <c r="K916" s="117"/>
      <c r="L916" s="118"/>
    </row>
    <row r="917" ht="15.75" customHeight="1">
      <c r="I917" s="117"/>
      <c r="K917" s="117"/>
      <c r="L917" s="118"/>
    </row>
    <row r="918" ht="15.75" customHeight="1">
      <c r="I918" s="117"/>
      <c r="K918" s="117"/>
      <c r="L918" s="118"/>
    </row>
    <row r="919" ht="15.75" customHeight="1">
      <c r="I919" s="117"/>
      <c r="K919" s="117"/>
      <c r="L919" s="118"/>
    </row>
    <row r="920" ht="15.75" customHeight="1">
      <c r="I920" s="117"/>
      <c r="K920" s="117"/>
      <c r="L920" s="118"/>
    </row>
    <row r="921" ht="15.75" customHeight="1">
      <c r="I921" s="117"/>
      <c r="K921" s="117"/>
      <c r="L921" s="118"/>
    </row>
    <row r="922" ht="15.75" customHeight="1">
      <c r="I922" s="117"/>
      <c r="K922" s="117"/>
      <c r="L922" s="118"/>
    </row>
    <row r="923" ht="15.75" customHeight="1">
      <c r="I923" s="117"/>
      <c r="K923" s="117"/>
      <c r="L923" s="118"/>
    </row>
    <row r="924" ht="15.75" customHeight="1">
      <c r="I924" s="117"/>
      <c r="K924" s="117"/>
      <c r="L924" s="118"/>
    </row>
    <row r="925" ht="15.75" customHeight="1">
      <c r="I925" s="117"/>
      <c r="K925" s="117"/>
      <c r="L925" s="118"/>
    </row>
    <row r="926" ht="15.75" customHeight="1">
      <c r="I926" s="117"/>
      <c r="K926" s="117"/>
      <c r="L926" s="118"/>
    </row>
    <row r="927" ht="15.75" customHeight="1">
      <c r="I927" s="117"/>
      <c r="K927" s="117"/>
      <c r="L927" s="118"/>
    </row>
    <row r="928" ht="15.75" customHeight="1">
      <c r="I928" s="117"/>
      <c r="K928" s="117"/>
      <c r="L928" s="118"/>
    </row>
    <row r="929" ht="15.75" customHeight="1">
      <c r="I929" s="117"/>
      <c r="K929" s="117"/>
      <c r="L929" s="118"/>
    </row>
    <row r="930" ht="15.75" customHeight="1">
      <c r="I930" s="117"/>
      <c r="K930" s="117"/>
      <c r="L930" s="118"/>
    </row>
    <row r="931" ht="15.75" customHeight="1">
      <c r="I931" s="117"/>
      <c r="K931" s="117"/>
      <c r="L931" s="118"/>
    </row>
    <row r="932" ht="15.75" customHeight="1">
      <c r="I932" s="117"/>
      <c r="K932" s="117"/>
      <c r="L932" s="118"/>
    </row>
    <row r="933" ht="15.75" customHeight="1">
      <c r="I933" s="117"/>
      <c r="K933" s="117"/>
      <c r="L933" s="118"/>
    </row>
    <row r="934" ht="15.75" customHeight="1">
      <c r="I934" s="117"/>
      <c r="K934" s="117"/>
      <c r="L934" s="118"/>
    </row>
    <row r="935" ht="15.75" customHeight="1">
      <c r="I935" s="117"/>
      <c r="K935" s="117"/>
      <c r="L935" s="118"/>
    </row>
    <row r="936" ht="15.75" customHeight="1">
      <c r="I936" s="117"/>
      <c r="K936" s="117"/>
      <c r="L936" s="118"/>
    </row>
    <row r="937" ht="15.75" customHeight="1">
      <c r="I937" s="117"/>
      <c r="K937" s="117"/>
      <c r="L937" s="118"/>
    </row>
    <row r="938" ht="15.75" customHeight="1">
      <c r="I938" s="117"/>
      <c r="K938" s="117"/>
      <c r="L938" s="118"/>
    </row>
    <row r="939" ht="15.75" customHeight="1">
      <c r="I939" s="117"/>
      <c r="K939" s="117"/>
      <c r="L939" s="118"/>
    </row>
    <row r="940" ht="15.75" customHeight="1">
      <c r="I940" s="117"/>
      <c r="K940" s="117"/>
      <c r="L940" s="118"/>
    </row>
    <row r="941" ht="15.75" customHeight="1">
      <c r="I941" s="117"/>
      <c r="K941" s="117"/>
      <c r="L941" s="118"/>
    </row>
    <row r="942" ht="15.75" customHeight="1">
      <c r="I942" s="117"/>
      <c r="K942" s="117"/>
      <c r="L942" s="118"/>
    </row>
    <row r="943" ht="15.75" customHeight="1">
      <c r="I943" s="117"/>
      <c r="K943" s="117"/>
      <c r="L943" s="118"/>
    </row>
    <row r="944" ht="15.75" customHeight="1">
      <c r="I944" s="117"/>
      <c r="K944" s="117"/>
      <c r="L944" s="118"/>
    </row>
    <row r="945" ht="15.75" customHeight="1">
      <c r="I945" s="117"/>
      <c r="K945" s="117"/>
      <c r="L945" s="118"/>
    </row>
    <row r="946" ht="15.75" customHeight="1">
      <c r="I946" s="117"/>
      <c r="K946" s="117"/>
      <c r="L946" s="118"/>
    </row>
    <row r="947" ht="15.75" customHeight="1">
      <c r="I947" s="117"/>
      <c r="K947" s="117"/>
      <c r="L947" s="118"/>
    </row>
    <row r="948" ht="15.75" customHeight="1">
      <c r="I948" s="117"/>
      <c r="K948" s="117"/>
      <c r="L948" s="118"/>
    </row>
    <row r="949" ht="15.75" customHeight="1">
      <c r="I949" s="117"/>
      <c r="K949" s="117"/>
      <c r="L949" s="118"/>
    </row>
    <row r="950" ht="15.75" customHeight="1">
      <c r="I950" s="117"/>
      <c r="K950" s="117"/>
      <c r="L950" s="118"/>
    </row>
    <row r="951" ht="15.75" customHeight="1">
      <c r="I951" s="117"/>
      <c r="K951" s="117"/>
      <c r="L951" s="118"/>
    </row>
    <row r="952" ht="15.75" customHeight="1">
      <c r="I952" s="117"/>
      <c r="K952" s="117"/>
      <c r="L952" s="118"/>
    </row>
    <row r="953" ht="15.75" customHeight="1">
      <c r="I953" s="117"/>
      <c r="K953" s="117"/>
      <c r="L953" s="118"/>
    </row>
    <row r="954" ht="15.75" customHeight="1">
      <c r="I954" s="117"/>
      <c r="K954" s="117"/>
      <c r="L954" s="118"/>
    </row>
    <row r="955" ht="15.75" customHeight="1">
      <c r="I955" s="117"/>
      <c r="K955" s="117"/>
      <c r="L955" s="118"/>
    </row>
    <row r="956" ht="15.75" customHeight="1">
      <c r="I956" s="117"/>
      <c r="K956" s="117"/>
      <c r="L956" s="118"/>
    </row>
    <row r="957" ht="15.75" customHeight="1">
      <c r="I957" s="117"/>
      <c r="K957" s="117"/>
      <c r="L957" s="118"/>
    </row>
    <row r="958" ht="15.75" customHeight="1">
      <c r="I958" s="117"/>
      <c r="K958" s="117"/>
      <c r="L958" s="118"/>
    </row>
    <row r="959" ht="15.75" customHeight="1">
      <c r="I959" s="117"/>
      <c r="K959" s="117"/>
      <c r="L959" s="118"/>
    </row>
    <row r="960" ht="15.75" customHeight="1">
      <c r="I960" s="117"/>
      <c r="K960" s="117"/>
      <c r="L960" s="118"/>
    </row>
    <row r="961" ht="15.75" customHeight="1">
      <c r="I961" s="117"/>
      <c r="K961" s="117"/>
      <c r="L961" s="118"/>
    </row>
    <row r="962" ht="15.75" customHeight="1">
      <c r="I962" s="117"/>
      <c r="K962" s="117"/>
      <c r="L962" s="118"/>
    </row>
    <row r="963" ht="15.75" customHeight="1">
      <c r="I963" s="117"/>
      <c r="K963" s="117"/>
      <c r="L963" s="118"/>
    </row>
    <row r="964" ht="15.75" customHeight="1">
      <c r="I964" s="117"/>
      <c r="K964" s="117"/>
      <c r="L964" s="118"/>
    </row>
    <row r="965" ht="15.75" customHeight="1">
      <c r="I965" s="117"/>
      <c r="K965" s="117"/>
      <c r="L965" s="118"/>
    </row>
    <row r="966" ht="15.75" customHeight="1">
      <c r="I966" s="117"/>
      <c r="K966" s="117"/>
      <c r="L966" s="118"/>
    </row>
    <row r="967" ht="15.75" customHeight="1">
      <c r="I967" s="117"/>
      <c r="K967" s="117"/>
      <c r="L967" s="118"/>
    </row>
    <row r="968" ht="15.75" customHeight="1">
      <c r="I968" s="117"/>
      <c r="K968" s="117"/>
      <c r="L968" s="118"/>
    </row>
    <row r="969" ht="15.75" customHeight="1">
      <c r="I969" s="117"/>
      <c r="K969" s="117"/>
      <c r="L969" s="118"/>
    </row>
    <row r="970" ht="15.75" customHeight="1">
      <c r="I970" s="117"/>
      <c r="K970" s="117"/>
      <c r="L970" s="118"/>
    </row>
    <row r="971" ht="15.75" customHeight="1">
      <c r="I971" s="117"/>
      <c r="K971" s="117"/>
      <c r="L971" s="118"/>
    </row>
  </sheetData>
  <mergeCells count="22">
    <mergeCell ref="H4:H9"/>
    <mergeCell ref="I4:I9"/>
    <mergeCell ref="J4:J9"/>
    <mergeCell ref="K4:K9"/>
    <mergeCell ref="L4:L9"/>
    <mergeCell ref="M4:M9"/>
    <mergeCell ref="A4:A9"/>
    <mergeCell ref="B4:B9"/>
    <mergeCell ref="C4:C9"/>
    <mergeCell ref="D4:D9"/>
    <mergeCell ref="E4:E9"/>
    <mergeCell ref="F4:F9"/>
    <mergeCell ref="G4:G9"/>
    <mergeCell ref="A86:B86"/>
    <mergeCell ref="A90:B90"/>
    <mergeCell ref="A10:B10"/>
    <mergeCell ref="A30:B30"/>
    <mergeCell ref="A39:B39"/>
    <mergeCell ref="A43:B43"/>
    <mergeCell ref="A54:B54"/>
    <mergeCell ref="A68:B68"/>
    <mergeCell ref="A79:B79"/>
  </mergeCells>
  <conditionalFormatting sqref="F11:F29 F31:F38 F40:F42 F44:F53 F55:F67 F69:F78 F80:F85 F87:F89 F91:F92">
    <cfRule type="cellIs" dxfId="8" priority="1" operator="equal">
      <formula>"Positive"</formula>
    </cfRule>
  </conditionalFormatting>
  <conditionalFormatting sqref="F11:F29 F31:F38 F40:F42 F44:F53 F55:F67 F69:F78 F80:F85 F87:F89 F91:F92">
    <cfRule type="containsText" dxfId="9" priority="2" operator="containsText" text="Negative">
      <formula>NOT(ISERROR(SEARCH(("Negative"),(F11))))</formula>
    </cfRule>
  </conditionalFormatting>
  <conditionalFormatting sqref="G10:M10 G30:M30 G39:M39 G43:M43 G54:M54 G68:M68 G79:M79 G86:M86 G90:M90">
    <cfRule type="cellIs" dxfId="4" priority="3" operator="equal">
      <formula>"Positive"</formula>
    </cfRule>
  </conditionalFormatting>
  <conditionalFormatting sqref="G10:M10 G30:M30 G39:M39 G43:M43 G54:M54 G68:M68 G79:M79 G86:M86 G90:M90">
    <cfRule type="containsText" dxfId="5" priority="4" operator="containsText" text="Negative">
      <formula>NOT(ISERROR(SEARCH(("Negative"),(G10))))</formula>
    </cfRule>
  </conditionalFormatting>
  <conditionalFormatting sqref="G11:G29 G31:G38 G40:G42 G44:G53 G55:G67 G69:G78 G80:G85 G87:G89 G91:G92">
    <cfRule type="containsText" dxfId="10" priority="5" operator="containsText" text="High">
      <formula>NOT(ISERROR(SEARCH(("High"),(G11))))</formula>
    </cfRule>
  </conditionalFormatting>
  <conditionalFormatting sqref="G11:G29 G31:G38 G40:G42 G44:G53 G55:G67 G69:G78 G80:G85 G87:G89 G91:G92">
    <cfRule type="cellIs" dxfId="11" priority="6" operator="equal">
      <formula>"Medium"</formula>
    </cfRule>
  </conditionalFormatting>
  <conditionalFormatting sqref="G11:G29 G31:G38 G40:G42 G44:G53 G55:G67 G69:G78 G80:G85 G87:G89 G91:G92">
    <cfRule type="containsText" dxfId="12" priority="7" operator="containsText" text="Low">
      <formula>NOT(ISERROR(SEARCH(("Low"),(G11))))</formula>
    </cfRule>
  </conditionalFormatting>
  <conditionalFormatting sqref="L1:L92">
    <cfRule type="containsText" dxfId="13" priority="8" operator="containsText" text="Deferred">
      <formula>NOT(ISERROR(SEARCH(("Deferred"),(L1))))</formula>
    </cfRule>
  </conditionalFormatting>
  <conditionalFormatting sqref="L1:L92">
    <cfRule type="containsText" dxfId="14" priority="9" operator="containsText" text="Not Start">
      <formula>NOT(ISERROR(SEARCH(("Not Start"),(L1))))</formula>
    </cfRule>
  </conditionalFormatting>
  <conditionalFormatting sqref="L1:L92">
    <cfRule type="containsText" dxfId="15" priority="10" operator="containsText" text="Blocked">
      <formula>NOT(ISERROR(SEARCH(("Blocked"),(L1))))</formula>
    </cfRule>
  </conditionalFormatting>
  <conditionalFormatting sqref="L1:L92">
    <cfRule type="containsText" dxfId="6" priority="11" operator="containsText" text="FAIL">
      <formula>NOT(ISERROR(SEARCH(("FAIL"),(L1))))</formula>
    </cfRule>
  </conditionalFormatting>
  <conditionalFormatting sqref="L1:L92">
    <cfRule type="cellIs" dxfId="7" priority="12" operator="equal">
      <formula>"PASS"</formula>
    </cfRule>
  </conditionalFormatting>
  <conditionalFormatting sqref="L11:L29 L31:L38 L40:L42 L44:L53 L55:L67 L69:L78 L80:L85 L87:L89 L91:L92">
    <cfRule type="cellIs" dxfId="16" priority="13" operator="equal">
      <formula>"N/A"</formula>
    </cfRule>
  </conditionalFormatting>
  <conditionalFormatting sqref="L11:L29 L31:L38 L40:L42 L44:L53 L55:L67 L69:L78 L80:L85 L87:L89 L91:L92">
    <cfRule type="containsText" dxfId="17" priority="14" operator="containsText" text="N/A">
      <formula>NOT(ISERROR(SEARCH(("N/A"),(L11))))</formula>
    </cfRule>
  </conditionalFormatting>
  <conditionalFormatting sqref="L11:L29 L31:L38 L40:L42 L44:L53 L55:L67 L69:L78 L80:L85 L87:L89 L91:L92">
    <cfRule type="containsText" dxfId="18" priority="15" operator="containsText" text="In Progress">
      <formula>NOT(ISERROR(SEARCH(("In Progress"),(L11))))</formula>
    </cfRule>
  </conditionalFormatting>
  <conditionalFormatting sqref="M10 M30 M39 M43 M54 M68 M79 M86 M90">
    <cfRule type="expression" dxfId="6" priority="16" stopIfTrue="1">
      <formula>NOT(ISERROR(SEARCH("Negative",M10)))</formula>
    </cfRule>
  </conditionalFormatting>
  <conditionalFormatting sqref="M10 M30 M39 M43 M54 M68 M79 M86 M90">
    <cfRule type="expression" dxfId="7" priority="17" stopIfTrue="1">
      <formula>NOT(ISERROR(SEARCH("Positive",M10)))</formula>
    </cfRule>
  </conditionalFormatting>
  <conditionalFormatting sqref="L1:L971">
    <cfRule type="cellIs" dxfId="19" priority="18" operator="equal">
      <formula>"In Progress"</formula>
    </cfRule>
  </conditionalFormatting>
  <conditionalFormatting sqref="G10:M10 G30:M30 G39:M39 G43:M43 G54:M54 G68:M68 G79:M79 G86:M86 G90:M90">
    <cfRule type="expression" dxfId="6" priority="19" stopIfTrue="1">
      <formula>NOT(ISERROR(SEARCH("Negative",G10)))</formula>
    </cfRule>
  </conditionalFormatting>
  <conditionalFormatting sqref="G10:M10 G30:M30 G39:M39 G43:M43 G54:M54 G68:M68 G79:M79 G86:M86 G90:M90">
    <cfRule type="expression" dxfId="7" priority="20" stopIfTrue="1">
      <formula>NOT(ISERROR(SEARCH("Positive",G10)))</formula>
    </cfRule>
  </conditionalFormatting>
  <dataValidations>
    <dataValidation type="list" allowBlank="1" sqref="L11:L29 L31:L38 L40:L42 L44:L53 L55:L67 L69:L78 L80:L85 L87:L89 L91:L92">
      <formula1>"PASS,FAIL,In Progress,Blocked,Not Start,N/A,Deferred"</formula1>
    </dataValidation>
    <dataValidation type="list" allowBlank="1" showErrorMessage="1" sqref="F11:F29 F31:F38 F40:F42 F44:F53 F55:F67 F69:F78 F80:F85 F87:F89 F91:F92">
      <formula1>"Positive,Negative"</formula1>
    </dataValidation>
    <dataValidation type="list" allowBlank="1" showErrorMessage="1" sqref="I11:I29 I31:I38 I40:I42 I44:I52 I57:I59 I61:I62 I87:I89 I91:I92">
      <formula1>"James,Garfield"</formula1>
    </dataValidation>
    <dataValidation type="list" allowBlank="1" showErrorMessage="1" sqref="G11:G29 G31:G38 G40:G42 G44:G53 G55:G67 G69:G78 G80:G85 G87:G89 G91:G92">
      <formula1>"High,Medium,Low"</formula1>
    </dataValidation>
  </dataValidations>
  <hyperlinks>
    <hyperlink r:id="rId1" ref="M13"/>
    <hyperlink r:id="rId2" ref="M17"/>
    <hyperlink r:id="rId3" ref="M18"/>
    <hyperlink r:id="rId4" ref="M38"/>
    <hyperlink r:id="rId5" ref="M87"/>
    <hyperlink r:id="rId6" ref="M88"/>
    <hyperlink r:id="rId7" ref="M91"/>
  </hyperlinks>
  <printOptions/>
  <pageMargins bottom="0.75" footer="0.0" header="0.0" left="0.7" right="0.7" top="0.75"/>
  <pageSetup orientation="landscape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7.0"/>
    <col customWidth="1" min="2" max="2" width="66.13"/>
    <col customWidth="1" hidden="1" min="3" max="3" width="47.38"/>
    <col customWidth="1" hidden="1" min="4" max="4" width="55.0"/>
    <col customWidth="1" min="5" max="5" width="66.0"/>
    <col customWidth="1" hidden="1" min="6" max="6" width="9.88"/>
    <col customWidth="1" hidden="1" min="7" max="7" width="10.88"/>
    <col customWidth="1" hidden="1" min="8" max="8" width="30.13"/>
    <col customWidth="1" min="9" max="9" width="30.13"/>
    <col customWidth="1" hidden="1" min="10" max="10" width="30.13"/>
    <col customWidth="1" min="11" max="11" width="30.13"/>
    <col customWidth="1" min="12" max="12" width="31.25"/>
    <col customWidth="1" min="13" max="13" width="30.13"/>
    <col customWidth="1" min="14" max="20" width="8.63"/>
  </cols>
  <sheetData>
    <row r="1" ht="12.75" customHeight="1">
      <c r="B1" s="7" t="str">
        <f>HYPERLINK("#Document!A1", "Refer to sheet Document")</f>
        <v>Refer to sheet Document</v>
      </c>
      <c r="C1" s="9"/>
      <c r="D1" s="9"/>
      <c r="E1" s="9"/>
      <c r="F1" s="12"/>
      <c r="G1" s="13"/>
      <c r="H1" s="13"/>
      <c r="I1" s="13"/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</row>
    <row r="2">
      <c r="A2" s="17"/>
      <c r="B2" s="9"/>
      <c r="C2" s="19"/>
      <c r="D2" s="9"/>
      <c r="E2" s="9"/>
      <c r="F2" s="12"/>
      <c r="G2" s="13"/>
      <c r="H2" s="13"/>
      <c r="I2" s="13"/>
      <c r="J2" s="13"/>
      <c r="K2" s="13"/>
      <c r="L2" s="13"/>
      <c r="M2" s="16"/>
      <c r="N2" s="13"/>
      <c r="O2" s="13"/>
      <c r="P2" s="13"/>
      <c r="Q2" s="13"/>
      <c r="R2" s="13"/>
      <c r="S2" s="13"/>
      <c r="T2" s="13"/>
    </row>
    <row r="3">
      <c r="A3" s="23" t="s">
        <v>17</v>
      </c>
      <c r="B3" s="23">
        <f>COUNTIF(A12:A157,"TC_*")</f>
        <v>79</v>
      </c>
      <c r="C3" s="27"/>
      <c r="D3" s="27"/>
      <c r="E3" s="27"/>
      <c r="F3" s="28"/>
      <c r="G3" s="30"/>
      <c r="H3" s="30"/>
      <c r="I3" s="30"/>
      <c r="J3" s="30"/>
      <c r="K3" s="30"/>
      <c r="L3" s="30"/>
      <c r="M3" s="32"/>
      <c r="N3" s="13"/>
      <c r="O3" s="13"/>
      <c r="P3" s="13"/>
      <c r="Q3" s="13"/>
      <c r="R3" s="13"/>
      <c r="S3" s="13"/>
      <c r="T3" s="13"/>
    </row>
    <row r="4" ht="26.25" customHeight="1">
      <c r="A4" s="35" t="s">
        <v>26</v>
      </c>
      <c r="B4" s="35" t="s">
        <v>27</v>
      </c>
      <c r="C4" s="40" t="s">
        <v>28</v>
      </c>
      <c r="D4" s="35" t="s">
        <v>30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35" t="s">
        <v>38</v>
      </c>
      <c r="K4" s="35" t="s">
        <v>39</v>
      </c>
      <c r="L4" s="35" t="s">
        <v>40</v>
      </c>
      <c r="M4" s="35" t="s">
        <v>25</v>
      </c>
      <c r="N4" s="13"/>
      <c r="O4" s="13"/>
      <c r="P4" s="13"/>
      <c r="Q4" s="13"/>
      <c r="R4" s="13"/>
      <c r="S4" s="13"/>
      <c r="T4" s="13"/>
    </row>
    <row r="5" ht="39.0" customHeight="1">
      <c r="A5" s="46"/>
      <c r="B5" s="46"/>
      <c r="C5" s="48"/>
      <c r="D5" s="46"/>
      <c r="E5" s="46"/>
      <c r="F5" s="46"/>
      <c r="G5" s="46"/>
      <c r="H5" s="46"/>
      <c r="I5" s="46"/>
      <c r="J5" s="46"/>
      <c r="K5" s="46"/>
      <c r="L5" s="46"/>
      <c r="M5" s="46"/>
      <c r="N5" s="49"/>
      <c r="O5" s="49"/>
      <c r="P5" s="49"/>
      <c r="Q5" s="49"/>
      <c r="R5" s="49"/>
      <c r="S5" s="49"/>
      <c r="T5" s="49"/>
    </row>
    <row r="6" ht="42.0" customHeight="1">
      <c r="A6" s="46"/>
      <c r="B6" s="46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51"/>
      <c r="O6" s="51"/>
      <c r="P6" s="51"/>
      <c r="Q6" s="51"/>
      <c r="R6" s="51"/>
      <c r="S6" s="51"/>
      <c r="T6" s="51"/>
    </row>
    <row r="7" ht="58.5" customHeight="1">
      <c r="A7" s="46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51"/>
      <c r="O7" s="51"/>
      <c r="P7" s="51"/>
      <c r="Q7" s="51"/>
      <c r="R7" s="51"/>
      <c r="S7" s="51"/>
      <c r="T7" s="51"/>
    </row>
    <row r="8" ht="45.0" customHeight="1">
      <c r="A8" s="46"/>
      <c r="B8" s="46"/>
      <c r="C8" s="48"/>
      <c r="D8" s="46"/>
      <c r="E8" s="46"/>
      <c r="F8" s="46"/>
      <c r="G8" s="46"/>
      <c r="H8" s="46"/>
      <c r="I8" s="46"/>
      <c r="J8" s="46"/>
      <c r="K8" s="46"/>
      <c r="L8" s="46"/>
      <c r="M8" s="46"/>
      <c r="N8" s="51"/>
      <c r="O8" s="51"/>
      <c r="P8" s="51"/>
      <c r="Q8" s="51"/>
      <c r="R8" s="51"/>
      <c r="S8" s="51"/>
      <c r="T8" s="51"/>
    </row>
    <row r="9" ht="84.0" customHeight="1">
      <c r="A9" s="38"/>
      <c r="B9" s="38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1"/>
      <c r="O9" s="51"/>
      <c r="P9" s="51"/>
      <c r="Q9" s="51"/>
      <c r="R9" s="51"/>
      <c r="S9" s="51"/>
      <c r="T9" s="51"/>
    </row>
    <row r="10" ht="42.0" customHeight="1">
      <c r="A10" s="55" t="s">
        <v>689</v>
      </c>
      <c r="B10" s="10"/>
      <c r="C10" s="57"/>
      <c r="D10" s="58"/>
      <c r="E10" s="58"/>
      <c r="F10" s="58"/>
      <c r="G10" s="60"/>
      <c r="H10" s="60"/>
      <c r="I10" s="60"/>
      <c r="J10" s="60"/>
      <c r="K10" s="60"/>
      <c r="L10" s="60"/>
      <c r="M10" s="60"/>
      <c r="N10" s="49"/>
      <c r="O10" s="49"/>
      <c r="P10" s="49"/>
      <c r="Q10" s="49"/>
      <c r="R10" s="49"/>
      <c r="S10" s="49"/>
      <c r="T10" s="49"/>
    </row>
    <row r="11" ht="123.75" customHeight="1" outlineLevel="1">
      <c r="A11" s="70" t="str">
        <f t="shared" ref="A11:A25" si="1">"TC_Calendar_"&amp;(ROW()-ROW($A$11)+1)</f>
        <v>TC_Calendar_1</v>
      </c>
      <c r="B11" s="72" t="s">
        <v>692</v>
      </c>
      <c r="C11" s="73"/>
      <c r="D11" s="72"/>
      <c r="E11" s="92" t="s">
        <v>694</v>
      </c>
      <c r="F11" s="75" t="s">
        <v>56</v>
      </c>
      <c r="G11" s="76" t="s">
        <v>57</v>
      </c>
      <c r="H11" s="77"/>
      <c r="I11" s="79" t="s">
        <v>649</v>
      </c>
      <c r="J11" s="78"/>
      <c r="K11" s="139"/>
      <c r="L11" s="82" t="s">
        <v>22</v>
      </c>
      <c r="M11" s="84"/>
      <c r="N11" s="86"/>
      <c r="O11" s="86"/>
      <c r="P11" s="86"/>
      <c r="Q11" s="86"/>
      <c r="R11" s="86"/>
      <c r="S11" s="86"/>
      <c r="T11" s="86"/>
    </row>
    <row r="12" ht="123.75" customHeight="1" outlineLevel="1">
      <c r="A12" s="70" t="str">
        <f t="shared" si="1"/>
        <v>TC_Calendar_2</v>
      </c>
      <c r="B12" s="72" t="s">
        <v>696</v>
      </c>
      <c r="C12" s="73"/>
      <c r="D12" s="72"/>
      <c r="E12" s="92" t="s">
        <v>698</v>
      </c>
      <c r="F12" s="75" t="s">
        <v>56</v>
      </c>
      <c r="G12" s="76" t="s">
        <v>57</v>
      </c>
      <c r="H12" s="77"/>
      <c r="I12" s="79" t="s">
        <v>649</v>
      </c>
      <c r="J12" s="78"/>
      <c r="K12" s="139"/>
      <c r="L12" s="82" t="s">
        <v>22</v>
      </c>
      <c r="M12" s="84"/>
      <c r="N12" s="86"/>
      <c r="O12" s="86"/>
      <c r="P12" s="86"/>
      <c r="Q12" s="86"/>
      <c r="R12" s="86"/>
      <c r="S12" s="86"/>
      <c r="T12" s="86"/>
    </row>
    <row r="13" ht="123.75" customHeight="1" outlineLevel="1">
      <c r="A13" s="70" t="str">
        <f t="shared" si="1"/>
        <v>TC_Calendar_3</v>
      </c>
      <c r="B13" s="72" t="s">
        <v>699</v>
      </c>
      <c r="C13" s="73"/>
      <c r="D13" s="72"/>
      <c r="E13" s="92" t="s">
        <v>702</v>
      </c>
      <c r="F13" s="75" t="s">
        <v>56</v>
      </c>
      <c r="G13" s="76" t="s">
        <v>57</v>
      </c>
      <c r="H13" s="77"/>
      <c r="I13" s="79" t="s">
        <v>649</v>
      </c>
      <c r="J13" s="78"/>
      <c r="K13" s="139"/>
      <c r="L13" s="82" t="s">
        <v>22</v>
      </c>
      <c r="M13" s="84"/>
      <c r="N13" s="86"/>
      <c r="O13" s="86"/>
      <c r="P13" s="86"/>
      <c r="Q13" s="86"/>
      <c r="R13" s="86"/>
      <c r="S13" s="86"/>
      <c r="T13" s="86"/>
    </row>
    <row r="14" ht="123.75" customHeight="1" outlineLevel="1">
      <c r="A14" s="70" t="str">
        <f t="shared" si="1"/>
        <v>TC_Calendar_4</v>
      </c>
      <c r="B14" s="72" t="s">
        <v>704</v>
      </c>
      <c r="C14" s="73"/>
      <c r="D14" s="72"/>
      <c r="E14" s="92" t="s">
        <v>705</v>
      </c>
      <c r="F14" s="75" t="s">
        <v>56</v>
      </c>
      <c r="G14" s="76" t="s">
        <v>57</v>
      </c>
      <c r="H14" s="77"/>
      <c r="I14" s="79" t="s">
        <v>649</v>
      </c>
      <c r="J14" s="78"/>
      <c r="K14" s="139"/>
      <c r="L14" s="82" t="s">
        <v>22</v>
      </c>
      <c r="M14" s="84"/>
      <c r="N14" s="86"/>
      <c r="O14" s="86"/>
      <c r="P14" s="86"/>
      <c r="Q14" s="86"/>
      <c r="R14" s="86"/>
      <c r="S14" s="86"/>
      <c r="T14" s="86"/>
    </row>
    <row r="15" ht="123.75" customHeight="1" outlineLevel="1">
      <c r="A15" s="70" t="str">
        <f t="shared" si="1"/>
        <v>TC_Calendar_5</v>
      </c>
      <c r="B15" s="72" t="s">
        <v>710</v>
      </c>
      <c r="C15" s="73"/>
      <c r="D15" s="72"/>
      <c r="E15" s="92" t="s">
        <v>711</v>
      </c>
      <c r="F15" s="75" t="s">
        <v>56</v>
      </c>
      <c r="G15" s="76" t="s">
        <v>57</v>
      </c>
      <c r="H15" s="77"/>
      <c r="I15" s="79" t="s">
        <v>649</v>
      </c>
      <c r="J15" s="78"/>
      <c r="K15" s="139"/>
      <c r="L15" s="82" t="s">
        <v>22</v>
      </c>
      <c r="M15" s="84"/>
      <c r="N15" s="86"/>
      <c r="O15" s="86"/>
      <c r="P15" s="86"/>
      <c r="Q15" s="86"/>
      <c r="R15" s="86"/>
      <c r="S15" s="86"/>
      <c r="T15" s="86"/>
    </row>
    <row r="16" ht="123.75" customHeight="1" outlineLevel="1">
      <c r="A16" s="70" t="str">
        <f t="shared" si="1"/>
        <v>TC_Calendar_6</v>
      </c>
      <c r="B16" s="72" t="s">
        <v>714</v>
      </c>
      <c r="C16" s="73"/>
      <c r="D16" s="72"/>
      <c r="E16" s="92" t="s">
        <v>716</v>
      </c>
      <c r="F16" s="75" t="s">
        <v>56</v>
      </c>
      <c r="G16" s="76" t="s">
        <v>57</v>
      </c>
      <c r="H16" s="77"/>
      <c r="I16" s="79" t="s">
        <v>649</v>
      </c>
      <c r="J16" s="78"/>
      <c r="K16" s="139"/>
      <c r="L16" s="82" t="s">
        <v>22</v>
      </c>
      <c r="M16" s="84"/>
      <c r="N16" s="86"/>
      <c r="O16" s="86"/>
      <c r="P16" s="86"/>
      <c r="Q16" s="86"/>
      <c r="R16" s="86"/>
      <c r="S16" s="86"/>
      <c r="T16" s="86"/>
    </row>
    <row r="17" ht="123.75" customHeight="1" outlineLevel="1">
      <c r="A17" s="70" t="str">
        <f t="shared" si="1"/>
        <v>TC_Calendar_7</v>
      </c>
      <c r="B17" s="72" t="s">
        <v>719</v>
      </c>
      <c r="C17" s="73"/>
      <c r="D17" s="72"/>
      <c r="E17" s="92" t="s">
        <v>721</v>
      </c>
      <c r="F17" s="75" t="s">
        <v>56</v>
      </c>
      <c r="G17" s="76" t="s">
        <v>57</v>
      </c>
      <c r="H17" s="77"/>
      <c r="I17" s="79" t="s">
        <v>649</v>
      </c>
      <c r="J17" s="78"/>
      <c r="K17" s="139"/>
      <c r="L17" s="82" t="s">
        <v>22</v>
      </c>
      <c r="M17" s="84"/>
      <c r="N17" s="86"/>
      <c r="O17" s="86"/>
      <c r="P17" s="86"/>
      <c r="Q17" s="86"/>
      <c r="R17" s="86"/>
      <c r="S17" s="86"/>
      <c r="T17" s="86"/>
    </row>
    <row r="18" ht="123.75" customHeight="1" outlineLevel="1">
      <c r="A18" s="70" t="str">
        <f t="shared" si="1"/>
        <v>TC_Calendar_8</v>
      </c>
      <c r="B18" s="72" t="s">
        <v>725</v>
      </c>
      <c r="C18" s="73"/>
      <c r="D18" s="72"/>
      <c r="E18" s="144" t="s">
        <v>726</v>
      </c>
      <c r="F18" s="75" t="s">
        <v>56</v>
      </c>
      <c r="G18" s="76" t="s">
        <v>57</v>
      </c>
      <c r="H18" s="77"/>
      <c r="I18" s="79" t="s">
        <v>649</v>
      </c>
      <c r="J18" s="78"/>
      <c r="K18" s="139"/>
      <c r="L18" s="82" t="s">
        <v>22</v>
      </c>
      <c r="M18" s="84"/>
      <c r="N18" s="86"/>
      <c r="O18" s="86"/>
      <c r="P18" s="86"/>
      <c r="Q18" s="86"/>
      <c r="R18" s="86"/>
      <c r="S18" s="86"/>
      <c r="T18" s="86"/>
    </row>
    <row r="19" ht="123.75" customHeight="1" outlineLevel="1">
      <c r="A19" s="70" t="str">
        <f t="shared" si="1"/>
        <v>TC_Calendar_9</v>
      </c>
      <c r="B19" s="72" t="s">
        <v>730</v>
      </c>
      <c r="C19" s="73"/>
      <c r="D19" s="72"/>
      <c r="E19" s="144" t="s">
        <v>732</v>
      </c>
      <c r="F19" s="75" t="s">
        <v>56</v>
      </c>
      <c r="G19" s="76" t="s">
        <v>57</v>
      </c>
      <c r="H19" s="77"/>
      <c r="I19" s="79" t="s">
        <v>649</v>
      </c>
      <c r="J19" s="78"/>
      <c r="K19" s="80"/>
      <c r="L19" s="82" t="s">
        <v>12</v>
      </c>
      <c r="M19" s="143" t="s">
        <v>733</v>
      </c>
      <c r="N19" s="86"/>
      <c r="O19" s="86"/>
      <c r="P19" s="86"/>
      <c r="Q19" s="86"/>
      <c r="R19" s="86"/>
      <c r="S19" s="86"/>
      <c r="T19" s="86"/>
    </row>
    <row r="20" ht="123.75" customHeight="1" outlineLevel="1">
      <c r="A20" s="70" t="str">
        <f t="shared" si="1"/>
        <v>TC_Calendar_10</v>
      </c>
      <c r="B20" s="72" t="s">
        <v>735</v>
      </c>
      <c r="C20" s="73"/>
      <c r="D20" s="72"/>
      <c r="E20" s="144" t="s">
        <v>736</v>
      </c>
      <c r="F20" s="75" t="s">
        <v>56</v>
      </c>
      <c r="G20" s="76" t="s">
        <v>57</v>
      </c>
      <c r="H20" s="77"/>
      <c r="I20" s="79" t="s">
        <v>649</v>
      </c>
      <c r="J20" s="78"/>
      <c r="K20" s="80"/>
      <c r="L20" s="82" t="s">
        <v>12</v>
      </c>
      <c r="M20" s="143" t="s">
        <v>739</v>
      </c>
      <c r="N20" s="86"/>
      <c r="O20" s="86"/>
      <c r="P20" s="86"/>
      <c r="Q20" s="86"/>
      <c r="R20" s="86"/>
      <c r="S20" s="86"/>
      <c r="T20" s="86"/>
    </row>
    <row r="21" ht="123.75" customHeight="1" outlineLevel="1">
      <c r="A21" s="70" t="str">
        <f t="shared" si="1"/>
        <v>TC_Calendar_11</v>
      </c>
      <c r="B21" s="72" t="s">
        <v>740</v>
      </c>
      <c r="C21" s="73"/>
      <c r="D21" s="72"/>
      <c r="E21" s="92" t="s">
        <v>741</v>
      </c>
      <c r="F21" s="75" t="s">
        <v>56</v>
      </c>
      <c r="G21" s="76" t="s">
        <v>57</v>
      </c>
      <c r="H21" s="77"/>
      <c r="I21" s="79" t="s">
        <v>649</v>
      </c>
      <c r="J21" s="78"/>
      <c r="K21" s="139"/>
      <c r="L21" s="82" t="s">
        <v>22</v>
      </c>
      <c r="M21" s="84"/>
      <c r="N21" s="86"/>
      <c r="O21" s="86"/>
      <c r="P21" s="86"/>
      <c r="Q21" s="86"/>
      <c r="R21" s="86"/>
      <c r="S21" s="86"/>
      <c r="T21" s="86"/>
    </row>
    <row r="22" ht="123.75" customHeight="1" outlineLevel="1">
      <c r="A22" s="70" t="str">
        <f t="shared" si="1"/>
        <v>TC_Calendar_12</v>
      </c>
      <c r="B22" s="72" t="s">
        <v>742</v>
      </c>
      <c r="C22" s="73"/>
      <c r="D22" s="72"/>
      <c r="E22" s="92" t="s">
        <v>743</v>
      </c>
      <c r="F22" s="75" t="s">
        <v>56</v>
      </c>
      <c r="G22" s="76" t="s">
        <v>57</v>
      </c>
      <c r="H22" s="77"/>
      <c r="I22" s="79" t="s">
        <v>649</v>
      </c>
      <c r="J22" s="78"/>
      <c r="K22" s="139"/>
      <c r="L22" s="82" t="s">
        <v>22</v>
      </c>
      <c r="M22" s="84"/>
      <c r="N22" s="86"/>
      <c r="O22" s="86"/>
      <c r="P22" s="86"/>
      <c r="Q22" s="86"/>
      <c r="R22" s="86"/>
      <c r="S22" s="86"/>
      <c r="T22" s="86"/>
    </row>
    <row r="23" ht="123.75" customHeight="1" outlineLevel="1">
      <c r="A23" s="70" t="str">
        <f t="shared" si="1"/>
        <v>TC_Calendar_13</v>
      </c>
      <c r="B23" s="72" t="s">
        <v>748</v>
      </c>
      <c r="C23" s="73"/>
      <c r="D23" s="72"/>
      <c r="E23" s="92" t="s">
        <v>749</v>
      </c>
      <c r="F23" s="75" t="s">
        <v>56</v>
      </c>
      <c r="G23" s="76" t="s">
        <v>57</v>
      </c>
      <c r="H23" s="77"/>
      <c r="I23" s="79" t="s">
        <v>649</v>
      </c>
      <c r="J23" s="78"/>
      <c r="K23" s="139"/>
      <c r="L23" s="82" t="s">
        <v>22</v>
      </c>
      <c r="M23" s="84"/>
      <c r="N23" s="86"/>
      <c r="O23" s="86"/>
      <c r="P23" s="86"/>
      <c r="Q23" s="86"/>
      <c r="R23" s="86"/>
      <c r="S23" s="86"/>
      <c r="T23" s="86"/>
    </row>
    <row r="24" ht="123.75" customHeight="1" outlineLevel="1">
      <c r="A24" s="70" t="str">
        <f t="shared" si="1"/>
        <v>TC_Calendar_14</v>
      </c>
      <c r="B24" s="72" t="s">
        <v>754</v>
      </c>
      <c r="C24" s="73"/>
      <c r="D24" s="72"/>
      <c r="E24" s="92" t="s">
        <v>755</v>
      </c>
      <c r="F24" s="75" t="s">
        <v>56</v>
      </c>
      <c r="G24" s="76" t="s">
        <v>57</v>
      </c>
      <c r="H24" s="77"/>
      <c r="I24" s="79" t="s">
        <v>649</v>
      </c>
      <c r="J24" s="78"/>
      <c r="K24" s="139"/>
      <c r="L24" s="82" t="s">
        <v>22</v>
      </c>
      <c r="M24" s="84"/>
      <c r="N24" s="86"/>
      <c r="O24" s="86"/>
      <c r="P24" s="86"/>
      <c r="Q24" s="86"/>
      <c r="R24" s="86"/>
      <c r="S24" s="86"/>
      <c r="T24" s="86"/>
    </row>
    <row r="25" ht="123.75" customHeight="1" outlineLevel="1">
      <c r="A25" s="70" t="str">
        <f t="shared" si="1"/>
        <v>TC_Calendar_15</v>
      </c>
      <c r="B25" s="72" t="s">
        <v>758</v>
      </c>
      <c r="C25" s="73"/>
      <c r="D25" s="72"/>
      <c r="E25" s="92" t="s">
        <v>760</v>
      </c>
      <c r="F25" s="75" t="s">
        <v>56</v>
      </c>
      <c r="G25" s="76" t="s">
        <v>57</v>
      </c>
      <c r="H25" s="77"/>
      <c r="I25" s="79" t="s">
        <v>649</v>
      </c>
      <c r="J25" s="78"/>
      <c r="K25" s="139"/>
      <c r="L25" s="82" t="s">
        <v>22</v>
      </c>
      <c r="M25" s="84"/>
      <c r="N25" s="86"/>
      <c r="O25" s="86"/>
      <c r="P25" s="86"/>
      <c r="Q25" s="86"/>
      <c r="R25" s="86"/>
      <c r="S25" s="86"/>
      <c r="T25" s="86"/>
    </row>
    <row r="26" ht="42.0" customHeight="1">
      <c r="A26" s="55" t="s">
        <v>763</v>
      </c>
      <c r="B26" s="10"/>
      <c r="C26" s="57"/>
      <c r="D26" s="58"/>
      <c r="E26" s="58"/>
      <c r="F26" s="58"/>
      <c r="G26" s="60"/>
      <c r="H26" s="60"/>
      <c r="I26" s="60"/>
      <c r="J26" s="60"/>
      <c r="K26" s="60"/>
      <c r="L26" s="60"/>
      <c r="M26" s="60"/>
      <c r="N26" s="49"/>
      <c r="O26" s="49"/>
      <c r="P26" s="49"/>
      <c r="Q26" s="49"/>
      <c r="R26" s="49"/>
      <c r="S26" s="49"/>
      <c r="T26" s="49"/>
    </row>
    <row r="27" ht="123.75" customHeight="1" outlineLevel="1">
      <c r="A27" s="70" t="str">
        <f t="shared" ref="A27:A39" si="2">"TC_Calendar_"&amp;(ROW()-ROW($A$11)+1-1)</f>
        <v>TC_Calendar_16</v>
      </c>
      <c r="B27" s="72" t="s">
        <v>768</v>
      </c>
      <c r="C27" s="73"/>
      <c r="D27" s="72"/>
      <c r="E27" s="92" t="s">
        <v>769</v>
      </c>
      <c r="F27" s="75" t="s">
        <v>56</v>
      </c>
      <c r="G27" s="76" t="s">
        <v>57</v>
      </c>
      <c r="H27" s="77"/>
      <c r="I27" s="79" t="s">
        <v>649</v>
      </c>
      <c r="J27" s="78"/>
      <c r="K27" s="139"/>
      <c r="L27" s="82" t="s">
        <v>22</v>
      </c>
      <c r="M27" s="84"/>
      <c r="N27" s="86"/>
      <c r="O27" s="86"/>
      <c r="P27" s="86"/>
      <c r="Q27" s="86"/>
      <c r="R27" s="86"/>
      <c r="S27" s="86"/>
      <c r="T27" s="86"/>
    </row>
    <row r="28" ht="123.75" customHeight="1" outlineLevel="1">
      <c r="A28" s="70" t="str">
        <f t="shared" si="2"/>
        <v>TC_Calendar_17</v>
      </c>
      <c r="B28" s="72" t="s">
        <v>772</v>
      </c>
      <c r="C28" s="73"/>
      <c r="D28" s="72"/>
      <c r="E28" s="92" t="s">
        <v>774</v>
      </c>
      <c r="F28" s="75" t="s">
        <v>56</v>
      </c>
      <c r="G28" s="76" t="s">
        <v>57</v>
      </c>
      <c r="H28" s="77"/>
      <c r="I28" s="79" t="s">
        <v>649</v>
      </c>
      <c r="J28" s="78"/>
      <c r="K28" s="139"/>
      <c r="L28" s="82" t="s">
        <v>22</v>
      </c>
      <c r="M28" s="84"/>
      <c r="N28" s="86"/>
      <c r="O28" s="86"/>
      <c r="P28" s="86"/>
      <c r="Q28" s="86"/>
      <c r="R28" s="86"/>
      <c r="S28" s="86"/>
      <c r="T28" s="86"/>
    </row>
    <row r="29" ht="123.75" customHeight="1" outlineLevel="1">
      <c r="A29" s="70" t="str">
        <f t="shared" si="2"/>
        <v>TC_Calendar_18</v>
      </c>
      <c r="B29" s="72" t="s">
        <v>779</v>
      </c>
      <c r="C29" s="73"/>
      <c r="D29" s="72"/>
      <c r="E29" s="92" t="s">
        <v>780</v>
      </c>
      <c r="F29" s="75" t="s">
        <v>56</v>
      </c>
      <c r="G29" s="76" t="s">
        <v>57</v>
      </c>
      <c r="H29" s="77"/>
      <c r="I29" s="79" t="s">
        <v>649</v>
      </c>
      <c r="J29" s="78"/>
      <c r="K29" s="139"/>
      <c r="L29" s="82" t="s">
        <v>22</v>
      </c>
      <c r="M29" s="84"/>
      <c r="N29" s="86"/>
      <c r="O29" s="86"/>
      <c r="P29" s="86"/>
      <c r="Q29" s="86"/>
      <c r="R29" s="86"/>
      <c r="S29" s="86"/>
      <c r="T29" s="86"/>
    </row>
    <row r="30" ht="123.75" customHeight="1" outlineLevel="1">
      <c r="A30" s="70" t="str">
        <f t="shared" si="2"/>
        <v>TC_Calendar_19</v>
      </c>
      <c r="B30" s="72" t="s">
        <v>783</v>
      </c>
      <c r="C30" s="73"/>
      <c r="D30" s="72"/>
      <c r="E30" s="92" t="s">
        <v>784</v>
      </c>
      <c r="F30" s="75" t="s">
        <v>56</v>
      </c>
      <c r="G30" s="76" t="s">
        <v>57</v>
      </c>
      <c r="H30" s="77"/>
      <c r="I30" s="79" t="s">
        <v>649</v>
      </c>
      <c r="J30" s="78"/>
      <c r="K30" s="139"/>
      <c r="L30" s="82" t="s">
        <v>22</v>
      </c>
      <c r="M30" s="84"/>
      <c r="N30" s="86"/>
      <c r="O30" s="86"/>
      <c r="P30" s="86"/>
      <c r="Q30" s="86"/>
      <c r="R30" s="86"/>
      <c r="S30" s="86"/>
      <c r="T30" s="86"/>
    </row>
    <row r="31" ht="123.75" customHeight="1" outlineLevel="1">
      <c r="A31" s="70" t="str">
        <f t="shared" si="2"/>
        <v>TC_Calendar_20</v>
      </c>
      <c r="B31" s="72" t="s">
        <v>785</v>
      </c>
      <c r="C31" s="73"/>
      <c r="D31" s="72"/>
      <c r="E31" s="92" t="s">
        <v>786</v>
      </c>
      <c r="F31" s="75" t="s">
        <v>56</v>
      </c>
      <c r="G31" s="76" t="s">
        <v>57</v>
      </c>
      <c r="H31" s="77"/>
      <c r="I31" s="79" t="s">
        <v>649</v>
      </c>
      <c r="J31" s="78"/>
      <c r="K31" s="139"/>
      <c r="L31" s="82" t="s">
        <v>22</v>
      </c>
      <c r="M31" s="84"/>
      <c r="N31" s="86"/>
      <c r="O31" s="86"/>
      <c r="P31" s="86"/>
      <c r="Q31" s="86"/>
      <c r="R31" s="86"/>
      <c r="S31" s="86"/>
      <c r="T31" s="86"/>
    </row>
    <row r="32" ht="123.75" customHeight="1" outlineLevel="1">
      <c r="A32" s="70" t="str">
        <f t="shared" si="2"/>
        <v>TC_Calendar_21</v>
      </c>
      <c r="B32" s="72" t="s">
        <v>789</v>
      </c>
      <c r="C32" s="73"/>
      <c r="D32" s="72"/>
      <c r="E32" s="92" t="s">
        <v>790</v>
      </c>
      <c r="F32" s="75" t="s">
        <v>56</v>
      </c>
      <c r="G32" s="76" t="s">
        <v>57</v>
      </c>
      <c r="H32" s="77"/>
      <c r="I32" s="79" t="s">
        <v>649</v>
      </c>
      <c r="J32" s="78"/>
      <c r="K32" s="139"/>
      <c r="L32" s="82" t="s">
        <v>22</v>
      </c>
      <c r="M32" s="84"/>
      <c r="N32" s="86"/>
      <c r="O32" s="86"/>
      <c r="P32" s="86"/>
      <c r="Q32" s="86"/>
      <c r="R32" s="86"/>
      <c r="S32" s="86"/>
      <c r="T32" s="86"/>
    </row>
    <row r="33" ht="123.75" customHeight="1" outlineLevel="1">
      <c r="A33" s="70" t="str">
        <f t="shared" si="2"/>
        <v>TC_Calendar_22</v>
      </c>
      <c r="B33" s="146" t="s">
        <v>792</v>
      </c>
      <c r="C33" s="147"/>
      <c r="D33" s="146"/>
      <c r="E33" s="148" t="s">
        <v>784</v>
      </c>
      <c r="F33" s="75" t="s">
        <v>56</v>
      </c>
      <c r="G33" s="76" t="s">
        <v>57</v>
      </c>
      <c r="H33" s="77"/>
      <c r="I33" s="79"/>
      <c r="J33" s="78"/>
      <c r="K33" s="80"/>
      <c r="L33" s="82" t="s">
        <v>47</v>
      </c>
      <c r="M33" s="143" t="s">
        <v>795</v>
      </c>
      <c r="N33" s="86"/>
      <c r="O33" s="86"/>
      <c r="P33" s="86"/>
      <c r="Q33" s="86"/>
      <c r="R33" s="86"/>
      <c r="S33" s="86"/>
      <c r="T33" s="86"/>
    </row>
    <row r="34" ht="123.75" customHeight="1" outlineLevel="1">
      <c r="A34" s="70" t="str">
        <f t="shared" si="2"/>
        <v>TC_Calendar_23</v>
      </c>
      <c r="B34" s="146" t="s">
        <v>797</v>
      </c>
      <c r="C34" s="147"/>
      <c r="D34" s="146"/>
      <c r="E34" s="148" t="s">
        <v>786</v>
      </c>
      <c r="F34" s="75" t="s">
        <v>56</v>
      </c>
      <c r="G34" s="76" t="s">
        <v>57</v>
      </c>
      <c r="H34" s="77"/>
      <c r="I34" s="79"/>
      <c r="J34" s="78"/>
      <c r="K34" s="80"/>
      <c r="L34" s="82" t="s">
        <v>47</v>
      </c>
      <c r="M34" s="84"/>
      <c r="N34" s="86"/>
      <c r="O34" s="86"/>
      <c r="P34" s="86"/>
      <c r="Q34" s="86"/>
      <c r="R34" s="86"/>
      <c r="S34" s="86"/>
      <c r="T34" s="86"/>
    </row>
    <row r="35" ht="123.75" customHeight="1" outlineLevel="1">
      <c r="A35" s="70" t="str">
        <f t="shared" si="2"/>
        <v>TC_Calendar_24</v>
      </c>
      <c r="B35" s="146" t="s">
        <v>802</v>
      </c>
      <c r="C35" s="147"/>
      <c r="D35" s="146"/>
      <c r="E35" s="148" t="s">
        <v>790</v>
      </c>
      <c r="F35" s="75" t="s">
        <v>56</v>
      </c>
      <c r="G35" s="76" t="s">
        <v>57</v>
      </c>
      <c r="H35" s="77"/>
      <c r="I35" s="79"/>
      <c r="J35" s="78"/>
      <c r="K35" s="80"/>
      <c r="L35" s="82" t="s">
        <v>47</v>
      </c>
      <c r="M35" s="84"/>
      <c r="N35" s="86"/>
      <c r="O35" s="86"/>
      <c r="P35" s="86"/>
      <c r="Q35" s="86"/>
      <c r="R35" s="86"/>
      <c r="S35" s="86"/>
      <c r="T35" s="86"/>
    </row>
    <row r="36" ht="123.75" customHeight="1" outlineLevel="1">
      <c r="A36" s="70" t="str">
        <f t="shared" si="2"/>
        <v>TC_Calendar_25</v>
      </c>
      <c r="B36" s="72" t="s">
        <v>807</v>
      </c>
      <c r="C36" s="73"/>
      <c r="D36" s="72"/>
      <c r="E36" s="92" t="s">
        <v>808</v>
      </c>
      <c r="F36" s="75" t="s">
        <v>56</v>
      </c>
      <c r="G36" s="76" t="s">
        <v>57</v>
      </c>
      <c r="H36" s="77"/>
      <c r="I36" s="79"/>
      <c r="J36" s="78"/>
      <c r="K36" s="80"/>
      <c r="L36" s="82" t="s">
        <v>12</v>
      </c>
      <c r="M36" s="84"/>
      <c r="N36" s="86"/>
      <c r="O36" s="86"/>
      <c r="P36" s="86"/>
      <c r="Q36" s="86"/>
      <c r="R36" s="86"/>
      <c r="S36" s="86"/>
      <c r="T36" s="86"/>
    </row>
    <row r="37" ht="123.75" customHeight="1" outlineLevel="1">
      <c r="A37" s="70" t="str">
        <f t="shared" si="2"/>
        <v>TC_Calendar_26</v>
      </c>
      <c r="B37" s="72" t="s">
        <v>813</v>
      </c>
      <c r="C37" s="73"/>
      <c r="D37" s="72"/>
      <c r="E37" s="92" t="s">
        <v>814</v>
      </c>
      <c r="F37" s="75" t="s">
        <v>56</v>
      </c>
      <c r="G37" s="76" t="s">
        <v>57</v>
      </c>
      <c r="H37" s="77"/>
      <c r="I37" s="79"/>
      <c r="J37" s="78"/>
      <c r="K37" s="80"/>
      <c r="L37" s="82" t="s">
        <v>12</v>
      </c>
      <c r="M37" s="84"/>
      <c r="N37" s="86"/>
      <c r="O37" s="86"/>
      <c r="P37" s="86"/>
      <c r="Q37" s="86"/>
      <c r="R37" s="86"/>
      <c r="S37" s="86"/>
      <c r="T37" s="86"/>
    </row>
    <row r="38" ht="123.75" customHeight="1" outlineLevel="1">
      <c r="A38" s="70" t="str">
        <f t="shared" si="2"/>
        <v>TC_Calendar_27</v>
      </c>
      <c r="B38" s="72" t="s">
        <v>819</v>
      </c>
      <c r="C38" s="73"/>
      <c r="D38" s="72"/>
      <c r="E38" s="92" t="s">
        <v>820</v>
      </c>
      <c r="F38" s="75" t="s">
        <v>56</v>
      </c>
      <c r="G38" s="76" t="s">
        <v>57</v>
      </c>
      <c r="H38" s="77"/>
      <c r="I38" s="79"/>
      <c r="J38" s="78"/>
      <c r="K38" s="80"/>
      <c r="L38" s="82" t="s">
        <v>12</v>
      </c>
      <c r="M38" s="84"/>
      <c r="N38" s="86"/>
      <c r="O38" s="86"/>
      <c r="P38" s="86"/>
      <c r="Q38" s="86"/>
      <c r="R38" s="86"/>
      <c r="S38" s="86"/>
      <c r="T38" s="86"/>
    </row>
    <row r="39" ht="123.75" customHeight="1" outlineLevel="1">
      <c r="A39" s="70" t="str">
        <f t="shared" si="2"/>
        <v>TC_Calendar_28</v>
      </c>
      <c r="B39" s="72" t="s">
        <v>824</v>
      </c>
      <c r="C39" s="73"/>
      <c r="D39" s="72"/>
      <c r="E39" s="144" t="s">
        <v>825</v>
      </c>
      <c r="F39" s="75" t="s">
        <v>56</v>
      </c>
      <c r="G39" s="76" t="s">
        <v>57</v>
      </c>
      <c r="H39" s="77"/>
      <c r="I39" s="79"/>
      <c r="J39" s="78"/>
      <c r="K39" s="80"/>
      <c r="L39" s="82" t="s">
        <v>12</v>
      </c>
      <c r="M39" s="84"/>
      <c r="N39" s="86"/>
      <c r="O39" s="86"/>
      <c r="P39" s="86"/>
      <c r="Q39" s="86"/>
      <c r="R39" s="86"/>
      <c r="S39" s="86"/>
      <c r="T39" s="86"/>
    </row>
    <row r="40" ht="42.0" customHeight="1">
      <c r="A40" s="55" t="s">
        <v>829</v>
      </c>
      <c r="B40" s="10"/>
      <c r="C40" s="57"/>
      <c r="D40" s="58"/>
      <c r="E40" s="58"/>
      <c r="F40" s="58"/>
      <c r="G40" s="60"/>
      <c r="H40" s="60"/>
      <c r="I40" s="60"/>
      <c r="J40" s="60"/>
      <c r="K40" s="60"/>
      <c r="L40" s="60"/>
      <c r="M40" s="60"/>
      <c r="N40" s="49"/>
      <c r="O40" s="49"/>
      <c r="P40" s="49"/>
      <c r="Q40" s="49"/>
      <c r="R40" s="49"/>
      <c r="S40" s="49"/>
      <c r="T40" s="49"/>
    </row>
    <row r="41" ht="123.75" customHeight="1" outlineLevel="1">
      <c r="A41" s="70" t="str">
        <f t="shared" ref="A41:A45" si="3">"TC_Calendar_"&amp;(ROW()-ROW($A$11)+1-2)</f>
        <v>TC_Calendar_29</v>
      </c>
      <c r="B41" s="72" t="s">
        <v>835</v>
      </c>
      <c r="C41" s="73"/>
      <c r="D41" s="72"/>
      <c r="E41" s="92" t="s">
        <v>836</v>
      </c>
      <c r="F41" s="75" t="s">
        <v>56</v>
      </c>
      <c r="G41" s="76" t="s">
        <v>57</v>
      </c>
      <c r="H41" s="77"/>
      <c r="I41" s="79"/>
      <c r="J41" s="78"/>
      <c r="K41" s="80"/>
      <c r="L41" s="82" t="s">
        <v>12</v>
      </c>
      <c r="M41" s="84"/>
      <c r="N41" s="86"/>
      <c r="O41" s="86"/>
      <c r="P41" s="86"/>
      <c r="Q41" s="86"/>
      <c r="R41" s="86"/>
      <c r="S41" s="86"/>
      <c r="T41" s="86"/>
    </row>
    <row r="42" ht="123.75" customHeight="1" outlineLevel="1">
      <c r="A42" s="70" t="str">
        <f t="shared" si="3"/>
        <v>TC_Calendar_30</v>
      </c>
      <c r="B42" s="72" t="s">
        <v>840</v>
      </c>
      <c r="C42" s="73"/>
      <c r="D42" s="72"/>
      <c r="E42" s="92" t="s">
        <v>843</v>
      </c>
      <c r="F42" s="75" t="s">
        <v>56</v>
      </c>
      <c r="G42" s="76" t="s">
        <v>57</v>
      </c>
      <c r="H42" s="77"/>
      <c r="I42" s="79"/>
      <c r="J42" s="78"/>
      <c r="K42" s="80"/>
      <c r="L42" s="82" t="s">
        <v>12</v>
      </c>
      <c r="M42" s="84"/>
      <c r="N42" s="86"/>
      <c r="O42" s="86"/>
      <c r="P42" s="86"/>
      <c r="Q42" s="86"/>
      <c r="R42" s="86"/>
      <c r="S42" s="86"/>
      <c r="T42" s="86"/>
    </row>
    <row r="43" ht="123.75" customHeight="1" outlineLevel="1">
      <c r="A43" s="70" t="str">
        <f t="shared" si="3"/>
        <v>TC_Calendar_31</v>
      </c>
      <c r="B43" s="72" t="s">
        <v>847</v>
      </c>
      <c r="C43" s="73"/>
      <c r="D43" s="72"/>
      <c r="E43" s="92" t="s">
        <v>849</v>
      </c>
      <c r="F43" s="75" t="s">
        <v>56</v>
      </c>
      <c r="G43" s="76" t="s">
        <v>57</v>
      </c>
      <c r="H43" s="77"/>
      <c r="I43" s="79"/>
      <c r="J43" s="78"/>
      <c r="K43" s="80"/>
      <c r="L43" s="82" t="s">
        <v>12</v>
      </c>
      <c r="M43" s="84"/>
      <c r="N43" s="86"/>
      <c r="O43" s="86"/>
      <c r="P43" s="86"/>
      <c r="Q43" s="86"/>
      <c r="R43" s="86"/>
      <c r="S43" s="86"/>
      <c r="T43" s="86"/>
    </row>
    <row r="44" ht="123.75" customHeight="1" outlineLevel="1">
      <c r="A44" s="70" t="str">
        <f t="shared" si="3"/>
        <v>TC_Calendar_32</v>
      </c>
      <c r="B44" s="72" t="s">
        <v>853</v>
      </c>
      <c r="C44" s="73"/>
      <c r="D44" s="72"/>
      <c r="E44" s="92" t="s">
        <v>855</v>
      </c>
      <c r="F44" s="75" t="s">
        <v>56</v>
      </c>
      <c r="G44" s="76" t="s">
        <v>57</v>
      </c>
      <c r="H44" s="77"/>
      <c r="I44" s="79"/>
      <c r="J44" s="78"/>
      <c r="K44" s="80"/>
      <c r="L44" s="82" t="s">
        <v>12</v>
      </c>
      <c r="M44" s="84"/>
      <c r="N44" s="86"/>
      <c r="O44" s="86"/>
      <c r="P44" s="86"/>
      <c r="Q44" s="86"/>
      <c r="R44" s="86"/>
      <c r="S44" s="86"/>
      <c r="T44" s="86"/>
    </row>
    <row r="45" ht="123.75" customHeight="1" outlineLevel="1">
      <c r="A45" s="70" t="str">
        <f t="shared" si="3"/>
        <v>TC_Calendar_33</v>
      </c>
      <c r="B45" s="72" t="s">
        <v>859</v>
      </c>
      <c r="C45" s="73"/>
      <c r="D45" s="72"/>
      <c r="E45" s="92" t="s">
        <v>862</v>
      </c>
      <c r="F45" s="75" t="s">
        <v>56</v>
      </c>
      <c r="G45" s="76" t="s">
        <v>57</v>
      </c>
      <c r="H45" s="77"/>
      <c r="I45" s="79"/>
      <c r="J45" s="78"/>
      <c r="K45" s="80"/>
      <c r="L45" s="82" t="s">
        <v>12</v>
      </c>
      <c r="M45" s="84"/>
      <c r="N45" s="86"/>
      <c r="O45" s="86"/>
      <c r="P45" s="86"/>
      <c r="Q45" s="86"/>
      <c r="R45" s="86"/>
      <c r="S45" s="86"/>
      <c r="T45" s="86"/>
    </row>
    <row r="46" ht="42.0" customHeight="1">
      <c r="A46" s="55" t="s">
        <v>866</v>
      </c>
      <c r="B46" s="10"/>
      <c r="C46" s="57"/>
      <c r="D46" s="58"/>
      <c r="E46" s="58"/>
      <c r="F46" s="58"/>
      <c r="G46" s="60"/>
      <c r="H46" s="60"/>
      <c r="I46" s="60"/>
      <c r="J46" s="60"/>
      <c r="K46" s="60"/>
      <c r="L46" s="60"/>
      <c r="M46" s="60"/>
      <c r="N46" s="49"/>
      <c r="O46" s="49"/>
      <c r="P46" s="49"/>
      <c r="Q46" s="49"/>
      <c r="R46" s="49"/>
      <c r="S46" s="49"/>
      <c r="T46" s="49"/>
    </row>
    <row r="47" ht="123.75" customHeight="1" outlineLevel="1">
      <c r="A47" s="70" t="str">
        <f t="shared" ref="A47:A65" si="4">"TC_Calendar_"&amp;(ROW()-ROW($A$11)+1-3)</f>
        <v>TC_Calendar_34</v>
      </c>
      <c r="B47" s="72" t="s">
        <v>872</v>
      </c>
      <c r="C47" s="73"/>
      <c r="D47" s="72"/>
      <c r="E47" s="92" t="s">
        <v>873</v>
      </c>
      <c r="F47" s="75" t="s">
        <v>56</v>
      </c>
      <c r="G47" s="76" t="s">
        <v>57</v>
      </c>
      <c r="H47" s="77"/>
      <c r="I47" s="79"/>
      <c r="J47" s="78"/>
      <c r="K47" s="80"/>
      <c r="L47" s="82" t="s">
        <v>12</v>
      </c>
      <c r="M47" s="84"/>
      <c r="N47" s="86"/>
      <c r="O47" s="86"/>
      <c r="P47" s="86"/>
      <c r="Q47" s="86"/>
      <c r="R47" s="86"/>
      <c r="S47" s="86"/>
      <c r="T47" s="86"/>
    </row>
    <row r="48" ht="123.75" customHeight="1" outlineLevel="1">
      <c r="A48" s="70" t="str">
        <f t="shared" si="4"/>
        <v>TC_Calendar_35</v>
      </c>
      <c r="B48" s="72" t="s">
        <v>878</v>
      </c>
      <c r="C48" s="73"/>
      <c r="D48" s="72"/>
      <c r="E48" s="92" t="s">
        <v>873</v>
      </c>
      <c r="F48" s="75" t="s">
        <v>56</v>
      </c>
      <c r="G48" s="76" t="s">
        <v>57</v>
      </c>
      <c r="H48" s="77"/>
      <c r="I48" s="79"/>
      <c r="J48" s="78"/>
      <c r="K48" s="80"/>
      <c r="L48" s="82" t="s">
        <v>12</v>
      </c>
      <c r="M48" s="84"/>
      <c r="N48" s="86"/>
      <c r="O48" s="86"/>
      <c r="P48" s="86"/>
      <c r="Q48" s="86"/>
      <c r="R48" s="86"/>
      <c r="S48" s="86"/>
      <c r="T48" s="86"/>
    </row>
    <row r="49" ht="123.75" customHeight="1" outlineLevel="1">
      <c r="A49" s="70" t="str">
        <f t="shared" si="4"/>
        <v>TC_Calendar_36</v>
      </c>
      <c r="B49" s="72" t="s">
        <v>883</v>
      </c>
      <c r="C49" s="73"/>
      <c r="D49" s="72"/>
      <c r="E49" s="92" t="s">
        <v>884</v>
      </c>
      <c r="F49" s="75" t="s">
        <v>56</v>
      </c>
      <c r="G49" s="76" t="s">
        <v>57</v>
      </c>
      <c r="H49" s="77"/>
      <c r="I49" s="79"/>
      <c r="J49" s="78"/>
      <c r="K49" s="80"/>
      <c r="L49" s="82" t="s">
        <v>12</v>
      </c>
      <c r="M49" s="84"/>
      <c r="N49" s="86"/>
      <c r="O49" s="86"/>
      <c r="P49" s="86"/>
      <c r="Q49" s="86"/>
      <c r="R49" s="86"/>
      <c r="S49" s="86"/>
      <c r="T49" s="86"/>
    </row>
    <row r="50" ht="123.75" customHeight="1" outlineLevel="1">
      <c r="A50" s="70" t="str">
        <f t="shared" si="4"/>
        <v>TC_Calendar_37</v>
      </c>
      <c r="B50" s="149" t="s">
        <v>889</v>
      </c>
      <c r="C50" s="150"/>
      <c r="D50" s="151"/>
      <c r="E50" s="92" t="s">
        <v>698</v>
      </c>
      <c r="F50" s="152" t="s">
        <v>56</v>
      </c>
      <c r="G50" s="153" t="s">
        <v>57</v>
      </c>
      <c r="H50" s="154"/>
      <c r="I50" s="79"/>
      <c r="J50" s="155"/>
      <c r="K50" s="156"/>
      <c r="L50" s="157" t="s">
        <v>12</v>
      </c>
      <c r="M50" s="155"/>
      <c r="N50" s="158"/>
      <c r="O50" s="158"/>
      <c r="P50" s="158"/>
      <c r="Q50" s="158"/>
      <c r="R50" s="158"/>
      <c r="S50" s="158"/>
      <c r="T50" s="158"/>
    </row>
    <row r="51" ht="123.75" customHeight="1" outlineLevel="1">
      <c r="A51" s="70" t="str">
        <f t="shared" si="4"/>
        <v>TC_Calendar_38</v>
      </c>
      <c r="B51" s="149" t="s">
        <v>897</v>
      </c>
      <c r="C51" s="150"/>
      <c r="D51" s="151"/>
      <c r="E51" s="92" t="s">
        <v>702</v>
      </c>
      <c r="F51" s="152" t="s">
        <v>56</v>
      </c>
      <c r="G51" s="153" t="s">
        <v>57</v>
      </c>
      <c r="H51" s="154"/>
      <c r="I51" s="79"/>
      <c r="J51" s="155"/>
      <c r="K51" s="156"/>
      <c r="L51" s="157" t="s">
        <v>12</v>
      </c>
      <c r="M51" s="155"/>
      <c r="N51" s="158"/>
      <c r="O51" s="158"/>
      <c r="P51" s="158"/>
      <c r="Q51" s="158"/>
      <c r="R51" s="158"/>
      <c r="S51" s="158"/>
      <c r="T51" s="158"/>
    </row>
    <row r="52" ht="123.75" customHeight="1" outlineLevel="1">
      <c r="A52" s="70" t="str">
        <f t="shared" si="4"/>
        <v>TC_Calendar_39</v>
      </c>
      <c r="B52" s="149" t="s">
        <v>902</v>
      </c>
      <c r="C52" s="150"/>
      <c r="D52" s="151"/>
      <c r="E52" s="92" t="s">
        <v>705</v>
      </c>
      <c r="F52" s="152" t="s">
        <v>56</v>
      </c>
      <c r="G52" s="153" t="s">
        <v>57</v>
      </c>
      <c r="H52" s="154"/>
      <c r="I52" s="79"/>
      <c r="J52" s="155"/>
      <c r="K52" s="156"/>
      <c r="L52" s="157" t="s">
        <v>12</v>
      </c>
      <c r="M52" s="155"/>
      <c r="N52" s="158"/>
      <c r="O52" s="158"/>
      <c r="P52" s="158"/>
      <c r="Q52" s="158"/>
      <c r="R52" s="158"/>
      <c r="S52" s="158"/>
      <c r="T52" s="158"/>
    </row>
    <row r="53" ht="123.75" customHeight="1" outlineLevel="1">
      <c r="A53" s="70" t="str">
        <f t="shared" si="4"/>
        <v>TC_Calendar_40</v>
      </c>
      <c r="B53" s="72" t="s">
        <v>906</v>
      </c>
      <c r="C53" s="73"/>
      <c r="D53" s="72"/>
      <c r="E53" s="119" t="s">
        <v>907</v>
      </c>
      <c r="F53" s="75" t="s">
        <v>56</v>
      </c>
      <c r="G53" s="76" t="s">
        <v>57</v>
      </c>
      <c r="H53" s="77"/>
      <c r="I53" s="79"/>
      <c r="J53" s="78"/>
      <c r="K53" s="80"/>
      <c r="L53" s="82" t="s">
        <v>12</v>
      </c>
      <c r="M53" s="84"/>
      <c r="N53" s="86"/>
      <c r="O53" s="86"/>
      <c r="P53" s="86"/>
      <c r="Q53" s="86"/>
      <c r="R53" s="86"/>
      <c r="S53" s="86"/>
      <c r="T53" s="86"/>
    </row>
    <row r="54" ht="123.75" customHeight="1" outlineLevel="1">
      <c r="A54" s="70" t="str">
        <f t="shared" si="4"/>
        <v>TC_Calendar_41</v>
      </c>
      <c r="B54" s="72" t="s">
        <v>910</v>
      </c>
      <c r="C54" s="73"/>
      <c r="D54" s="72"/>
      <c r="E54" s="119" t="s">
        <v>907</v>
      </c>
      <c r="F54" s="75" t="s">
        <v>56</v>
      </c>
      <c r="G54" s="76" t="s">
        <v>57</v>
      </c>
      <c r="H54" s="77"/>
      <c r="I54" s="79"/>
      <c r="J54" s="78"/>
      <c r="K54" s="80"/>
      <c r="L54" s="82" t="s">
        <v>12</v>
      </c>
      <c r="M54" s="84"/>
      <c r="N54" s="86"/>
      <c r="O54" s="86"/>
      <c r="P54" s="86"/>
      <c r="Q54" s="86"/>
      <c r="R54" s="86"/>
      <c r="S54" s="86"/>
      <c r="T54" s="86"/>
    </row>
    <row r="55" ht="123.75" customHeight="1" outlineLevel="1">
      <c r="A55" s="70" t="str">
        <f t="shared" si="4"/>
        <v>TC_Calendar_42</v>
      </c>
      <c r="B55" s="72" t="s">
        <v>912</v>
      </c>
      <c r="C55" s="73"/>
      <c r="D55" s="72"/>
      <c r="E55" s="92" t="s">
        <v>915</v>
      </c>
      <c r="F55" s="75" t="s">
        <v>56</v>
      </c>
      <c r="G55" s="76" t="s">
        <v>57</v>
      </c>
      <c r="H55" s="77"/>
      <c r="I55" s="79"/>
      <c r="J55" s="78"/>
      <c r="K55" s="80"/>
      <c r="L55" s="82" t="s">
        <v>12</v>
      </c>
      <c r="M55" s="84"/>
      <c r="N55" s="86"/>
      <c r="O55" s="86"/>
      <c r="P55" s="86"/>
      <c r="Q55" s="86"/>
      <c r="R55" s="86"/>
      <c r="S55" s="86"/>
      <c r="T55" s="86"/>
    </row>
    <row r="56" ht="123.75" customHeight="1" outlineLevel="1">
      <c r="A56" s="70" t="str">
        <f t="shared" si="4"/>
        <v>TC_Calendar_43</v>
      </c>
      <c r="B56" s="72" t="s">
        <v>917</v>
      </c>
      <c r="C56" s="73"/>
      <c r="D56" s="72"/>
      <c r="E56" s="92" t="s">
        <v>915</v>
      </c>
      <c r="F56" s="75" t="s">
        <v>56</v>
      </c>
      <c r="G56" s="76" t="s">
        <v>57</v>
      </c>
      <c r="H56" s="77"/>
      <c r="I56" s="79"/>
      <c r="J56" s="78"/>
      <c r="K56" s="80"/>
      <c r="L56" s="82" t="s">
        <v>12</v>
      </c>
      <c r="M56" s="84"/>
      <c r="N56" s="86"/>
      <c r="O56" s="86"/>
      <c r="P56" s="86"/>
      <c r="Q56" s="86"/>
      <c r="R56" s="86"/>
      <c r="S56" s="86"/>
      <c r="T56" s="86"/>
    </row>
    <row r="57" ht="123.75" customHeight="1" outlineLevel="1">
      <c r="A57" s="70" t="str">
        <f t="shared" si="4"/>
        <v>TC_Calendar_44</v>
      </c>
      <c r="B57" s="72" t="s">
        <v>921</v>
      </c>
      <c r="C57" s="73"/>
      <c r="D57" s="72"/>
      <c r="E57" s="92" t="s">
        <v>922</v>
      </c>
      <c r="F57" s="75" t="s">
        <v>56</v>
      </c>
      <c r="G57" s="76" t="s">
        <v>57</v>
      </c>
      <c r="H57" s="77"/>
      <c r="I57" s="79"/>
      <c r="J57" s="78"/>
      <c r="K57" s="80"/>
      <c r="L57" s="82" t="s">
        <v>12</v>
      </c>
      <c r="M57" s="84"/>
      <c r="N57" s="86"/>
      <c r="O57" s="86"/>
      <c r="P57" s="86"/>
      <c r="Q57" s="86"/>
      <c r="R57" s="86"/>
      <c r="S57" s="86"/>
      <c r="T57" s="86"/>
    </row>
    <row r="58" ht="123.75" customHeight="1" outlineLevel="1">
      <c r="A58" s="70" t="str">
        <f t="shared" si="4"/>
        <v>TC_Calendar_45</v>
      </c>
      <c r="B58" s="72" t="s">
        <v>925</v>
      </c>
      <c r="C58" s="73"/>
      <c r="D58" s="72"/>
      <c r="E58" s="92" t="s">
        <v>711</v>
      </c>
      <c r="F58" s="75" t="s">
        <v>56</v>
      </c>
      <c r="G58" s="76" t="s">
        <v>57</v>
      </c>
      <c r="H58" s="77"/>
      <c r="I58" s="79"/>
      <c r="J58" s="78"/>
      <c r="K58" s="80"/>
      <c r="L58" s="82" t="s">
        <v>12</v>
      </c>
      <c r="M58" s="84"/>
      <c r="N58" s="86"/>
      <c r="O58" s="86"/>
      <c r="P58" s="86"/>
      <c r="Q58" s="86"/>
      <c r="R58" s="86"/>
      <c r="S58" s="86"/>
      <c r="T58" s="86"/>
    </row>
    <row r="59" ht="123.75" customHeight="1" outlineLevel="1">
      <c r="A59" s="70" t="str">
        <f t="shared" si="4"/>
        <v>TC_Calendar_46</v>
      </c>
      <c r="B59" s="72" t="s">
        <v>927</v>
      </c>
      <c r="C59" s="73"/>
      <c r="D59" s="72"/>
      <c r="E59" s="92" t="s">
        <v>716</v>
      </c>
      <c r="F59" s="75" t="s">
        <v>56</v>
      </c>
      <c r="G59" s="76" t="s">
        <v>57</v>
      </c>
      <c r="H59" s="77"/>
      <c r="I59" s="79"/>
      <c r="J59" s="78"/>
      <c r="K59" s="80"/>
      <c r="L59" s="82" t="s">
        <v>12</v>
      </c>
      <c r="M59" s="84"/>
      <c r="N59" s="86"/>
      <c r="O59" s="86"/>
      <c r="P59" s="86"/>
      <c r="Q59" s="86"/>
      <c r="R59" s="86"/>
      <c r="S59" s="86"/>
      <c r="T59" s="86"/>
    </row>
    <row r="60" ht="123.75" customHeight="1" outlineLevel="1">
      <c r="A60" s="70" t="str">
        <f t="shared" si="4"/>
        <v>TC_Calendar_47</v>
      </c>
      <c r="B60" s="72" t="s">
        <v>930</v>
      </c>
      <c r="C60" s="73"/>
      <c r="D60" s="72"/>
      <c r="E60" s="92" t="s">
        <v>721</v>
      </c>
      <c r="F60" s="75" t="s">
        <v>56</v>
      </c>
      <c r="G60" s="76" t="s">
        <v>57</v>
      </c>
      <c r="H60" s="77"/>
      <c r="I60" s="79"/>
      <c r="J60" s="78"/>
      <c r="K60" s="80"/>
      <c r="L60" s="82" t="s">
        <v>12</v>
      </c>
      <c r="M60" s="84"/>
      <c r="N60" s="86"/>
      <c r="O60" s="86"/>
      <c r="P60" s="86"/>
      <c r="Q60" s="86"/>
      <c r="R60" s="86"/>
      <c r="S60" s="86"/>
      <c r="T60" s="86"/>
    </row>
    <row r="61" ht="123.75" customHeight="1" outlineLevel="1">
      <c r="A61" s="70" t="str">
        <f t="shared" si="4"/>
        <v>TC_Calendar_48</v>
      </c>
      <c r="B61" s="72" t="s">
        <v>935</v>
      </c>
      <c r="C61" s="73"/>
      <c r="D61" s="72"/>
      <c r="E61" s="119" t="s">
        <v>936</v>
      </c>
      <c r="F61" s="75" t="s">
        <v>56</v>
      </c>
      <c r="G61" s="76" t="s">
        <v>57</v>
      </c>
      <c r="H61" s="77"/>
      <c r="I61" s="79"/>
      <c r="J61" s="78"/>
      <c r="K61" s="80"/>
      <c r="L61" s="82" t="s">
        <v>12</v>
      </c>
      <c r="M61" s="84"/>
      <c r="N61" s="86"/>
      <c r="O61" s="86"/>
      <c r="P61" s="86"/>
      <c r="Q61" s="86"/>
      <c r="R61" s="86"/>
      <c r="S61" s="86"/>
      <c r="T61" s="86"/>
    </row>
    <row r="62" ht="123.75" customHeight="1" outlineLevel="1">
      <c r="A62" s="70" t="str">
        <f t="shared" si="4"/>
        <v>TC_Calendar_49</v>
      </c>
      <c r="B62" s="72" t="s">
        <v>938</v>
      </c>
      <c r="C62" s="73"/>
      <c r="D62" s="72"/>
      <c r="E62" s="119" t="s">
        <v>936</v>
      </c>
      <c r="F62" s="75" t="s">
        <v>56</v>
      </c>
      <c r="G62" s="76" t="s">
        <v>57</v>
      </c>
      <c r="H62" s="77"/>
      <c r="I62" s="79"/>
      <c r="J62" s="78"/>
      <c r="K62" s="80"/>
      <c r="L62" s="82" t="s">
        <v>12</v>
      </c>
      <c r="M62" s="84"/>
      <c r="N62" s="86"/>
      <c r="O62" s="86"/>
      <c r="P62" s="86"/>
      <c r="Q62" s="86"/>
      <c r="R62" s="86"/>
      <c r="S62" s="86"/>
      <c r="T62" s="86"/>
    </row>
    <row r="63" ht="123.75" customHeight="1" outlineLevel="1">
      <c r="A63" s="70" t="str">
        <f t="shared" si="4"/>
        <v>TC_Calendar_50</v>
      </c>
      <c r="B63" s="72" t="s">
        <v>942</v>
      </c>
      <c r="C63" s="73"/>
      <c r="D63" s="72"/>
      <c r="E63" s="92" t="s">
        <v>915</v>
      </c>
      <c r="F63" s="75" t="s">
        <v>56</v>
      </c>
      <c r="G63" s="76" t="s">
        <v>57</v>
      </c>
      <c r="H63" s="77"/>
      <c r="I63" s="79"/>
      <c r="J63" s="78"/>
      <c r="K63" s="80"/>
      <c r="L63" s="82" t="s">
        <v>12</v>
      </c>
      <c r="M63" s="84"/>
      <c r="N63" s="86"/>
      <c r="O63" s="86"/>
      <c r="P63" s="86"/>
      <c r="Q63" s="86"/>
      <c r="R63" s="86"/>
      <c r="S63" s="86"/>
      <c r="T63" s="86"/>
    </row>
    <row r="64" ht="123.75" customHeight="1" outlineLevel="1">
      <c r="A64" s="70" t="str">
        <f t="shared" si="4"/>
        <v>TC_Calendar_51</v>
      </c>
      <c r="B64" s="72" t="s">
        <v>945</v>
      </c>
      <c r="C64" s="73"/>
      <c r="D64" s="72"/>
      <c r="E64" s="92" t="s">
        <v>922</v>
      </c>
      <c r="F64" s="75" t="s">
        <v>56</v>
      </c>
      <c r="G64" s="76" t="s">
        <v>57</v>
      </c>
      <c r="H64" s="77"/>
      <c r="I64" s="79"/>
      <c r="J64" s="78"/>
      <c r="K64" s="80"/>
      <c r="L64" s="82" t="s">
        <v>12</v>
      </c>
      <c r="M64" s="84"/>
      <c r="N64" s="86"/>
      <c r="O64" s="86"/>
      <c r="P64" s="86"/>
      <c r="Q64" s="86"/>
      <c r="R64" s="86"/>
      <c r="S64" s="86"/>
      <c r="T64" s="86"/>
    </row>
    <row r="65" ht="123.75" customHeight="1" outlineLevel="1">
      <c r="A65" s="70" t="str">
        <f t="shared" si="4"/>
        <v>TC_Calendar_52</v>
      </c>
      <c r="B65" s="72" t="s">
        <v>947</v>
      </c>
      <c r="C65" s="73"/>
      <c r="D65" s="72"/>
      <c r="E65" s="119" t="s">
        <v>936</v>
      </c>
      <c r="F65" s="75" t="s">
        <v>56</v>
      </c>
      <c r="G65" s="76" t="s">
        <v>57</v>
      </c>
      <c r="H65" s="77"/>
      <c r="I65" s="79"/>
      <c r="J65" s="78"/>
      <c r="K65" s="80"/>
      <c r="L65" s="82" t="s">
        <v>12</v>
      </c>
      <c r="M65" s="84"/>
      <c r="N65" s="86"/>
      <c r="O65" s="86"/>
      <c r="P65" s="86"/>
      <c r="Q65" s="86"/>
      <c r="R65" s="86"/>
      <c r="S65" s="86"/>
      <c r="T65" s="86"/>
    </row>
    <row r="66" ht="42.0" customHeight="1">
      <c r="A66" s="55" t="s">
        <v>950</v>
      </c>
      <c r="B66" s="10"/>
      <c r="C66" s="57"/>
      <c r="D66" s="58"/>
      <c r="E66" s="58"/>
      <c r="F66" s="58"/>
      <c r="G66" s="60"/>
      <c r="H66" s="60"/>
      <c r="I66" s="60"/>
      <c r="J66" s="60"/>
      <c r="K66" s="60"/>
      <c r="L66" s="60"/>
      <c r="M66" s="60"/>
      <c r="N66" s="49"/>
      <c r="O66" s="49"/>
      <c r="P66" s="49"/>
      <c r="Q66" s="49"/>
      <c r="R66" s="49"/>
      <c r="S66" s="49"/>
      <c r="T66" s="49"/>
    </row>
    <row r="67" ht="123.75" customHeight="1" outlineLevel="1">
      <c r="A67" s="70" t="str">
        <f t="shared" ref="A67:A71" si="5">"TC_Calendar_"&amp;(ROW()-ROW($A$11)+1-4)</f>
        <v>TC_Calendar_53</v>
      </c>
      <c r="B67" s="72" t="s">
        <v>954</v>
      </c>
      <c r="C67" s="73"/>
      <c r="D67" s="72"/>
      <c r="E67" s="92" t="s">
        <v>955</v>
      </c>
      <c r="F67" s="75" t="s">
        <v>56</v>
      </c>
      <c r="G67" s="76" t="s">
        <v>57</v>
      </c>
      <c r="H67" s="77"/>
      <c r="I67" s="79"/>
      <c r="J67" s="78"/>
      <c r="K67" s="80"/>
      <c r="L67" s="82" t="s">
        <v>12</v>
      </c>
      <c r="M67" s="84"/>
      <c r="N67" s="86"/>
      <c r="O67" s="86"/>
      <c r="P67" s="86"/>
      <c r="Q67" s="86"/>
      <c r="R67" s="86"/>
      <c r="S67" s="86"/>
      <c r="T67" s="86"/>
    </row>
    <row r="68" ht="123.75" customHeight="1" outlineLevel="1">
      <c r="A68" s="70" t="str">
        <f t="shared" si="5"/>
        <v>TC_Calendar_54</v>
      </c>
      <c r="B68" s="72" t="s">
        <v>959</v>
      </c>
      <c r="C68" s="73"/>
      <c r="D68" s="72"/>
      <c r="E68" s="92" t="s">
        <v>960</v>
      </c>
      <c r="F68" s="75" t="s">
        <v>56</v>
      </c>
      <c r="G68" s="76" t="s">
        <v>57</v>
      </c>
      <c r="H68" s="77"/>
      <c r="I68" s="79"/>
      <c r="J68" s="78"/>
      <c r="K68" s="80"/>
      <c r="L68" s="82" t="s">
        <v>12</v>
      </c>
      <c r="M68" s="84"/>
      <c r="N68" s="86"/>
      <c r="O68" s="86"/>
      <c r="P68" s="86"/>
      <c r="Q68" s="86"/>
      <c r="R68" s="86"/>
      <c r="S68" s="86"/>
      <c r="T68" s="86"/>
    </row>
    <row r="69" ht="123.75" customHeight="1" outlineLevel="1">
      <c r="A69" s="70" t="str">
        <f t="shared" si="5"/>
        <v>TC_Calendar_55</v>
      </c>
      <c r="B69" s="72" t="s">
        <v>964</v>
      </c>
      <c r="C69" s="73"/>
      <c r="D69" s="72"/>
      <c r="E69" s="119" t="s">
        <v>965</v>
      </c>
      <c r="F69" s="75" t="s">
        <v>56</v>
      </c>
      <c r="G69" s="76" t="s">
        <v>57</v>
      </c>
      <c r="H69" s="77"/>
      <c r="I69" s="79"/>
      <c r="J69" s="78"/>
      <c r="K69" s="80"/>
      <c r="L69" s="82" t="s">
        <v>12</v>
      </c>
      <c r="M69" s="84"/>
      <c r="N69" s="86"/>
      <c r="O69" s="86"/>
      <c r="P69" s="86"/>
      <c r="Q69" s="86"/>
      <c r="R69" s="86"/>
      <c r="S69" s="86"/>
      <c r="T69" s="86"/>
    </row>
    <row r="70" ht="123.75" customHeight="1" outlineLevel="1">
      <c r="A70" s="70" t="str">
        <f t="shared" si="5"/>
        <v>TC_Calendar_56</v>
      </c>
      <c r="B70" s="72" t="s">
        <v>968</v>
      </c>
      <c r="C70" s="73"/>
      <c r="D70" s="72"/>
      <c r="E70" s="144" t="s">
        <v>969</v>
      </c>
      <c r="F70" s="75" t="s">
        <v>56</v>
      </c>
      <c r="G70" s="76" t="s">
        <v>57</v>
      </c>
      <c r="H70" s="77"/>
      <c r="I70" s="79"/>
      <c r="J70" s="78"/>
      <c r="K70" s="80"/>
      <c r="L70" s="82" t="s">
        <v>12</v>
      </c>
      <c r="M70" s="84"/>
      <c r="N70" s="86"/>
      <c r="O70" s="86"/>
      <c r="P70" s="86"/>
      <c r="Q70" s="86"/>
      <c r="R70" s="86"/>
      <c r="S70" s="86"/>
      <c r="T70" s="86"/>
    </row>
    <row r="71" ht="123.75" customHeight="1" outlineLevel="1">
      <c r="A71" s="70" t="str">
        <f t="shared" si="5"/>
        <v>TC_Calendar_57</v>
      </c>
      <c r="B71" s="72" t="s">
        <v>972</v>
      </c>
      <c r="C71" s="73"/>
      <c r="D71" s="72"/>
      <c r="E71" s="119" t="s">
        <v>969</v>
      </c>
      <c r="F71" s="75" t="s">
        <v>56</v>
      </c>
      <c r="G71" s="76" t="s">
        <v>57</v>
      </c>
      <c r="H71" s="77"/>
      <c r="I71" s="79"/>
      <c r="J71" s="78"/>
      <c r="K71" s="80"/>
      <c r="L71" s="82" t="s">
        <v>12</v>
      </c>
      <c r="M71" s="84"/>
      <c r="N71" s="86"/>
      <c r="O71" s="86"/>
      <c r="P71" s="86"/>
      <c r="Q71" s="86"/>
      <c r="R71" s="86"/>
      <c r="S71" s="86"/>
      <c r="T71" s="86"/>
    </row>
    <row r="72" ht="42.0" customHeight="1">
      <c r="A72" s="55" t="s">
        <v>977</v>
      </c>
      <c r="B72" s="10"/>
      <c r="C72" s="57"/>
      <c r="D72" s="58"/>
      <c r="E72" s="58"/>
      <c r="F72" s="58"/>
      <c r="G72" s="60"/>
      <c r="H72" s="60"/>
      <c r="I72" s="60"/>
      <c r="J72" s="60"/>
      <c r="K72" s="60"/>
      <c r="L72" s="60"/>
      <c r="M72" s="60"/>
      <c r="N72" s="49"/>
      <c r="O72" s="49"/>
      <c r="P72" s="49"/>
      <c r="Q72" s="49"/>
      <c r="R72" s="49"/>
      <c r="S72" s="49"/>
      <c r="T72" s="49"/>
    </row>
    <row r="73" ht="123.75" customHeight="1" outlineLevel="1">
      <c r="A73" s="70" t="str">
        <f t="shared" ref="A73:A76" si="6">"TC_Calendar_"&amp;(ROW()-ROW($A$11)+1-5)</f>
        <v>TC_Calendar_58</v>
      </c>
      <c r="B73" s="72" t="s">
        <v>980</v>
      </c>
      <c r="C73" s="73"/>
      <c r="D73" s="72"/>
      <c r="E73" s="144" t="s">
        <v>981</v>
      </c>
      <c r="F73" s="75" t="s">
        <v>56</v>
      </c>
      <c r="G73" s="76" t="s">
        <v>57</v>
      </c>
      <c r="H73" s="77"/>
      <c r="I73" s="79"/>
      <c r="J73" s="78"/>
      <c r="K73" s="80"/>
      <c r="L73" s="82" t="s">
        <v>12</v>
      </c>
      <c r="M73" s="84"/>
      <c r="N73" s="86"/>
      <c r="O73" s="86"/>
      <c r="P73" s="86"/>
      <c r="Q73" s="86"/>
      <c r="R73" s="86"/>
      <c r="S73" s="86"/>
      <c r="T73" s="86"/>
    </row>
    <row r="74" ht="123.75" customHeight="1" outlineLevel="1">
      <c r="A74" s="70" t="str">
        <f t="shared" si="6"/>
        <v>TC_Calendar_59</v>
      </c>
      <c r="B74" s="72" t="s">
        <v>983</v>
      </c>
      <c r="C74" s="73"/>
      <c r="D74" s="72"/>
      <c r="E74" s="144" t="s">
        <v>985</v>
      </c>
      <c r="F74" s="75" t="s">
        <v>56</v>
      </c>
      <c r="G74" s="76" t="s">
        <v>57</v>
      </c>
      <c r="H74" s="77"/>
      <c r="I74" s="79"/>
      <c r="J74" s="78"/>
      <c r="K74" s="80"/>
      <c r="L74" s="82" t="s">
        <v>12</v>
      </c>
      <c r="M74" s="84"/>
      <c r="N74" s="86"/>
      <c r="O74" s="86"/>
      <c r="P74" s="86"/>
      <c r="Q74" s="86"/>
      <c r="R74" s="86"/>
      <c r="S74" s="86"/>
      <c r="T74" s="86"/>
    </row>
    <row r="75" ht="123.75" customHeight="1" outlineLevel="1">
      <c r="A75" s="70" t="str">
        <f t="shared" si="6"/>
        <v>TC_Calendar_60</v>
      </c>
      <c r="B75" s="72" t="s">
        <v>989</v>
      </c>
      <c r="C75" s="73"/>
      <c r="D75" s="72"/>
      <c r="E75" s="144" t="s">
        <v>990</v>
      </c>
      <c r="F75" s="75" t="s">
        <v>56</v>
      </c>
      <c r="G75" s="76" t="s">
        <v>57</v>
      </c>
      <c r="H75" s="77"/>
      <c r="I75" s="79"/>
      <c r="J75" s="78"/>
      <c r="K75" s="80"/>
      <c r="L75" s="82" t="s">
        <v>12</v>
      </c>
      <c r="M75" s="84"/>
      <c r="N75" s="86"/>
      <c r="O75" s="86"/>
      <c r="P75" s="86"/>
      <c r="Q75" s="86"/>
      <c r="R75" s="86"/>
      <c r="S75" s="86"/>
      <c r="T75" s="86"/>
    </row>
    <row r="76" ht="123.75" customHeight="1" outlineLevel="1">
      <c r="A76" s="70" t="str">
        <f t="shared" si="6"/>
        <v>TC_Calendar_61</v>
      </c>
      <c r="B76" s="72" t="s">
        <v>992</v>
      </c>
      <c r="C76" s="73"/>
      <c r="D76" s="72"/>
      <c r="E76" s="144" t="s">
        <v>981</v>
      </c>
      <c r="F76" s="75" t="s">
        <v>56</v>
      </c>
      <c r="G76" s="76" t="s">
        <v>57</v>
      </c>
      <c r="H76" s="77"/>
      <c r="I76" s="79"/>
      <c r="J76" s="78"/>
      <c r="K76" s="80"/>
      <c r="L76" s="82" t="s">
        <v>12</v>
      </c>
      <c r="M76" s="84"/>
      <c r="N76" s="86"/>
      <c r="O76" s="86"/>
      <c r="P76" s="86"/>
      <c r="Q76" s="86"/>
      <c r="R76" s="86"/>
      <c r="S76" s="86"/>
      <c r="T76" s="86"/>
    </row>
    <row r="77" ht="42.0" customHeight="1">
      <c r="A77" s="55" t="s">
        <v>996</v>
      </c>
      <c r="B77" s="10"/>
      <c r="C77" s="57"/>
      <c r="D77" s="58"/>
      <c r="E77" s="58"/>
      <c r="F77" s="58"/>
      <c r="G77" s="60"/>
      <c r="H77" s="60"/>
      <c r="I77" s="60"/>
      <c r="J77" s="60"/>
      <c r="K77" s="60"/>
      <c r="L77" s="60"/>
      <c r="M77" s="60"/>
      <c r="N77" s="49"/>
      <c r="O77" s="49"/>
      <c r="P77" s="49"/>
      <c r="Q77" s="49"/>
      <c r="R77" s="49"/>
      <c r="S77" s="49"/>
      <c r="T77" s="49"/>
    </row>
    <row r="78" ht="123.75" customHeight="1" outlineLevel="1">
      <c r="A78" s="70" t="str">
        <f t="shared" ref="A78:A80" si="7">"TC_Calendar_"&amp;(ROW()-ROW($A$11)+1-6)</f>
        <v>TC_Calendar_62</v>
      </c>
      <c r="B78" s="72" t="s">
        <v>1001</v>
      </c>
      <c r="C78" s="73"/>
      <c r="D78" s="72"/>
      <c r="E78" s="144" t="s">
        <v>1003</v>
      </c>
      <c r="F78" s="75" t="s">
        <v>56</v>
      </c>
      <c r="G78" s="76" t="s">
        <v>57</v>
      </c>
      <c r="H78" s="77"/>
      <c r="I78" s="79"/>
      <c r="J78" s="78"/>
      <c r="K78" s="80"/>
      <c r="L78" s="82" t="s">
        <v>12</v>
      </c>
      <c r="M78" s="84"/>
      <c r="N78" s="86"/>
      <c r="O78" s="86"/>
      <c r="P78" s="86"/>
      <c r="Q78" s="86"/>
      <c r="R78" s="86"/>
      <c r="S78" s="86"/>
      <c r="T78" s="86"/>
    </row>
    <row r="79" ht="123.75" customHeight="1" outlineLevel="1">
      <c r="A79" s="70" t="str">
        <f t="shared" si="7"/>
        <v>TC_Calendar_63</v>
      </c>
      <c r="B79" s="72" t="s">
        <v>1006</v>
      </c>
      <c r="C79" s="73"/>
      <c r="D79" s="72"/>
      <c r="E79" s="119"/>
      <c r="F79" s="75" t="s">
        <v>56</v>
      </c>
      <c r="G79" s="76" t="s">
        <v>57</v>
      </c>
      <c r="H79" s="77"/>
      <c r="I79" s="79"/>
      <c r="J79" s="78"/>
      <c r="K79" s="80"/>
      <c r="L79" s="82" t="s">
        <v>12</v>
      </c>
      <c r="M79" s="84"/>
      <c r="N79" s="86"/>
      <c r="O79" s="86"/>
      <c r="P79" s="86"/>
      <c r="Q79" s="86"/>
      <c r="R79" s="86"/>
      <c r="S79" s="86"/>
      <c r="T79" s="86"/>
    </row>
    <row r="80" ht="123.75" customHeight="1" outlineLevel="1">
      <c r="A80" s="70" t="str">
        <f t="shared" si="7"/>
        <v>TC_Calendar_64</v>
      </c>
      <c r="B80" s="72" t="s">
        <v>1009</v>
      </c>
      <c r="C80" s="73"/>
      <c r="D80" s="72"/>
      <c r="E80" s="144" t="s">
        <v>1010</v>
      </c>
      <c r="F80" s="75" t="s">
        <v>56</v>
      </c>
      <c r="G80" s="76" t="s">
        <v>57</v>
      </c>
      <c r="H80" s="77"/>
      <c r="I80" s="79"/>
      <c r="J80" s="78"/>
      <c r="K80" s="80"/>
      <c r="L80" s="82" t="s">
        <v>12</v>
      </c>
      <c r="M80" s="84"/>
      <c r="N80" s="86"/>
      <c r="O80" s="86"/>
      <c r="P80" s="86"/>
      <c r="Q80" s="86"/>
      <c r="R80" s="86"/>
      <c r="S80" s="86"/>
      <c r="T80" s="86"/>
    </row>
    <row r="81" ht="42.0" customHeight="1">
      <c r="A81" s="55" t="s">
        <v>1014</v>
      </c>
      <c r="B81" s="10"/>
      <c r="C81" s="57"/>
      <c r="D81" s="58"/>
      <c r="E81" s="58"/>
      <c r="F81" s="58"/>
      <c r="G81" s="60"/>
      <c r="H81" s="60"/>
      <c r="I81" s="60"/>
      <c r="J81" s="60"/>
      <c r="K81" s="60"/>
      <c r="L81" s="60"/>
      <c r="M81" s="60"/>
      <c r="N81" s="49"/>
      <c r="O81" s="49"/>
      <c r="P81" s="49"/>
      <c r="Q81" s="49"/>
      <c r="R81" s="49"/>
      <c r="S81" s="49"/>
      <c r="T81" s="49"/>
    </row>
    <row r="82" ht="123.75" customHeight="1" outlineLevel="1">
      <c r="A82" s="70" t="str">
        <f t="shared" ref="A82:A87" si="8">"TC_Calendar_"&amp;(ROW()-ROW($A$11)+1-7)</f>
        <v>TC_Calendar_65</v>
      </c>
      <c r="B82" s="72" t="s">
        <v>1017</v>
      </c>
      <c r="C82" s="73"/>
      <c r="D82" s="72"/>
      <c r="E82" s="144" t="s">
        <v>1019</v>
      </c>
      <c r="F82" s="75" t="s">
        <v>56</v>
      </c>
      <c r="G82" s="76" t="s">
        <v>57</v>
      </c>
      <c r="H82" s="77"/>
      <c r="I82" s="79"/>
      <c r="J82" s="78"/>
      <c r="K82" s="80"/>
      <c r="L82" s="82" t="s">
        <v>12</v>
      </c>
      <c r="M82" s="84"/>
      <c r="N82" s="86"/>
      <c r="O82" s="86"/>
      <c r="P82" s="86"/>
      <c r="Q82" s="86"/>
      <c r="R82" s="86"/>
      <c r="S82" s="86"/>
      <c r="T82" s="86"/>
    </row>
    <row r="83" ht="123.75" customHeight="1" outlineLevel="1">
      <c r="A83" s="70" t="str">
        <f t="shared" si="8"/>
        <v>TC_Calendar_66</v>
      </c>
      <c r="B83" s="72" t="s">
        <v>1021</v>
      </c>
      <c r="C83" s="73"/>
      <c r="D83" s="72"/>
      <c r="E83" s="144" t="s">
        <v>1022</v>
      </c>
      <c r="F83" s="75" t="s">
        <v>56</v>
      </c>
      <c r="G83" s="76" t="s">
        <v>57</v>
      </c>
      <c r="H83" s="77"/>
      <c r="I83" s="79"/>
      <c r="J83" s="78"/>
      <c r="K83" s="80"/>
      <c r="L83" s="82" t="s">
        <v>12</v>
      </c>
      <c r="M83" s="84"/>
      <c r="N83" s="86"/>
      <c r="O83" s="86"/>
      <c r="P83" s="86"/>
      <c r="Q83" s="86"/>
      <c r="R83" s="86"/>
      <c r="S83" s="86"/>
      <c r="T83" s="86"/>
    </row>
    <row r="84" ht="123.75" customHeight="1" outlineLevel="1">
      <c r="A84" s="70" t="str">
        <f t="shared" si="8"/>
        <v>TC_Calendar_67</v>
      </c>
      <c r="B84" s="72" t="s">
        <v>1024</v>
      </c>
      <c r="C84" s="73"/>
      <c r="D84" s="72"/>
      <c r="E84" s="144" t="s">
        <v>1026</v>
      </c>
      <c r="F84" s="75" t="s">
        <v>56</v>
      </c>
      <c r="G84" s="76" t="s">
        <v>57</v>
      </c>
      <c r="H84" s="77"/>
      <c r="I84" s="79"/>
      <c r="J84" s="78"/>
      <c r="K84" s="80"/>
      <c r="L84" s="82" t="s">
        <v>12</v>
      </c>
      <c r="M84" s="84"/>
      <c r="N84" s="86"/>
      <c r="O84" s="86"/>
      <c r="P84" s="86"/>
      <c r="Q84" s="86"/>
      <c r="R84" s="86"/>
      <c r="S84" s="86"/>
      <c r="T84" s="86"/>
    </row>
    <row r="85" ht="123.75" customHeight="1" outlineLevel="1">
      <c r="A85" s="70" t="str">
        <f t="shared" si="8"/>
        <v>TC_Calendar_68</v>
      </c>
      <c r="B85" s="72" t="s">
        <v>1029</v>
      </c>
      <c r="C85" s="73"/>
      <c r="D85" s="72"/>
      <c r="E85" s="144" t="s">
        <v>1030</v>
      </c>
      <c r="F85" s="75" t="s">
        <v>109</v>
      </c>
      <c r="G85" s="76" t="s">
        <v>57</v>
      </c>
      <c r="H85" s="77"/>
      <c r="I85" s="79"/>
      <c r="J85" s="78"/>
      <c r="K85" s="80"/>
      <c r="L85" s="82" t="s">
        <v>12</v>
      </c>
      <c r="M85" s="84"/>
      <c r="N85" s="86"/>
      <c r="O85" s="86"/>
      <c r="P85" s="86"/>
      <c r="Q85" s="86"/>
      <c r="R85" s="86"/>
      <c r="S85" s="86"/>
      <c r="T85" s="86"/>
    </row>
    <row r="86" ht="123.75" customHeight="1" outlineLevel="1">
      <c r="A86" s="70" t="str">
        <f t="shared" si="8"/>
        <v>TC_Calendar_69</v>
      </c>
      <c r="B86" s="72" t="s">
        <v>1034</v>
      </c>
      <c r="C86" s="73"/>
      <c r="D86" s="72"/>
      <c r="E86" s="144" t="s">
        <v>1035</v>
      </c>
      <c r="F86" s="75" t="s">
        <v>56</v>
      </c>
      <c r="G86" s="76" t="s">
        <v>57</v>
      </c>
      <c r="H86" s="77"/>
      <c r="I86" s="79"/>
      <c r="J86" s="78"/>
      <c r="K86" s="80"/>
      <c r="L86" s="82" t="s">
        <v>12</v>
      </c>
      <c r="M86" s="84"/>
      <c r="N86" s="86"/>
      <c r="O86" s="86"/>
      <c r="P86" s="86"/>
      <c r="Q86" s="86"/>
      <c r="R86" s="86"/>
      <c r="S86" s="86"/>
      <c r="T86" s="86"/>
    </row>
    <row r="87" ht="123.75" customHeight="1" outlineLevel="1">
      <c r="A87" s="70" t="str">
        <f t="shared" si="8"/>
        <v>TC_Calendar_70</v>
      </c>
      <c r="B87" s="72" t="s">
        <v>1037</v>
      </c>
      <c r="C87" s="73"/>
      <c r="D87" s="72"/>
      <c r="E87" s="144" t="s">
        <v>1038</v>
      </c>
      <c r="F87" s="75" t="s">
        <v>109</v>
      </c>
      <c r="G87" s="76" t="s">
        <v>57</v>
      </c>
      <c r="H87" s="77"/>
      <c r="I87" s="79"/>
      <c r="J87" s="78"/>
      <c r="K87" s="80"/>
      <c r="L87" s="82" t="s">
        <v>12</v>
      </c>
      <c r="M87" s="84"/>
      <c r="N87" s="86"/>
      <c r="O87" s="86"/>
      <c r="P87" s="86"/>
      <c r="Q87" s="86"/>
      <c r="R87" s="86"/>
      <c r="S87" s="86"/>
      <c r="T87" s="86"/>
    </row>
    <row r="88" ht="42.0" customHeight="1">
      <c r="A88" s="55" t="s">
        <v>1040</v>
      </c>
      <c r="B88" s="10"/>
      <c r="C88" s="57"/>
      <c r="D88" s="58"/>
      <c r="E88" s="58"/>
      <c r="F88" s="58"/>
      <c r="G88" s="60"/>
      <c r="H88" s="60"/>
      <c r="I88" s="60"/>
      <c r="J88" s="60"/>
      <c r="K88" s="60"/>
      <c r="L88" s="60"/>
      <c r="M88" s="60"/>
      <c r="N88" s="49"/>
      <c r="O88" s="49"/>
      <c r="P88" s="49"/>
      <c r="Q88" s="49"/>
      <c r="R88" s="49"/>
      <c r="S88" s="49"/>
      <c r="T88" s="49"/>
    </row>
    <row r="89" ht="123.75" customHeight="1" outlineLevel="1">
      <c r="A89" s="70" t="str">
        <f t="shared" ref="A89:A92" si="9">"TC_Calendar_"&amp;(ROW()-ROW($A$11)+1-8)</f>
        <v>TC_Calendar_71</v>
      </c>
      <c r="B89" s="72" t="s">
        <v>1042</v>
      </c>
      <c r="C89" s="73"/>
      <c r="D89" s="72"/>
      <c r="E89" s="144" t="s">
        <v>1043</v>
      </c>
      <c r="F89" s="75" t="s">
        <v>56</v>
      </c>
      <c r="G89" s="76" t="s">
        <v>57</v>
      </c>
      <c r="H89" s="77"/>
      <c r="I89" s="79"/>
      <c r="J89" s="78"/>
      <c r="K89" s="80"/>
      <c r="L89" s="82" t="s">
        <v>12</v>
      </c>
      <c r="M89" s="84"/>
      <c r="N89" s="86"/>
      <c r="O89" s="86"/>
      <c r="P89" s="86"/>
      <c r="Q89" s="86"/>
      <c r="R89" s="86"/>
      <c r="S89" s="86"/>
      <c r="T89" s="86"/>
    </row>
    <row r="90" ht="123.75" customHeight="1" outlineLevel="1">
      <c r="A90" s="70" t="str">
        <f t="shared" si="9"/>
        <v>TC_Calendar_72</v>
      </c>
      <c r="B90" s="72" t="s">
        <v>1046</v>
      </c>
      <c r="C90" s="73"/>
      <c r="D90" s="72"/>
      <c r="E90" s="144" t="s">
        <v>1047</v>
      </c>
      <c r="F90" s="76" t="s">
        <v>109</v>
      </c>
      <c r="G90" s="76" t="s">
        <v>57</v>
      </c>
      <c r="H90" s="77"/>
      <c r="I90" s="79"/>
      <c r="J90" s="78"/>
      <c r="K90" s="80"/>
      <c r="L90" s="82" t="s">
        <v>12</v>
      </c>
      <c r="M90" s="84"/>
      <c r="N90" s="86"/>
      <c r="O90" s="86"/>
      <c r="P90" s="86"/>
      <c r="Q90" s="86"/>
      <c r="R90" s="86"/>
      <c r="S90" s="86"/>
      <c r="T90" s="86"/>
    </row>
    <row r="91" ht="123.75" customHeight="1" outlineLevel="1">
      <c r="A91" s="70" t="str">
        <f t="shared" si="9"/>
        <v>TC_Calendar_73</v>
      </c>
      <c r="B91" s="72" t="s">
        <v>1049</v>
      </c>
      <c r="C91" s="73"/>
      <c r="D91" s="72"/>
      <c r="E91" s="144" t="s">
        <v>1050</v>
      </c>
      <c r="F91" s="75" t="s">
        <v>56</v>
      </c>
      <c r="G91" s="76" t="s">
        <v>57</v>
      </c>
      <c r="H91" s="77"/>
      <c r="I91" s="79"/>
      <c r="J91" s="78"/>
      <c r="K91" s="80"/>
      <c r="L91" s="82" t="s">
        <v>12</v>
      </c>
      <c r="M91" s="84"/>
      <c r="N91" s="86"/>
      <c r="O91" s="86"/>
      <c r="P91" s="86"/>
      <c r="Q91" s="86"/>
      <c r="R91" s="86"/>
      <c r="S91" s="86"/>
      <c r="T91" s="86"/>
    </row>
    <row r="92" ht="123.75" customHeight="1" outlineLevel="1">
      <c r="A92" s="70" t="str">
        <f t="shared" si="9"/>
        <v>TC_Calendar_74</v>
      </c>
      <c r="B92" s="72" t="s">
        <v>1052</v>
      </c>
      <c r="C92" s="73"/>
      <c r="D92" s="72"/>
      <c r="E92" s="144" t="s">
        <v>1053</v>
      </c>
      <c r="F92" s="75" t="s">
        <v>56</v>
      </c>
      <c r="G92" s="76" t="s">
        <v>57</v>
      </c>
      <c r="H92" s="77"/>
      <c r="I92" s="79"/>
      <c r="J92" s="78"/>
      <c r="K92" s="80"/>
      <c r="L92" s="82" t="s">
        <v>12</v>
      </c>
      <c r="M92" s="84"/>
      <c r="N92" s="86"/>
      <c r="O92" s="86"/>
      <c r="P92" s="86"/>
      <c r="Q92" s="86"/>
      <c r="R92" s="86"/>
      <c r="S92" s="86"/>
      <c r="T92" s="86"/>
    </row>
    <row r="93" ht="42.0" customHeight="1">
      <c r="A93" s="55" t="s">
        <v>1056</v>
      </c>
      <c r="B93" s="10"/>
      <c r="C93" s="57"/>
      <c r="D93" s="58"/>
      <c r="E93" s="58"/>
      <c r="F93" s="58"/>
      <c r="G93" s="60"/>
      <c r="H93" s="60"/>
      <c r="I93" s="60"/>
      <c r="J93" s="60"/>
      <c r="K93" s="60"/>
      <c r="L93" s="60"/>
      <c r="M93" s="60"/>
      <c r="N93" s="49"/>
      <c r="O93" s="49"/>
      <c r="P93" s="49"/>
      <c r="Q93" s="49"/>
      <c r="R93" s="49"/>
      <c r="S93" s="49"/>
      <c r="T93" s="49"/>
    </row>
    <row r="94" ht="123.75" customHeight="1" outlineLevel="1">
      <c r="A94" s="70" t="str">
        <f t="shared" ref="A94:A95" si="10">"TC_Calendar_"&amp;(ROW()-ROW($A$11)+1-9)</f>
        <v>TC_Calendar_75</v>
      </c>
      <c r="B94" s="72" t="s">
        <v>1059</v>
      </c>
      <c r="C94" s="73"/>
      <c r="D94" s="72"/>
      <c r="E94" s="144" t="s">
        <v>1060</v>
      </c>
      <c r="F94" s="75" t="s">
        <v>56</v>
      </c>
      <c r="G94" s="76" t="s">
        <v>57</v>
      </c>
      <c r="H94" s="77"/>
      <c r="I94" s="79"/>
      <c r="J94" s="78"/>
      <c r="K94" s="80"/>
      <c r="L94" s="82" t="s">
        <v>12</v>
      </c>
      <c r="M94" s="84"/>
      <c r="N94" s="86"/>
      <c r="O94" s="86"/>
      <c r="P94" s="86"/>
      <c r="Q94" s="86"/>
      <c r="R94" s="86"/>
      <c r="S94" s="86"/>
      <c r="T94" s="86"/>
    </row>
    <row r="95" ht="123.75" customHeight="1" outlineLevel="1">
      <c r="A95" s="70" t="str">
        <f t="shared" si="10"/>
        <v>TC_Calendar_76</v>
      </c>
      <c r="B95" s="72" t="s">
        <v>1062</v>
      </c>
      <c r="C95" s="73"/>
      <c r="D95" s="72"/>
      <c r="E95" s="144" t="s">
        <v>1063</v>
      </c>
      <c r="F95" s="75" t="s">
        <v>56</v>
      </c>
      <c r="G95" s="76" t="s">
        <v>57</v>
      </c>
      <c r="H95" s="77"/>
      <c r="I95" s="79"/>
      <c r="J95" s="78"/>
      <c r="K95" s="80"/>
      <c r="L95" s="82" t="s">
        <v>12</v>
      </c>
      <c r="M95" s="84"/>
      <c r="N95" s="86"/>
      <c r="O95" s="86"/>
      <c r="P95" s="86"/>
      <c r="Q95" s="86"/>
      <c r="R95" s="86"/>
      <c r="S95" s="86"/>
      <c r="T95" s="86"/>
    </row>
    <row r="96" ht="42.0" customHeight="1">
      <c r="A96" s="55" t="s">
        <v>1066</v>
      </c>
      <c r="B96" s="10"/>
      <c r="C96" s="57"/>
      <c r="D96" s="58"/>
      <c r="E96" s="58"/>
      <c r="F96" s="58"/>
      <c r="G96" s="60"/>
      <c r="H96" s="60"/>
      <c r="I96" s="60"/>
      <c r="J96" s="60"/>
      <c r="K96" s="60"/>
      <c r="L96" s="60"/>
      <c r="M96" s="60"/>
      <c r="N96" s="49"/>
      <c r="O96" s="49"/>
      <c r="P96" s="49"/>
      <c r="Q96" s="49"/>
      <c r="R96" s="49"/>
      <c r="S96" s="49"/>
      <c r="T96" s="49"/>
    </row>
    <row r="97" ht="123.75" customHeight="1" outlineLevel="1">
      <c r="A97" s="70" t="str">
        <f t="shared" ref="A97:A100" si="11">"TC_Calendar_"&amp;(ROW()-ROW($A$11)+1-10)</f>
        <v>TC_Calendar_77</v>
      </c>
      <c r="B97" s="72" t="s">
        <v>1069</v>
      </c>
      <c r="C97" s="73"/>
      <c r="D97" s="72"/>
      <c r="E97" s="144" t="s">
        <v>1070</v>
      </c>
      <c r="F97" s="75" t="s">
        <v>56</v>
      </c>
      <c r="G97" s="76" t="s">
        <v>57</v>
      </c>
      <c r="H97" s="77"/>
      <c r="I97" s="79"/>
      <c r="J97" s="78"/>
      <c r="K97" s="80"/>
      <c r="L97" s="82" t="s">
        <v>12</v>
      </c>
      <c r="M97" s="84"/>
      <c r="N97" s="86"/>
      <c r="O97" s="86"/>
      <c r="P97" s="86"/>
      <c r="Q97" s="86"/>
      <c r="R97" s="86"/>
      <c r="S97" s="86"/>
      <c r="T97" s="86"/>
    </row>
    <row r="98" ht="123.75" customHeight="1" outlineLevel="1">
      <c r="A98" s="70" t="str">
        <f t="shared" si="11"/>
        <v>TC_Calendar_78</v>
      </c>
      <c r="B98" s="72" t="s">
        <v>1073</v>
      </c>
      <c r="C98" s="73"/>
      <c r="D98" s="72"/>
      <c r="E98" s="144" t="s">
        <v>1074</v>
      </c>
      <c r="F98" s="75" t="s">
        <v>56</v>
      </c>
      <c r="G98" s="76" t="s">
        <v>57</v>
      </c>
      <c r="H98" s="77"/>
      <c r="I98" s="79"/>
      <c r="J98" s="78"/>
      <c r="K98" s="80"/>
      <c r="L98" s="82" t="s">
        <v>12</v>
      </c>
      <c r="M98" s="84"/>
      <c r="N98" s="86"/>
      <c r="O98" s="86"/>
      <c r="P98" s="86"/>
      <c r="Q98" s="86"/>
      <c r="R98" s="86"/>
      <c r="S98" s="86"/>
      <c r="T98" s="86"/>
    </row>
    <row r="99" ht="123.75" customHeight="1" outlineLevel="1">
      <c r="A99" s="70" t="str">
        <f t="shared" si="11"/>
        <v>TC_Calendar_79</v>
      </c>
      <c r="B99" s="72" t="s">
        <v>1076</v>
      </c>
      <c r="C99" s="73"/>
      <c r="D99" s="72"/>
      <c r="E99" s="144" t="s">
        <v>1077</v>
      </c>
      <c r="F99" s="75" t="s">
        <v>56</v>
      </c>
      <c r="G99" s="76" t="s">
        <v>57</v>
      </c>
      <c r="H99" s="77"/>
      <c r="I99" s="79"/>
      <c r="J99" s="78"/>
      <c r="K99" s="80"/>
      <c r="L99" s="82" t="s">
        <v>12</v>
      </c>
      <c r="M99" s="84"/>
      <c r="N99" s="86"/>
      <c r="O99" s="86"/>
      <c r="P99" s="86"/>
      <c r="Q99" s="86"/>
      <c r="R99" s="86"/>
      <c r="S99" s="86"/>
      <c r="T99" s="86"/>
    </row>
    <row r="100" ht="123.75" customHeight="1" outlineLevel="1">
      <c r="A100" s="70" t="str">
        <f t="shared" si="11"/>
        <v>TC_Calendar_80</v>
      </c>
      <c r="B100" s="72" t="s">
        <v>1079</v>
      </c>
      <c r="C100" s="73"/>
      <c r="D100" s="72"/>
      <c r="E100" s="144" t="s">
        <v>1080</v>
      </c>
      <c r="F100" s="75" t="s">
        <v>56</v>
      </c>
      <c r="G100" s="76" t="s">
        <v>57</v>
      </c>
      <c r="H100" s="77"/>
      <c r="I100" s="79"/>
      <c r="J100" s="78"/>
      <c r="K100" s="80"/>
      <c r="L100" s="82" t="s">
        <v>12</v>
      </c>
      <c r="M100" s="84"/>
      <c r="N100" s="86"/>
      <c r="O100" s="86"/>
      <c r="P100" s="86"/>
      <c r="Q100" s="86"/>
      <c r="R100" s="86"/>
      <c r="S100" s="86"/>
      <c r="T100" s="86"/>
    </row>
    <row r="101" ht="15.75" customHeight="1">
      <c r="A101" s="162"/>
      <c r="B101" s="162"/>
      <c r="C101" s="162"/>
      <c r="D101" s="162"/>
      <c r="I101" s="117"/>
      <c r="K101" s="117"/>
      <c r="L101" s="118"/>
    </row>
    <row r="102" ht="15.75" customHeight="1">
      <c r="A102" s="162"/>
      <c r="B102" s="162"/>
      <c r="C102" s="162"/>
      <c r="D102" s="162"/>
      <c r="I102" s="117"/>
      <c r="K102" s="117"/>
      <c r="L102" s="118"/>
    </row>
    <row r="103" ht="15.75" customHeight="1">
      <c r="A103" s="162"/>
      <c r="B103" s="162"/>
      <c r="C103" s="162"/>
      <c r="D103" s="162"/>
      <c r="I103" s="117"/>
      <c r="K103" s="117"/>
      <c r="L103" s="118"/>
    </row>
    <row r="104" ht="15.75" customHeight="1">
      <c r="A104" s="162"/>
      <c r="B104" s="162"/>
      <c r="C104" s="162"/>
      <c r="D104" s="162"/>
      <c r="I104" s="117"/>
      <c r="K104" s="117"/>
      <c r="L104" s="118"/>
    </row>
    <row r="105" ht="15.75" customHeight="1">
      <c r="A105" s="162"/>
      <c r="B105" s="162"/>
      <c r="C105" s="162"/>
      <c r="D105" s="162"/>
      <c r="I105" s="117"/>
      <c r="K105" s="117"/>
      <c r="L105" s="118"/>
    </row>
    <row r="106" ht="15.75" customHeight="1">
      <c r="A106" s="162"/>
      <c r="B106" s="162"/>
      <c r="C106" s="162"/>
      <c r="D106" s="162"/>
      <c r="I106" s="117"/>
      <c r="K106" s="117"/>
      <c r="L106" s="118"/>
    </row>
    <row r="107" ht="15.75" customHeight="1">
      <c r="A107" s="162"/>
      <c r="B107" s="162"/>
      <c r="C107" s="162"/>
      <c r="D107" s="162"/>
      <c r="I107" s="117"/>
      <c r="K107" s="117"/>
      <c r="L107" s="118"/>
    </row>
    <row r="108" ht="15.75" customHeight="1">
      <c r="A108" s="162"/>
      <c r="B108" s="162"/>
      <c r="C108" s="162"/>
      <c r="D108" s="162"/>
      <c r="I108" s="117"/>
      <c r="K108" s="117"/>
      <c r="L108" s="118"/>
    </row>
    <row r="109" ht="15.75" customHeight="1">
      <c r="A109" s="162"/>
      <c r="B109" s="162"/>
      <c r="C109" s="162"/>
      <c r="D109" s="162"/>
      <c r="I109" s="117"/>
      <c r="K109" s="117"/>
      <c r="L109" s="118"/>
    </row>
    <row r="110" ht="15.75" customHeight="1">
      <c r="A110" s="162"/>
      <c r="B110" s="162"/>
      <c r="C110" s="162"/>
      <c r="D110" s="162"/>
      <c r="I110" s="117"/>
      <c r="K110" s="117"/>
      <c r="L110" s="118"/>
    </row>
    <row r="111" ht="15.75" customHeight="1">
      <c r="A111" s="162"/>
      <c r="B111" s="162"/>
      <c r="C111" s="162"/>
      <c r="D111" s="162"/>
      <c r="I111" s="117"/>
      <c r="K111" s="117"/>
      <c r="L111" s="118"/>
    </row>
    <row r="112" ht="15.75" customHeight="1">
      <c r="A112" s="162"/>
      <c r="B112" s="162"/>
      <c r="C112" s="162"/>
      <c r="D112" s="162"/>
      <c r="I112" s="117"/>
      <c r="K112" s="117"/>
      <c r="L112" s="118"/>
    </row>
    <row r="113" ht="15.75" customHeight="1">
      <c r="A113" s="162"/>
      <c r="B113" s="162"/>
      <c r="C113" s="162"/>
      <c r="D113" s="162"/>
      <c r="I113" s="117"/>
      <c r="K113" s="117"/>
      <c r="L113" s="118"/>
    </row>
    <row r="114" ht="15.75" customHeight="1">
      <c r="A114" s="164" t="s">
        <v>1086</v>
      </c>
      <c r="B114" s="164" t="s">
        <v>1088</v>
      </c>
      <c r="C114" s="165"/>
      <c r="D114" s="164" t="s">
        <v>1089</v>
      </c>
      <c r="E114" s="124" t="s">
        <v>462</v>
      </c>
      <c r="F114" s="125">
        <f>COUNTIF(L2:L79,"Pass")</f>
        <v>19</v>
      </c>
      <c r="G114" s="126">
        <f>(F114/F120)*100</f>
        <v>24.67532468</v>
      </c>
      <c r="H114" s="127" t="s">
        <v>465</v>
      </c>
      <c r="I114" s="117"/>
      <c r="K114" s="117"/>
      <c r="L114" s="118"/>
    </row>
    <row r="115" ht="15.75" customHeight="1">
      <c r="A115" s="166" t="s">
        <v>1091</v>
      </c>
      <c r="B115" s="167" t="s">
        <v>1092</v>
      </c>
      <c r="D115" s="168" t="s">
        <v>1093</v>
      </c>
      <c r="E115" s="124" t="s">
        <v>467</v>
      </c>
      <c r="F115" s="125">
        <f>COUNTIF(L2:L79,"Fail")</f>
        <v>0</v>
      </c>
      <c r="G115" s="126">
        <f>(F115/F120)*100</f>
        <v>0</v>
      </c>
      <c r="H115" s="127" t="s">
        <v>465</v>
      </c>
      <c r="I115" s="117"/>
      <c r="K115" s="117"/>
      <c r="L115" s="118"/>
    </row>
    <row r="116" ht="15.75" customHeight="1">
      <c r="A116" s="46"/>
      <c r="B116" s="167" t="s">
        <v>1096</v>
      </c>
      <c r="D116" s="168" t="s">
        <v>1097</v>
      </c>
      <c r="E116" s="124" t="s">
        <v>12</v>
      </c>
      <c r="F116" s="125">
        <f>COUNTIF(L2:L100,"Not Start")</f>
        <v>58</v>
      </c>
      <c r="G116" s="126">
        <f>(F116/F120)*100</f>
        <v>75.32467532</v>
      </c>
      <c r="H116" s="127" t="s">
        <v>465</v>
      </c>
      <c r="I116" s="117"/>
      <c r="K116" s="117"/>
      <c r="L116" s="118"/>
    </row>
    <row r="117" ht="15.75" customHeight="1">
      <c r="A117" s="38"/>
      <c r="B117" s="167" t="s">
        <v>1099</v>
      </c>
      <c r="D117" s="168" t="s">
        <v>1100</v>
      </c>
      <c r="E117" s="124" t="s">
        <v>474</v>
      </c>
      <c r="F117" s="125">
        <f>COUNTIF(L2:L100,"Pending")</f>
        <v>0</v>
      </c>
      <c r="G117" s="126">
        <f>(F117/F120)*100</f>
        <v>0</v>
      </c>
      <c r="H117" s="127" t="s">
        <v>465</v>
      </c>
      <c r="I117" s="117"/>
      <c r="K117" s="117"/>
      <c r="L117" s="118"/>
    </row>
    <row r="118" ht="15.75" customHeight="1">
      <c r="A118" s="169" t="s">
        <v>1103</v>
      </c>
      <c r="B118" s="170" t="s">
        <v>1092</v>
      </c>
      <c r="D118" s="170" t="s">
        <v>1105</v>
      </c>
      <c r="E118" s="124" t="s">
        <v>44</v>
      </c>
      <c r="F118" s="125">
        <f>COUNTIF(L2:L100,"Deferred")</f>
        <v>0</v>
      </c>
      <c r="G118" s="126">
        <f>(F118/F120)*100</f>
        <v>0</v>
      </c>
      <c r="H118" s="127" t="s">
        <v>465</v>
      </c>
      <c r="I118" s="117"/>
      <c r="K118" s="117"/>
      <c r="L118" s="118"/>
    </row>
    <row r="119" ht="15.75" customHeight="1">
      <c r="A119" s="46"/>
      <c r="B119" s="170" t="s">
        <v>1096</v>
      </c>
      <c r="D119" s="170" t="s">
        <v>1107</v>
      </c>
      <c r="E119" s="124" t="s">
        <v>479</v>
      </c>
      <c r="F119" s="125">
        <f>COUNTIF(L2:L100,"Not Applicable")</f>
        <v>0</v>
      </c>
      <c r="G119" s="126">
        <f>(F119/F120)*100</f>
        <v>0</v>
      </c>
      <c r="H119" s="127" t="s">
        <v>465</v>
      </c>
      <c r="I119" s="117"/>
      <c r="K119" s="117"/>
      <c r="L119" s="118"/>
    </row>
    <row r="120" ht="15.75" customHeight="1">
      <c r="A120" s="38"/>
      <c r="B120" s="170" t="s">
        <v>1099</v>
      </c>
      <c r="D120" s="170" t="s">
        <v>1109</v>
      </c>
      <c r="E120" s="128" t="s">
        <v>49</v>
      </c>
      <c r="F120" s="129">
        <f t="shared" ref="F120:G120" si="12">SUM(F114:F119)</f>
        <v>77</v>
      </c>
      <c r="G120" s="130">
        <f t="shared" si="12"/>
        <v>100</v>
      </c>
      <c r="H120" s="131" t="s">
        <v>465</v>
      </c>
      <c r="I120" s="117"/>
      <c r="K120" s="117"/>
      <c r="L120" s="118"/>
    </row>
    <row r="121" ht="15.75" customHeight="1">
      <c r="A121" s="174" t="s">
        <v>1111</v>
      </c>
      <c r="B121" s="167" t="s">
        <v>1092</v>
      </c>
      <c r="D121" s="168" t="s">
        <v>102</v>
      </c>
      <c r="E121" s="132" t="s">
        <v>484</v>
      </c>
      <c r="F121" s="133"/>
      <c r="G121" s="134">
        <f>G114+G115+G117+G119</f>
        <v>24.67532468</v>
      </c>
      <c r="H121" s="135"/>
      <c r="I121" s="117"/>
      <c r="K121" s="117"/>
      <c r="L121" s="118"/>
    </row>
    <row r="122" ht="15.75" customHeight="1">
      <c r="A122" s="46"/>
      <c r="B122" s="167" t="s">
        <v>1096</v>
      </c>
      <c r="D122" s="168" t="s">
        <v>102</v>
      </c>
      <c r="E122" s="132" t="s">
        <v>485</v>
      </c>
      <c r="F122" s="36"/>
      <c r="G122" s="136">
        <f>F114/(F120-F119-F117)</f>
        <v>0.2467532468</v>
      </c>
      <c r="H122" s="137"/>
      <c r="I122" s="117"/>
      <c r="K122" s="117"/>
      <c r="L122" s="118"/>
    </row>
    <row r="123" ht="15.75" customHeight="1">
      <c r="A123" s="38"/>
      <c r="B123" s="167" t="s">
        <v>1099</v>
      </c>
      <c r="D123" s="168" t="s">
        <v>102</v>
      </c>
      <c r="I123" s="117"/>
      <c r="K123" s="117"/>
      <c r="L123" s="118"/>
    </row>
    <row r="124" ht="15.75" customHeight="1">
      <c r="A124" s="175" t="s">
        <v>1113</v>
      </c>
      <c r="B124" s="170" t="s">
        <v>1092</v>
      </c>
      <c r="D124" s="170" t="s">
        <v>1115</v>
      </c>
      <c r="I124" s="117"/>
      <c r="K124" s="117"/>
      <c r="L124" s="118"/>
    </row>
    <row r="125" ht="15.75" customHeight="1">
      <c r="A125" s="46"/>
      <c r="B125" s="170" t="s">
        <v>1096</v>
      </c>
      <c r="D125" s="170" t="s">
        <v>1117</v>
      </c>
      <c r="I125" s="117"/>
      <c r="K125" s="117"/>
      <c r="L125" s="118"/>
    </row>
    <row r="126" ht="15.75" customHeight="1">
      <c r="A126" s="38"/>
      <c r="B126" s="170" t="s">
        <v>1099</v>
      </c>
      <c r="D126" s="170" t="s">
        <v>1118</v>
      </c>
      <c r="I126" s="117"/>
      <c r="K126" s="117"/>
      <c r="L126" s="118"/>
    </row>
    <row r="127" ht="15.75" customHeight="1">
      <c r="A127" s="177" t="s">
        <v>1119</v>
      </c>
      <c r="B127" s="167" t="s">
        <v>1120</v>
      </c>
      <c r="D127" s="168" t="s">
        <v>1121</v>
      </c>
      <c r="I127" s="117"/>
      <c r="K127" s="117"/>
      <c r="L127" s="118"/>
    </row>
    <row r="128" ht="15.75" customHeight="1">
      <c r="A128" s="175" t="s">
        <v>1123</v>
      </c>
      <c r="B128" s="170" t="s">
        <v>1092</v>
      </c>
      <c r="D128" s="170" t="s">
        <v>1093</v>
      </c>
      <c r="I128" s="117"/>
      <c r="K128" s="117"/>
      <c r="L128" s="118"/>
    </row>
    <row r="129" ht="15.75" customHeight="1">
      <c r="A129" s="46"/>
      <c r="B129" s="170" t="s">
        <v>1096</v>
      </c>
      <c r="D129" s="170" t="s">
        <v>1097</v>
      </c>
      <c r="I129" s="117"/>
      <c r="K129" s="117"/>
      <c r="L129" s="118"/>
    </row>
    <row r="130" ht="15.75" customHeight="1">
      <c r="A130" s="38"/>
      <c r="B130" s="170" t="s">
        <v>1099</v>
      </c>
      <c r="D130" s="170" t="s">
        <v>1100</v>
      </c>
      <c r="I130" s="117"/>
      <c r="K130" s="117"/>
      <c r="L130" s="118"/>
    </row>
    <row r="131" ht="15.75" customHeight="1">
      <c r="A131" s="174" t="s">
        <v>1126</v>
      </c>
      <c r="B131" s="167" t="s">
        <v>1092</v>
      </c>
      <c r="D131" s="179" t="s">
        <v>1115</v>
      </c>
      <c r="I131" s="117"/>
      <c r="K131" s="117"/>
      <c r="L131" s="118"/>
    </row>
    <row r="132" ht="15.75" customHeight="1">
      <c r="A132" s="46"/>
      <c r="B132" s="167" t="s">
        <v>1096</v>
      </c>
      <c r="D132" s="179" t="s">
        <v>1117</v>
      </c>
      <c r="I132" s="117"/>
      <c r="K132" s="117"/>
      <c r="L132" s="118"/>
    </row>
    <row r="133" ht="15.75" customHeight="1">
      <c r="A133" s="38"/>
      <c r="B133" s="167" t="s">
        <v>1099</v>
      </c>
      <c r="D133" s="179" t="s">
        <v>1118</v>
      </c>
      <c r="I133" s="117"/>
      <c r="K133" s="117"/>
      <c r="L133" s="118"/>
    </row>
    <row r="134" ht="15.75" customHeight="1">
      <c r="I134" s="117"/>
      <c r="K134" s="117"/>
      <c r="L134" s="118"/>
    </row>
    <row r="135" ht="15.75" customHeight="1">
      <c r="I135" s="117"/>
      <c r="K135" s="117"/>
      <c r="L135" s="118"/>
    </row>
    <row r="136" ht="15.75" customHeight="1">
      <c r="I136" s="117"/>
      <c r="K136" s="117"/>
      <c r="L136" s="118"/>
    </row>
    <row r="137" ht="15.75" customHeight="1">
      <c r="I137" s="117"/>
      <c r="K137" s="117"/>
      <c r="L137" s="118"/>
    </row>
    <row r="138" ht="15.75" customHeight="1">
      <c r="I138" s="117"/>
      <c r="K138" s="117"/>
      <c r="L138" s="118"/>
    </row>
    <row r="139" ht="15.75" customHeight="1">
      <c r="I139" s="117"/>
      <c r="K139" s="117"/>
      <c r="L139" s="118"/>
    </row>
    <row r="140" ht="15.75" customHeight="1">
      <c r="I140" s="117"/>
      <c r="K140" s="117"/>
      <c r="L140" s="118"/>
    </row>
    <row r="141" ht="15.75" customHeight="1">
      <c r="I141" s="117"/>
      <c r="K141" s="117"/>
      <c r="L141" s="118"/>
    </row>
    <row r="142" ht="15.75" customHeight="1">
      <c r="I142" s="117"/>
      <c r="K142" s="117"/>
      <c r="L142" s="118"/>
    </row>
    <row r="143" ht="15.75" customHeight="1">
      <c r="I143" s="117"/>
      <c r="K143" s="117"/>
      <c r="L143" s="118"/>
    </row>
    <row r="144" ht="15.75" customHeight="1">
      <c r="I144" s="117"/>
      <c r="K144" s="117"/>
      <c r="L144" s="118"/>
    </row>
    <row r="145" ht="15.75" customHeight="1">
      <c r="I145" s="117"/>
      <c r="K145" s="117"/>
      <c r="L145" s="118"/>
    </row>
    <row r="146" ht="15.75" customHeight="1">
      <c r="I146" s="117"/>
      <c r="K146" s="117"/>
      <c r="L146" s="118"/>
    </row>
    <row r="147" ht="15.75" customHeight="1">
      <c r="I147" s="117"/>
      <c r="K147" s="117"/>
      <c r="L147" s="118"/>
    </row>
    <row r="148" ht="15.75" customHeight="1">
      <c r="I148" s="117"/>
      <c r="K148" s="117"/>
      <c r="L148" s="118"/>
    </row>
    <row r="149" ht="15.75" customHeight="1">
      <c r="I149" s="117"/>
      <c r="K149" s="117"/>
      <c r="L149" s="118"/>
    </row>
    <row r="150" ht="15.75" customHeight="1">
      <c r="I150" s="117"/>
      <c r="K150" s="117"/>
      <c r="L150" s="118"/>
    </row>
    <row r="151" ht="15.75" customHeight="1">
      <c r="I151" s="117"/>
      <c r="K151" s="117"/>
      <c r="L151" s="118"/>
    </row>
    <row r="152" ht="15.75" customHeight="1">
      <c r="I152" s="117"/>
      <c r="K152" s="117"/>
      <c r="L152" s="118"/>
    </row>
    <row r="153" ht="15.75" customHeight="1">
      <c r="I153" s="117"/>
      <c r="K153" s="117"/>
      <c r="L153" s="118"/>
    </row>
    <row r="154" ht="15.75" customHeight="1">
      <c r="I154" s="117"/>
      <c r="K154" s="117"/>
      <c r="L154" s="118"/>
    </row>
    <row r="155" ht="15.75" customHeight="1">
      <c r="I155" s="117"/>
      <c r="K155" s="117"/>
      <c r="L155" s="118"/>
    </row>
    <row r="156" ht="15.75" customHeight="1">
      <c r="I156" s="117"/>
      <c r="K156" s="117"/>
      <c r="L156" s="118"/>
    </row>
    <row r="157" ht="15.75" customHeight="1">
      <c r="I157" s="117"/>
      <c r="K157" s="117"/>
      <c r="L157" s="118"/>
    </row>
    <row r="158" ht="15.75" customHeight="1">
      <c r="I158" s="117"/>
      <c r="K158" s="117"/>
      <c r="L158" s="118"/>
    </row>
    <row r="159" ht="15.75" customHeight="1">
      <c r="I159" s="117"/>
      <c r="K159" s="117"/>
      <c r="L159" s="118"/>
    </row>
    <row r="160" ht="15.75" customHeight="1">
      <c r="I160" s="117"/>
      <c r="K160" s="117"/>
      <c r="L160" s="118"/>
    </row>
    <row r="161" ht="15.75" customHeight="1">
      <c r="I161" s="117"/>
      <c r="K161" s="117"/>
      <c r="L161" s="118"/>
    </row>
    <row r="162" ht="15.75" customHeight="1">
      <c r="I162" s="117"/>
      <c r="K162" s="117"/>
      <c r="L162" s="118"/>
    </row>
    <row r="163" ht="15.75" customHeight="1">
      <c r="I163" s="117"/>
      <c r="K163" s="117"/>
      <c r="L163" s="118"/>
    </row>
    <row r="164" ht="15.75" customHeight="1">
      <c r="I164" s="117"/>
      <c r="K164" s="117"/>
      <c r="L164" s="118"/>
    </row>
    <row r="165" ht="15.75" customHeight="1">
      <c r="I165" s="117"/>
      <c r="K165" s="117"/>
      <c r="L165" s="118"/>
    </row>
    <row r="166" ht="15.75" customHeight="1">
      <c r="I166" s="117"/>
      <c r="K166" s="117"/>
      <c r="L166" s="118"/>
    </row>
    <row r="167" ht="15.75" customHeight="1">
      <c r="I167" s="117"/>
      <c r="K167" s="117"/>
      <c r="L167" s="118"/>
    </row>
    <row r="168" ht="15.75" customHeight="1">
      <c r="I168" s="117"/>
      <c r="K168" s="117"/>
      <c r="L168" s="118"/>
    </row>
    <row r="169" ht="15.75" customHeight="1">
      <c r="I169" s="117"/>
      <c r="K169" s="117"/>
      <c r="L169" s="118"/>
    </row>
    <row r="170" ht="15.75" customHeight="1">
      <c r="I170" s="117"/>
      <c r="K170" s="117"/>
      <c r="L170" s="118"/>
    </row>
    <row r="171" ht="15.75" customHeight="1">
      <c r="I171" s="117"/>
      <c r="K171" s="117"/>
      <c r="L171" s="118"/>
    </row>
    <row r="172" ht="15.75" customHeight="1">
      <c r="I172" s="117"/>
      <c r="K172" s="117"/>
      <c r="L172" s="118"/>
    </row>
    <row r="173" ht="15.75" customHeight="1">
      <c r="I173" s="117"/>
      <c r="K173" s="117"/>
      <c r="L173" s="118"/>
    </row>
    <row r="174" ht="15.75" customHeight="1">
      <c r="I174" s="117"/>
      <c r="K174" s="117"/>
      <c r="L174" s="118"/>
    </row>
    <row r="175" ht="15.75" customHeight="1">
      <c r="I175" s="117"/>
      <c r="K175" s="117"/>
      <c r="L175" s="118"/>
    </row>
    <row r="176" ht="15.75" customHeight="1">
      <c r="I176" s="117"/>
      <c r="K176" s="117"/>
      <c r="L176" s="118"/>
    </row>
    <row r="177" ht="15.75" customHeight="1">
      <c r="I177" s="117"/>
      <c r="K177" s="117"/>
      <c r="L177" s="118"/>
    </row>
    <row r="178" ht="15.75" customHeight="1">
      <c r="I178" s="117"/>
      <c r="K178" s="117"/>
      <c r="L178" s="118"/>
    </row>
    <row r="179" ht="15.75" customHeight="1">
      <c r="I179" s="117"/>
      <c r="K179" s="117"/>
      <c r="L179" s="118"/>
    </row>
    <row r="180" ht="15.75" customHeight="1">
      <c r="I180" s="117"/>
      <c r="K180" s="117"/>
      <c r="L180" s="118"/>
    </row>
    <row r="181" ht="15.75" customHeight="1">
      <c r="I181" s="117"/>
      <c r="K181" s="117"/>
      <c r="L181" s="118"/>
    </row>
    <row r="182" ht="15.75" customHeight="1">
      <c r="I182" s="117"/>
      <c r="K182" s="117"/>
      <c r="L182" s="118"/>
    </row>
    <row r="183" ht="15.75" customHeight="1">
      <c r="I183" s="117"/>
      <c r="K183" s="117"/>
      <c r="L183" s="118"/>
    </row>
    <row r="184" ht="15.75" customHeight="1">
      <c r="I184" s="117"/>
      <c r="K184" s="117"/>
      <c r="L184" s="118"/>
    </row>
    <row r="185" ht="15.75" customHeight="1">
      <c r="I185" s="117"/>
      <c r="K185" s="117"/>
      <c r="L185" s="118"/>
    </row>
    <row r="186" ht="15.75" customHeight="1">
      <c r="I186" s="117"/>
      <c r="K186" s="117"/>
      <c r="L186" s="118"/>
    </row>
    <row r="187" ht="15.75" customHeight="1">
      <c r="I187" s="117"/>
      <c r="K187" s="117"/>
      <c r="L187" s="118"/>
    </row>
    <row r="188" ht="15.75" customHeight="1">
      <c r="I188" s="117"/>
      <c r="K188" s="117"/>
      <c r="L188" s="118"/>
    </row>
    <row r="189" ht="15.75" customHeight="1">
      <c r="I189" s="117"/>
      <c r="K189" s="117"/>
      <c r="L189" s="118"/>
    </row>
    <row r="190" ht="15.75" customHeight="1">
      <c r="I190" s="117"/>
      <c r="K190" s="117"/>
      <c r="L190" s="118"/>
    </row>
    <row r="191" ht="15.75" customHeight="1">
      <c r="I191" s="117"/>
      <c r="K191" s="117"/>
      <c r="L191" s="118"/>
    </row>
    <row r="192" ht="15.75" customHeight="1">
      <c r="I192" s="117"/>
      <c r="K192" s="117"/>
      <c r="L192" s="118"/>
    </row>
    <row r="193" ht="15.75" customHeight="1">
      <c r="I193" s="117"/>
      <c r="K193" s="117"/>
      <c r="L193" s="118"/>
    </row>
    <row r="194" ht="15.75" customHeight="1">
      <c r="I194" s="117"/>
      <c r="K194" s="117"/>
      <c r="L194" s="118"/>
    </row>
    <row r="195" ht="15.75" customHeight="1">
      <c r="I195" s="117"/>
      <c r="K195" s="117"/>
      <c r="L195" s="118"/>
    </row>
    <row r="196" ht="15.75" customHeight="1">
      <c r="I196" s="117"/>
      <c r="K196" s="117"/>
      <c r="L196" s="118"/>
    </row>
    <row r="197" ht="15.75" customHeight="1">
      <c r="I197" s="117"/>
      <c r="K197" s="117"/>
      <c r="L197" s="118"/>
    </row>
    <row r="198" ht="15.75" customHeight="1">
      <c r="I198" s="117"/>
      <c r="K198" s="117"/>
      <c r="L198" s="118"/>
    </row>
    <row r="199" ht="15.75" customHeight="1">
      <c r="I199" s="117"/>
      <c r="K199" s="117"/>
      <c r="L199" s="118"/>
    </row>
    <row r="200" ht="15.75" customHeight="1">
      <c r="I200" s="117"/>
      <c r="K200" s="117"/>
      <c r="L200" s="118"/>
    </row>
    <row r="201" ht="15.75" customHeight="1">
      <c r="I201" s="117"/>
      <c r="K201" s="117"/>
      <c r="L201" s="118"/>
    </row>
    <row r="202" ht="15.75" customHeight="1">
      <c r="I202" s="117"/>
      <c r="K202" s="117"/>
      <c r="L202" s="118"/>
    </row>
    <row r="203" ht="15.75" customHeight="1">
      <c r="I203" s="117"/>
      <c r="K203" s="117"/>
      <c r="L203" s="118"/>
    </row>
    <row r="204" ht="15.75" customHeight="1">
      <c r="I204" s="117"/>
      <c r="K204" s="117"/>
      <c r="L204" s="118"/>
    </row>
    <row r="205" ht="15.75" customHeight="1">
      <c r="I205" s="117"/>
      <c r="K205" s="117"/>
      <c r="L205" s="118"/>
    </row>
    <row r="206" ht="15.75" customHeight="1">
      <c r="I206" s="117"/>
      <c r="K206" s="117"/>
      <c r="L206" s="118"/>
    </row>
    <row r="207" ht="15.75" customHeight="1">
      <c r="I207" s="117"/>
      <c r="K207" s="117"/>
      <c r="L207" s="118"/>
    </row>
    <row r="208" ht="15.75" customHeight="1">
      <c r="I208" s="117"/>
      <c r="K208" s="117"/>
      <c r="L208" s="118"/>
    </row>
    <row r="209" ht="15.75" customHeight="1">
      <c r="I209" s="117"/>
      <c r="K209" s="117"/>
      <c r="L209" s="118"/>
    </row>
    <row r="210" ht="15.75" customHeight="1">
      <c r="I210" s="117"/>
      <c r="K210" s="117"/>
      <c r="L210" s="118"/>
    </row>
    <row r="211" ht="15.75" customHeight="1">
      <c r="I211" s="117"/>
      <c r="K211" s="117"/>
      <c r="L211" s="118"/>
    </row>
    <row r="212" ht="15.75" customHeight="1">
      <c r="I212" s="117"/>
      <c r="K212" s="117"/>
      <c r="L212" s="118"/>
    </row>
    <row r="213" ht="15.75" customHeight="1">
      <c r="I213" s="117"/>
      <c r="K213" s="117"/>
      <c r="L213" s="118"/>
    </row>
    <row r="214" ht="15.75" customHeight="1">
      <c r="I214" s="117"/>
      <c r="K214" s="117"/>
      <c r="L214" s="118"/>
    </row>
    <row r="215" ht="15.75" customHeight="1">
      <c r="I215" s="117"/>
      <c r="K215" s="117"/>
      <c r="L215" s="118"/>
    </row>
    <row r="216" ht="15.75" customHeight="1">
      <c r="I216" s="117"/>
      <c r="K216" s="117"/>
      <c r="L216" s="118"/>
    </row>
    <row r="217" ht="15.75" customHeight="1">
      <c r="I217" s="117"/>
      <c r="K217" s="117"/>
      <c r="L217" s="118"/>
    </row>
    <row r="218" ht="15.75" customHeight="1">
      <c r="I218" s="117"/>
      <c r="K218" s="117"/>
      <c r="L218" s="118"/>
    </row>
    <row r="219" ht="15.75" customHeight="1">
      <c r="I219" s="117"/>
      <c r="K219" s="117"/>
      <c r="L219" s="118"/>
    </row>
    <row r="220" ht="15.75" customHeight="1">
      <c r="I220" s="117"/>
      <c r="K220" s="117"/>
      <c r="L220" s="118"/>
    </row>
    <row r="221" ht="15.75" customHeight="1">
      <c r="I221" s="117"/>
      <c r="K221" s="117"/>
      <c r="L221" s="118"/>
    </row>
    <row r="222" ht="15.75" customHeight="1">
      <c r="I222" s="117"/>
      <c r="K222" s="117"/>
      <c r="L222" s="118"/>
    </row>
    <row r="223" ht="15.75" customHeight="1">
      <c r="I223" s="117"/>
      <c r="K223" s="117"/>
      <c r="L223" s="118"/>
    </row>
    <row r="224" ht="15.75" customHeight="1">
      <c r="I224" s="117"/>
      <c r="K224" s="117"/>
      <c r="L224" s="118"/>
    </row>
    <row r="225" ht="15.75" customHeight="1">
      <c r="I225" s="117"/>
      <c r="K225" s="117"/>
      <c r="L225" s="118"/>
    </row>
    <row r="226" ht="15.75" customHeight="1">
      <c r="I226" s="117"/>
      <c r="K226" s="117"/>
      <c r="L226" s="118"/>
    </row>
    <row r="227" ht="15.75" customHeight="1">
      <c r="I227" s="117"/>
      <c r="K227" s="117"/>
      <c r="L227" s="118"/>
    </row>
    <row r="228" ht="15.75" customHeight="1">
      <c r="I228" s="117"/>
      <c r="K228" s="117"/>
      <c r="L228" s="118"/>
    </row>
    <row r="229" ht="15.75" customHeight="1">
      <c r="I229" s="117"/>
      <c r="K229" s="117"/>
      <c r="L229" s="118"/>
    </row>
    <row r="230" ht="15.75" customHeight="1">
      <c r="I230" s="117"/>
      <c r="K230" s="117"/>
      <c r="L230" s="118"/>
    </row>
    <row r="231" ht="15.75" customHeight="1">
      <c r="I231" s="117"/>
      <c r="K231" s="117"/>
      <c r="L231" s="118"/>
    </row>
    <row r="232" ht="15.75" customHeight="1">
      <c r="I232" s="117"/>
      <c r="K232" s="117"/>
      <c r="L232" s="118"/>
    </row>
    <row r="233" ht="15.75" customHeight="1">
      <c r="I233" s="117"/>
      <c r="K233" s="117"/>
      <c r="L233" s="118"/>
    </row>
    <row r="234" ht="15.75" customHeight="1">
      <c r="I234" s="117"/>
      <c r="K234" s="117"/>
      <c r="L234" s="118"/>
    </row>
    <row r="235" ht="15.75" customHeight="1">
      <c r="I235" s="117"/>
      <c r="K235" s="117"/>
      <c r="L235" s="118"/>
    </row>
    <row r="236" ht="15.75" customHeight="1">
      <c r="I236" s="117"/>
      <c r="K236" s="117"/>
      <c r="L236" s="118"/>
    </row>
    <row r="237" ht="15.75" customHeight="1">
      <c r="I237" s="117"/>
      <c r="K237" s="117"/>
      <c r="L237" s="118"/>
    </row>
    <row r="238" ht="15.75" customHeight="1">
      <c r="I238" s="117"/>
      <c r="K238" s="117"/>
      <c r="L238" s="118"/>
    </row>
    <row r="239" ht="15.75" customHeight="1">
      <c r="I239" s="117"/>
      <c r="K239" s="117"/>
      <c r="L239" s="118"/>
    </row>
    <row r="240" ht="15.75" customHeight="1">
      <c r="I240" s="117"/>
      <c r="K240" s="117"/>
      <c r="L240" s="118"/>
    </row>
    <row r="241" ht="15.75" customHeight="1">
      <c r="I241" s="117"/>
      <c r="K241" s="117"/>
      <c r="L241" s="118"/>
    </row>
    <row r="242" ht="15.75" customHeight="1">
      <c r="I242" s="117"/>
      <c r="K242" s="117"/>
      <c r="L242" s="118"/>
    </row>
    <row r="243" ht="15.75" customHeight="1">
      <c r="I243" s="117"/>
      <c r="K243" s="117"/>
      <c r="L243" s="118"/>
    </row>
    <row r="244" ht="15.75" customHeight="1">
      <c r="I244" s="117"/>
      <c r="K244" s="117"/>
      <c r="L244" s="118"/>
    </row>
    <row r="245" ht="15.75" customHeight="1">
      <c r="I245" s="117"/>
      <c r="K245" s="117"/>
      <c r="L245" s="118"/>
    </row>
    <row r="246" ht="15.75" customHeight="1">
      <c r="I246" s="117"/>
      <c r="K246" s="117"/>
      <c r="L246" s="118"/>
    </row>
    <row r="247" ht="15.75" customHeight="1">
      <c r="I247" s="117"/>
      <c r="K247" s="117"/>
      <c r="L247" s="118"/>
    </row>
    <row r="248" ht="15.75" customHeight="1">
      <c r="I248" s="117"/>
      <c r="K248" s="117"/>
      <c r="L248" s="118"/>
    </row>
    <row r="249" ht="15.75" customHeight="1">
      <c r="I249" s="117"/>
      <c r="K249" s="117"/>
      <c r="L249" s="118"/>
    </row>
    <row r="250" ht="15.75" customHeight="1">
      <c r="I250" s="117"/>
      <c r="K250" s="117"/>
      <c r="L250" s="118"/>
    </row>
    <row r="251" ht="15.75" customHeight="1">
      <c r="I251" s="117"/>
      <c r="K251" s="117"/>
      <c r="L251" s="118"/>
    </row>
    <row r="252" ht="15.75" customHeight="1">
      <c r="I252" s="117"/>
      <c r="K252" s="117"/>
      <c r="L252" s="118"/>
    </row>
    <row r="253" ht="15.75" customHeight="1">
      <c r="I253" s="117"/>
      <c r="K253" s="117"/>
      <c r="L253" s="118"/>
    </row>
    <row r="254" ht="15.75" customHeight="1">
      <c r="I254" s="117"/>
      <c r="K254" s="117"/>
      <c r="L254" s="118"/>
    </row>
    <row r="255" ht="15.75" customHeight="1">
      <c r="I255" s="117"/>
      <c r="K255" s="117"/>
      <c r="L255" s="118"/>
    </row>
    <row r="256" ht="15.75" customHeight="1">
      <c r="I256" s="117"/>
      <c r="K256" s="117"/>
      <c r="L256" s="118"/>
    </row>
    <row r="257" ht="15.75" customHeight="1">
      <c r="I257" s="117"/>
      <c r="K257" s="117"/>
      <c r="L257" s="118"/>
    </row>
    <row r="258" ht="15.75" customHeight="1">
      <c r="I258" s="117"/>
      <c r="K258" s="117"/>
      <c r="L258" s="118"/>
    </row>
    <row r="259" ht="15.75" customHeight="1">
      <c r="I259" s="117"/>
      <c r="K259" s="117"/>
      <c r="L259" s="118"/>
    </row>
    <row r="260" ht="15.75" customHeight="1">
      <c r="I260" s="117"/>
      <c r="K260" s="117"/>
      <c r="L260" s="118"/>
    </row>
    <row r="261" ht="15.75" customHeight="1">
      <c r="I261" s="117"/>
      <c r="K261" s="117"/>
      <c r="L261" s="118"/>
    </row>
    <row r="262" ht="15.75" customHeight="1">
      <c r="I262" s="117"/>
      <c r="K262" s="117"/>
      <c r="L262" s="118"/>
    </row>
    <row r="263" ht="15.75" customHeight="1">
      <c r="I263" s="117"/>
      <c r="K263" s="117"/>
      <c r="L263" s="118"/>
    </row>
    <row r="264" ht="15.75" customHeight="1">
      <c r="I264" s="117"/>
      <c r="K264" s="117"/>
      <c r="L264" s="118"/>
    </row>
    <row r="265" ht="15.75" customHeight="1">
      <c r="I265" s="117"/>
      <c r="K265" s="117"/>
      <c r="L265" s="118"/>
    </row>
    <row r="266" ht="15.75" customHeight="1">
      <c r="I266" s="117"/>
      <c r="K266" s="117"/>
      <c r="L266" s="118"/>
    </row>
    <row r="267" ht="15.75" customHeight="1">
      <c r="I267" s="117"/>
      <c r="K267" s="117"/>
      <c r="L267" s="118"/>
    </row>
    <row r="268" ht="15.75" customHeight="1">
      <c r="I268" s="117"/>
      <c r="K268" s="117"/>
      <c r="L268" s="118"/>
    </row>
    <row r="269" ht="15.75" customHeight="1">
      <c r="I269" s="117"/>
      <c r="K269" s="117"/>
      <c r="L269" s="118"/>
    </row>
    <row r="270" ht="15.75" customHeight="1">
      <c r="I270" s="117"/>
      <c r="K270" s="117"/>
      <c r="L270" s="118"/>
    </row>
    <row r="271" ht="15.75" customHeight="1">
      <c r="I271" s="117"/>
      <c r="K271" s="117"/>
      <c r="L271" s="118"/>
    </row>
    <row r="272" ht="15.75" customHeight="1">
      <c r="I272" s="117"/>
      <c r="K272" s="117"/>
      <c r="L272" s="118"/>
    </row>
    <row r="273" ht="15.75" customHeight="1">
      <c r="I273" s="117"/>
      <c r="K273" s="117"/>
      <c r="L273" s="118"/>
    </row>
    <row r="274" ht="15.75" customHeight="1">
      <c r="I274" s="117"/>
      <c r="K274" s="117"/>
      <c r="L274" s="118"/>
    </row>
    <row r="275" ht="15.75" customHeight="1">
      <c r="I275" s="117"/>
      <c r="K275" s="117"/>
      <c r="L275" s="118"/>
    </row>
    <row r="276" ht="15.75" customHeight="1">
      <c r="I276" s="117"/>
      <c r="K276" s="117"/>
      <c r="L276" s="118"/>
    </row>
    <row r="277" ht="15.75" customHeight="1">
      <c r="I277" s="117"/>
      <c r="K277" s="117"/>
      <c r="L277" s="118"/>
    </row>
    <row r="278" ht="15.75" customHeight="1">
      <c r="I278" s="117"/>
      <c r="K278" s="117"/>
      <c r="L278" s="118"/>
    </row>
    <row r="279" ht="15.75" customHeight="1">
      <c r="I279" s="117"/>
      <c r="K279" s="117"/>
      <c r="L279" s="118"/>
    </row>
    <row r="280" ht="15.75" customHeight="1">
      <c r="I280" s="117"/>
      <c r="K280" s="117"/>
      <c r="L280" s="118"/>
    </row>
    <row r="281" ht="15.75" customHeight="1">
      <c r="I281" s="117"/>
      <c r="K281" s="117"/>
      <c r="L281" s="118"/>
    </row>
    <row r="282" ht="15.75" customHeight="1">
      <c r="I282" s="117"/>
      <c r="K282" s="117"/>
      <c r="L282" s="118"/>
    </row>
    <row r="283" ht="15.75" customHeight="1">
      <c r="I283" s="117"/>
      <c r="K283" s="117"/>
      <c r="L283" s="118"/>
    </row>
    <row r="284" ht="15.75" customHeight="1">
      <c r="I284" s="117"/>
      <c r="K284" s="117"/>
      <c r="L284" s="118"/>
    </row>
    <row r="285" ht="15.75" customHeight="1">
      <c r="I285" s="117"/>
      <c r="K285" s="117"/>
      <c r="L285" s="118"/>
    </row>
    <row r="286" ht="15.75" customHeight="1">
      <c r="I286" s="117"/>
      <c r="K286" s="117"/>
      <c r="L286" s="118"/>
    </row>
    <row r="287" ht="15.75" customHeight="1">
      <c r="I287" s="117"/>
      <c r="K287" s="117"/>
      <c r="L287" s="118"/>
    </row>
    <row r="288" ht="15.75" customHeight="1">
      <c r="I288" s="117"/>
      <c r="K288" s="117"/>
      <c r="L288" s="118"/>
    </row>
    <row r="289" ht="15.75" customHeight="1">
      <c r="I289" s="117"/>
      <c r="K289" s="117"/>
      <c r="L289" s="118"/>
    </row>
    <row r="290" ht="15.75" customHeight="1">
      <c r="I290" s="117"/>
      <c r="K290" s="117"/>
      <c r="L290" s="118"/>
    </row>
    <row r="291" ht="15.75" customHeight="1">
      <c r="I291" s="117"/>
      <c r="K291" s="117"/>
      <c r="L291" s="118"/>
    </row>
    <row r="292" ht="15.75" customHeight="1">
      <c r="I292" s="117"/>
      <c r="K292" s="117"/>
      <c r="L292" s="118"/>
    </row>
    <row r="293" ht="15.75" customHeight="1">
      <c r="I293" s="117"/>
      <c r="K293" s="117"/>
      <c r="L293" s="118"/>
    </row>
    <row r="294" ht="15.75" customHeight="1">
      <c r="I294" s="117"/>
      <c r="K294" s="117"/>
      <c r="L294" s="118"/>
    </row>
    <row r="295" ht="15.75" customHeight="1">
      <c r="I295" s="117"/>
      <c r="K295" s="117"/>
      <c r="L295" s="118"/>
    </row>
    <row r="296" ht="15.75" customHeight="1">
      <c r="I296" s="117"/>
      <c r="K296" s="117"/>
      <c r="L296" s="118"/>
    </row>
    <row r="297" ht="15.75" customHeight="1">
      <c r="I297" s="117"/>
      <c r="K297" s="117"/>
      <c r="L297" s="118"/>
    </row>
    <row r="298" ht="15.75" customHeight="1">
      <c r="I298" s="117"/>
      <c r="K298" s="117"/>
      <c r="L298" s="118"/>
    </row>
    <row r="299" ht="15.75" customHeight="1">
      <c r="I299" s="117"/>
      <c r="K299" s="117"/>
      <c r="L299" s="118"/>
    </row>
    <row r="300" ht="15.75" customHeight="1">
      <c r="I300" s="117"/>
      <c r="K300" s="117"/>
      <c r="L300" s="118"/>
    </row>
    <row r="301" ht="15.75" customHeight="1">
      <c r="I301" s="117"/>
      <c r="K301" s="117"/>
      <c r="L301" s="118"/>
    </row>
    <row r="302" ht="15.75" customHeight="1">
      <c r="I302" s="117"/>
      <c r="K302" s="117"/>
      <c r="L302" s="118"/>
    </row>
    <row r="303" ht="15.75" customHeight="1">
      <c r="I303" s="117"/>
      <c r="K303" s="117"/>
      <c r="L303" s="118"/>
    </row>
    <row r="304" ht="15.75" customHeight="1">
      <c r="I304" s="117"/>
      <c r="K304" s="117"/>
      <c r="L304" s="118"/>
    </row>
    <row r="305" ht="15.75" customHeight="1">
      <c r="I305" s="117"/>
      <c r="K305" s="117"/>
      <c r="L305" s="118"/>
    </row>
    <row r="306" ht="15.75" customHeight="1">
      <c r="I306" s="117"/>
      <c r="K306" s="117"/>
      <c r="L306" s="118"/>
    </row>
    <row r="307" ht="15.75" customHeight="1">
      <c r="I307" s="117"/>
      <c r="K307" s="117"/>
      <c r="L307" s="118"/>
    </row>
    <row r="308" ht="15.75" customHeight="1">
      <c r="I308" s="117"/>
      <c r="K308" s="117"/>
      <c r="L308" s="118"/>
    </row>
    <row r="309" ht="15.75" customHeight="1">
      <c r="I309" s="117"/>
      <c r="K309" s="117"/>
      <c r="L309" s="118"/>
    </row>
    <row r="310" ht="15.75" customHeight="1">
      <c r="I310" s="117"/>
      <c r="K310" s="117"/>
      <c r="L310" s="118"/>
    </row>
    <row r="311" ht="15.75" customHeight="1">
      <c r="I311" s="117"/>
      <c r="K311" s="117"/>
      <c r="L311" s="118"/>
    </row>
    <row r="312" ht="15.75" customHeight="1">
      <c r="I312" s="117"/>
      <c r="K312" s="117"/>
      <c r="L312" s="118"/>
    </row>
    <row r="313" ht="15.75" customHeight="1">
      <c r="I313" s="117"/>
      <c r="K313" s="117"/>
      <c r="L313" s="118"/>
    </row>
    <row r="314" ht="15.75" customHeight="1">
      <c r="I314" s="117"/>
      <c r="K314" s="117"/>
      <c r="L314" s="118"/>
    </row>
    <row r="315" ht="15.75" customHeight="1">
      <c r="I315" s="117"/>
      <c r="K315" s="117"/>
      <c r="L315" s="118"/>
    </row>
    <row r="316" ht="15.75" customHeight="1">
      <c r="I316" s="117"/>
      <c r="K316" s="117"/>
      <c r="L316" s="118"/>
    </row>
    <row r="317" ht="15.75" customHeight="1">
      <c r="I317" s="117"/>
      <c r="K317" s="117"/>
      <c r="L317" s="118"/>
    </row>
    <row r="318" ht="15.75" customHeight="1">
      <c r="I318" s="117"/>
      <c r="K318" s="117"/>
      <c r="L318" s="118"/>
    </row>
    <row r="319" ht="15.75" customHeight="1">
      <c r="I319" s="117"/>
      <c r="K319" s="117"/>
      <c r="L319" s="118"/>
    </row>
    <row r="320" ht="15.75" customHeight="1">
      <c r="I320" s="117"/>
      <c r="K320" s="117"/>
      <c r="L320" s="118"/>
    </row>
    <row r="321" ht="15.75" customHeight="1">
      <c r="I321" s="117"/>
      <c r="K321" s="117"/>
      <c r="L321" s="118"/>
    </row>
    <row r="322" ht="15.75" customHeight="1">
      <c r="I322" s="117"/>
      <c r="K322" s="117"/>
      <c r="L322" s="118"/>
    </row>
    <row r="323" ht="15.75" customHeight="1">
      <c r="I323" s="117"/>
      <c r="K323" s="117"/>
      <c r="L323" s="118"/>
    </row>
    <row r="324" ht="15.75" customHeight="1">
      <c r="I324" s="117"/>
      <c r="K324" s="117"/>
      <c r="L324" s="118"/>
    </row>
    <row r="325" ht="15.75" customHeight="1">
      <c r="I325" s="117"/>
      <c r="K325" s="117"/>
      <c r="L325" s="118"/>
    </row>
    <row r="326" ht="15.75" customHeight="1">
      <c r="I326" s="117"/>
      <c r="K326" s="117"/>
      <c r="L326" s="118"/>
    </row>
    <row r="327" ht="15.75" customHeight="1">
      <c r="I327" s="117"/>
      <c r="K327" s="117"/>
      <c r="L327" s="118"/>
    </row>
    <row r="328" ht="15.75" customHeight="1">
      <c r="I328" s="117"/>
      <c r="K328" s="117"/>
      <c r="L328" s="118"/>
    </row>
    <row r="329" ht="15.75" customHeight="1">
      <c r="I329" s="117"/>
      <c r="K329" s="117"/>
      <c r="L329" s="118"/>
    </row>
    <row r="330" ht="15.75" customHeight="1">
      <c r="I330" s="117"/>
      <c r="K330" s="117"/>
      <c r="L330" s="118"/>
    </row>
    <row r="331" ht="15.75" customHeight="1">
      <c r="I331" s="117"/>
      <c r="K331" s="117"/>
      <c r="L331" s="118"/>
    </row>
    <row r="332" ht="15.75" customHeight="1">
      <c r="I332" s="117"/>
      <c r="K332" s="117"/>
      <c r="L332" s="118"/>
    </row>
    <row r="333" ht="15.75" customHeight="1">
      <c r="I333" s="117"/>
      <c r="K333" s="117"/>
      <c r="L333" s="118"/>
    </row>
    <row r="334" ht="15.75" customHeight="1">
      <c r="I334" s="117"/>
      <c r="K334" s="117"/>
      <c r="L334" s="118"/>
    </row>
    <row r="335" ht="15.75" customHeight="1">
      <c r="I335" s="117"/>
      <c r="K335" s="117"/>
      <c r="L335" s="118"/>
    </row>
    <row r="336" ht="15.75" customHeight="1">
      <c r="I336" s="117"/>
      <c r="K336" s="117"/>
      <c r="L336" s="118"/>
    </row>
    <row r="337" ht="15.75" customHeight="1">
      <c r="I337" s="117"/>
      <c r="K337" s="117"/>
      <c r="L337" s="118"/>
    </row>
    <row r="338" ht="15.75" customHeight="1">
      <c r="I338" s="117"/>
      <c r="K338" s="117"/>
      <c r="L338" s="118"/>
    </row>
    <row r="339" ht="15.75" customHeight="1">
      <c r="I339" s="117"/>
      <c r="K339" s="117"/>
      <c r="L339" s="118"/>
    </row>
    <row r="340" ht="15.75" customHeight="1">
      <c r="I340" s="117"/>
      <c r="K340" s="117"/>
      <c r="L340" s="118"/>
    </row>
    <row r="341" ht="15.75" customHeight="1">
      <c r="I341" s="117"/>
      <c r="K341" s="117"/>
      <c r="L341" s="118"/>
    </row>
    <row r="342" ht="15.75" customHeight="1">
      <c r="I342" s="117"/>
      <c r="K342" s="117"/>
      <c r="L342" s="118"/>
    </row>
    <row r="343" ht="15.75" customHeight="1">
      <c r="I343" s="117"/>
      <c r="K343" s="117"/>
      <c r="L343" s="118"/>
    </row>
    <row r="344" ht="15.75" customHeight="1">
      <c r="I344" s="117"/>
      <c r="K344" s="117"/>
      <c r="L344" s="118"/>
    </row>
    <row r="345" ht="15.75" customHeight="1">
      <c r="I345" s="117"/>
      <c r="K345" s="117"/>
      <c r="L345" s="118"/>
    </row>
    <row r="346" ht="15.75" customHeight="1">
      <c r="I346" s="117"/>
      <c r="K346" s="117"/>
      <c r="L346" s="118"/>
    </row>
    <row r="347" ht="15.75" customHeight="1">
      <c r="I347" s="117"/>
      <c r="K347" s="117"/>
      <c r="L347" s="118"/>
    </row>
    <row r="348" ht="15.75" customHeight="1">
      <c r="I348" s="117"/>
      <c r="K348" s="117"/>
      <c r="L348" s="118"/>
    </row>
    <row r="349" ht="15.75" customHeight="1">
      <c r="I349" s="117"/>
      <c r="K349" s="117"/>
      <c r="L349" s="118"/>
    </row>
    <row r="350" ht="15.75" customHeight="1">
      <c r="I350" s="117"/>
      <c r="K350" s="117"/>
      <c r="L350" s="118"/>
    </row>
    <row r="351" ht="15.75" customHeight="1">
      <c r="I351" s="117"/>
      <c r="K351" s="117"/>
      <c r="L351" s="118"/>
    </row>
    <row r="352" ht="15.75" customHeight="1">
      <c r="I352" s="117"/>
      <c r="K352" s="117"/>
      <c r="L352" s="118"/>
    </row>
    <row r="353" ht="15.75" customHeight="1">
      <c r="I353" s="117"/>
      <c r="K353" s="117"/>
      <c r="L353" s="118"/>
    </row>
    <row r="354" ht="15.75" customHeight="1">
      <c r="I354" s="117"/>
      <c r="K354" s="117"/>
      <c r="L354" s="118"/>
    </row>
    <row r="355" ht="15.75" customHeight="1">
      <c r="I355" s="117"/>
      <c r="K355" s="117"/>
      <c r="L355" s="118"/>
    </row>
    <row r="356" ht="15.75" customHeight="1">
      <c r="I356" s="117"/>
      <c r="K356" s="117"/>
      <c r="L356" s="118"/>
    </row>
    <row r="357" ht="15.75" customHeight="1">
      <c r="I357" s="117"/>
      <c r="K357" s="117"/>
      <c r="L357" s="118"/>
    </row>
    <row r="358" ht="15.75" customHeight="1">
      <c r="I358" s="117"/>
      <c r="K358" s="117"/>
      <c r="L358" s="118"/>
    </row>
    <row r="359" ht="15.75" customHeight="1">
      <c r="I359" s="117"/>
      <c r="K359" s="117"/>
      <c r="L359" s="118"/>
    </row>
    <row r="360" ht="15.75" customHeight="1">
      <c r="I360" s="117"/>
      <c r="K360" s="117"/>
      <c r="L360" s="118"/>
    </row>
    <row r="361" ht="15.75" customHeight="1">
      <c r="I361" s="117"/>
      <c r="K361" s="117"/>
      <c r="L361" s="118"/>
    </row>
    <row r="362" ht="15.75" customHeight="1">
      <c r="I362" s="117"/>
      <c r="K362" s="117"/>
      <c r="L362" s="118"/>
    </row>
    <row r="363" ht="15.75" customHeight="1">
      <c r="I363" s="117"/>
      <c r="K363" s="117"/>
      <c r="L363" s="118"/>
    </row>
    <row r="364" ht="15.75" customHeight="1">
      <c r="I364" s="117"/>
      <c r="K364" s="117"/>
      <c r="L364" s="118"/>
    </row>
    <row r="365" ht="15.75" customHeight="1">
      <c r="I365" s="117"/>
      <c r="K365" s="117"/>
      <c r="L365" s="118"/>
    </row>
    <row r="366" ht="15.75" customHeight="1">
      <c r="I366" s="117"/>
      <c r="K366" s="117"/>
      <c r="L366" s="118"/>
    </row>
    <row r="367" ht="15.75" customHeight="1">
      <c r="I367" s="117"/>
      <c r="K367" s="117"/>
      <c r="L367" s="118"/>
    </row>
    <row r="368" ht="15.75" customHeight="1">
      <c r="I368" s="117"/>
      <c r="K368" s="117"/>
      <c r="L368" s="118"/>
    </row>
    <row r="369" ht="15.75" customHeight="1">
      <c r="I369" s="117"/>
      <c r="K369" s="117"/>
      <c r="L369" s="118"/>
    </row>
    <row r="370" ht="15.75" customHeight="1">
      <c r="I370" s="117"/>
      <c r="K370" s="117"/>
      <c r="L370" s="118"/>
    </row>
    <row r="371" ht="15.75" customHeight="1">
      <c r="I371" s="117"/>
      <c r="K371" s="117"/>
      <c r="L371" s="118"/>
    </row>
    <row r="372" ht="15.75" customHeight="1">
      <c r="I372" s="117"/>
      <c r="K372" s="117"/>
      <c r="L372" s="118"/>
    </row>
    <row r="373" ht="15.75" customHeight="1">
      <c r="I373" s="117"/>
      <c r="K373" s="117"/>
      <c r="L373" s="118"/>
    </row>
    <row r="374" ht="15.75" customHeight="1">
      <c r="I374" s="117"/>
      <c r="K374" s="117"/>
      <c r="L374" s="118"/>
    </row>
    <row r="375" ht="15.75" customHeight="1">
      <c r="I375" s="117"/>
      <c r="K375" s="117"/>
      <c r="L375" s="118"/>
    </row>
    <row r="376" ht="15.75" customHeight="1">
      <c r="I376" s="117"/>
      <c r="K376" s="117"/>
      <c r="L376" s="118"/>
    </row>
    <row r="377" ht="15.75" customHeight="1">
      <c r="I377" s="117"/>
      <c r="K377" s="117"/>
      <c r="L377" s="118"/>
    </row>
    <row r="378" ht="15.75" customHeight="1">
      <c r="I378" s="117"/>
      <c r="K378" s="117"/>
      <c r="L378" s="118"/>
    </row>
    <row r="379" ht="15.75" customHeight="1">
      <c r="I379" s="117"/>
      <c r="K379" s="117"/>
      <c r="L379" s="118"/>
    </row>
    <row r="380" ht="15.75" customHeight="1">
      <c r="I380" s="117"/>
      <c r="K380" s="117"/>
      <c r="L380" s="118"/>
    </row>
    <row r="381" ht="15.75" customHeight="1">
      <c r="I381" s="117"/>
      <c r="K381" s="117"/>
      <c r="L381" s="118"/>
    </row>
    <row r="382" ht="15.75" customHeight="1">
      <c r="I382" s="117"/>
      <c r="K382" s="117"/>
      <c r="L382" s="118"/>
    </row>
    <row r="383" ht="15.75" customHeight="1">
      <c r="I383" s="117"/>
      <c r="K383" s="117"/>
      <c r="L383" s="118"/>
    </row>
    <row r="384" ht="15.75" customHeight="1">
      <c r="I384" s="117"/>
      <c r="K384" s="117"/>
      <c r="L384" s="118"/>
    </row>
    <row r="385" ht="15.75" customHeight="1">
      <c r="I385" s="117"/>
      <c r="K385" s="117"/>
      <c r="L385" s="118"/>
    </row>
    <row r="386" ht="15.75" customHeight="1">
      <c r="I386" s="117"/>
      <c r="K386" s="117"/>
      <c r="L386" s="118"/>
    </row>
    <row r="387" ht="15.75" customHeight="1">
      <c r="I387" s="117"/>
      <c r="K387" s="117"/>
      <c r="L387" s="118"/>
    </row>
    <row r="388" ht="15.75" customHeight="1">
      <c r="I388" s="117"/>
      <c r="K388" s="117"/>
      <c r="L388" s="118"/>
    </row>
    <row r="389" ht="15.75" customHeight="1">
      <c r="I389" s="117"/>
      <c r="K389" s="117"/>
      <c r="L389" s="118"/>
    </row>
    <row r="390" ht="15.75" customHeight="1">
      <c r="I390" s="117"/>
      <c r="K390" s="117"/>
      <c r="L390" s="118"/>
    </row>
    <row r="391" ht="15.75" customHeight="1">
      <c r="I391" s="117"/>
      <c r="K391" s="117"/>
      <c r="L391" s="118"/>
    </row>
    <row r="392" ht="15.75" customHeight="1">
      <c r="I392" s="117"/>
      <c r="K392" s="117"/>
      <c r="L392" s="118"/>
    </row>
    <row r="393" ht="15.75" customHeight="1">
      <c r="I393" s="117"/>
      <c r="K393" s="117"/>
      <c r="L393" s="118"/>
    </row>
    <row r="394" ht="15.75" customHeight="1">
      <c r="I394" s="117"/>
      <c r="K394" s="117"/>
      <c r="L394" s="118"/>
    </row>
    <row r="395" ht="15.75" customHeight="1">
      <c r="I395" s="117"/>
      <c r="K395" s="117"/>
      <c r="L395" s="118"/>
    </row>
    <row r="396" ht="15.75" customHeight="1">
      <c r="I396" s="117"/>
      <c r="K396" s="117"/>
      <c r="L396" s="118"/>
    </row>
    <row r="397" ht="15.75" customHeight="1">
      <c r="I397" s="117"/>
      <c r="K397" s="117"/>
      <c r="L397" s="118"/>
    </row>
    <row r="398" ht="15.75" customHeight="1">
      <c r="I398" s="117"/>
      <c r="K398" s="117"/>
      <c r="L398" s="118"/>
    </row>
    <row r="399" ht="15.75" customHeight="1">
      <c r="I399" s="117"/>
      <c r="K399" s="117"/>
      <c r="L399" s="118"/>
    </row>
    <row r="400" ht="15.75" customHeight="1">
      <c r="I400" s="117"/>
      <c r="K400" s="117"/>
      <c r="L400" s="118"/>
    </row>
    <row r="401" ht="15.75" customHeight="1">
      <c r="I401" s="117"/>
      <c r="K401" s="117"/>
      <c r="L401" s="118"/>
    </row>
    <row r="402" ht="15.75" customHeight="1">
      <c r="I402" s="117"/>
      <c r="K402" s="117"/>
      <c r="L402" s="118"/>
    </row>
    <row r="403" ht="15.75" customHeight="1">
      <c r="I403" s="117"/>
      <c r="K403" s="117"/>
      <c r="L403" s="118"/>
    </row>
    <row r="404" ht="15.75" customHeight="1">
      <c r="I404" s="117"/>
      <c r="K404" s="117"/>
      <c r="L404" s="118"/>
    </row>
    <row r="405" ht="15.75" customHeight="1">
      <c r="I405" s="117"/>
      <c r="K405" s="117"/>
      <c r="L405" s="118"/>
    </row>
    <row r="406" ht="15.75" customHeight="1">
      <c r="I406" s="117"/>
      <c r="K406" s="117"/>
      <c r="L406" s="118"/>
    </row>
    <row r="407" ht="15.75" customHeight="1">
      <c r="I407" s="117"/>
      <c r="K407" s="117"/>
      <c r="L407" s="118"/>
    </row>
    <row r="408" ht="15.75" customHeight="1">
      <c r="I408" s="117"/>
      <c r="K408" s="117"/>
      <c r="L408" s="118"/>
    </row>
    <row r="409" ht="15.75" customHeight="1">
      <c r="I409" s="117"/>
      <c r="K409" s="117"/>
      <c r="L409" s="118"/>
    </row>
    <row r="410" ht="15.75" customHeight="1">
      <c r="I410" s="117"/>
      <c r="K410" s="117"/>
      <c r="L410" s="118"/>
    </row>
    <row r="411" ht="15.75" customHeight="1">
      <c r="I411" s="117"/>
      <c r="K411" s="117"/>
      <c r="L411" s="118"/>
    </row>
    <row r="412" ht="15.75" customHeight="1">
      <c r="I412" s="117"/>
      <c r="K412" s="117"/>
      <c r="L412" s="118"/>
    </row>
    <row r="413" ht="15.75" customHeight="1">
      <c r="I413" s="117"/>
      <c r="K413" s="117"/>
      <c r="L413" s="118"/>
    </row>
    <row r="414" ht="15.75" customHeight="1">
      <c r="I414" s="117"/>
      <c r="K414" s="117"/>
      <c r="L414" s="118"/>
    </row>
    <row r="415" ht="15.75" customHeight="1">
      <c r="I415" s="117"/>
      <c r="K415" s="117"/>
      <c r="L415" s="118"/>
    </row>
    <row r="416" ht="15.75" customHeight="1">
      <c r="I416" s="117"/>
      <c r="K416" s="117"/>
      <c r="L416" s="118"/>
    </row>
    <row r="417" ht="15.75" customHeight="1">
      <c r="I417" s="117"/>
      <c r="K417" s="117"/>
      <c r="L417" s="118"/>
    </row>
    <row r="418" ht="15.75" customHeight="1">
      <c r="I418" s="117"/>
      <c r="K418" s="117"/>
      <c r="L418" s="118"/>
    </row>
    <row r="419" ht="15.75" customHeight="1">
      <c r="I419" s="117"/>
      <c r="K419" s="117"/>
      <c r="L419" s="118"/>
    </row>
    <row r="420" ht="15.75" customHeight="1">
      <c r="I420" s="117"/>
      <c r="K420" s="117"/>
      <c r="L420" s="118"/>
    </row>
    <row r="421" ht="15.75" customHeight="1">
      <c r="I421" s="117"/>
      <c r="K421" s="117"/>
      <c r="L421" s="118"/>
    </row>
    <row r="422" ht="15.75" customHeight="1">
      <c r="I422" s="117"/>
      <c r="K422" s="117"/>
      <c r="L422" s="118"/>
    </row>
    <row r="423" ht="15.75" customHeight="1">
      <c r="I423" s="117"/>
      <c r="K423" s="117"/>
      <c r="L423" s="118"/>
    </row>
    <row r="424" ht="15.75" customHeight="1">
      <c r="I424" s="117"/>
      <c r="K424" s="117"/>
      <c r="L424" s="118"/>
    </row>
    <row r="425" ht="15.75" customHeight="1">
      <c r="I425" s="117"/>
      <c r="K425" s="117"/>
      <c r="L425" s="118"/>
    </row>
    <row r="426" ht="15.75" customHeight="1">
      <c r="I426" s="117"/>
      <c r="K426" s="117"/>
      <c r="L426" s="118"/>
    </row>
    <row r="427" ht="15.75" customHeight="1">
      <c r="I427" s="117"/>
      <c r="K427" s="117"/>
      <c r="L427" s="118"/>
    </row>
    <row r="428" ht="15.75" customHeight="1">
      <c r="I428" s="117"/>
      <c r="K428" s="117"/>
      <c r="L428" s="118"/>
    </row>
    <row r="429" ht="15.75" customHeight="1">
      <c r="I429" s="117"/>
      <c r="K429" s="117"/>
      <c r="L429" s="118"/>
    </row>
    <row r="430" ht="15.75" customHeight="1">
      <c r="I430" s="117"/>
      <c r="K430" s="117"/>
      <c r="L430" s="118"/>
    </row>
    <row r="431" ht="15.75" customHeight="1">
      <c r="I431" s="117"/>
      <c r="K431" s="117"/>
      <c r="L431" s="118"/>
    </row>
    <row r="432" ht="15.75" customHeight="1">
      <c r="I432" s="117"/>
      <c r="K432" s="117"/>
      <c r="L432" s="118"/>
    </row>
    <row r="433" ht="15.75" customHeight="1">
      <c r="I433" s="117"/>
      <c r="K433" s="117"/>
      <c r="L433" s="118"/>
    </row>
    <row r="434" ht="15.75" customHeight="1">
      <c r="I434" s="117"/>
      <c r="K434" s="117"/>
      <c r="L434" s="118"/>
    </row>
    <row r="435" ht="15.75" customHeight="1">
      <c r="I435" s="117"/>
      <c r="K435" s="117"/>
      <c r="L435" s="118"/>
    </row>
    <row r="436" ht="15.75" customHeight="1">
      <c r="I436" s="117"/>
      <c r="K436" s="117"/>
      <c r="L436" s="118"/>
    </row>
    <row r="437" ht="15.75" customHeight="1">
      <c r="I437" s="117"/>
      <c r="K437" s="117"/>
      <c r="L437" s="118"/>
    </row>
    <row r="438" ht="15.75" customHeight="1">
      <c r="I438" s="117"/>
      <c r="K438" s="117"/>
      <c r="L438" s="118"/>
    </row>
    <row r="439" ht="15.75" customHeight="1">
      <c r="I439" s="117"/>
      <c r="K439" s="117"/>
      <c r="L439" s="118"/>
    </row>
    <row r="440" ht="15.75" customHeight="1">
      <c r="I440" s="117"/>
      <c r="K440" s="117"/>
      <c r="L440" s="118"/>
    </row>
    <row r="441" ht="15.75" customHeight="1">
      <c r="I441" s="117"/>
      <c r="K441" s="117"/>
      <c r="L441" s="118"/>
    </row>
    <row r="442" ht="15.75" customHeight="1">
      <c r="I442" s="117"/>
      <c r="K442" s="117"/>
      <c r="L442" s="118"/>
    </row>
    <row r="443" ht="15.75" customHeight="1">
      <c r="I443" s="117"/>
      <c r="K443" s="117"/>
      <c r="L443" s="118"/>
    </row>
    <row r="444" ht="15.75" customHeight="1">
      <c r="I444" s="117"/>
      <c r="K444" s="117"/>
      <c r="L444" s="118"/>
    </row>
    <row r="445" ht="15.75" customHeight="1">
      <c r="I445" s="117"/>
      <c r="K445" s="117"/>
      <c r="L445" s="118"/>
    </row>
    <row r="446" ht="15.75" customHeight="1">
      <c r="I446" s="117"/>
      <c r="K446" s="117"/>
      <c r="L446" s="118"/>
    </row>
    <row r="447" ht="15.75" customHeight="1">
      <c r="I447" s="117"/>
      <c r="K447" s="117"/>
      <c r="L447" s="118"/>
    </row>
    <row r="448" ht="15.75" customHeight="1">
      <c r="I448" s="117"/>
      <c r="K448" s="117"/>
      <c r="L448" s="118"/>
    </row>
    <row r="449" ht="15.75" customHeight="1">
      <c r="I449" s="117"/>
      <c r="K449" s="117"/>
      <c r="L449" s="118"/>
    </row>
    <row r="450" ht="15.75" customHeight="1">
      <c r="I450" s="117"/>
      <c r="K450" s="117"/>
      <c r="L450" s="118"/>
    </row>
    <row r="451" ht="15.75" customHeight="1">
      <c r="I451" s="117"/>
      <c r="K451" s="117"/>
      <c r="L451" s="118"/>
    </row>
    <row r="452" ht="15.75" customHeight="1">
      <c r="I452" s="117"/>
      <c r="K452" s="117"/>
      <c r="L452" s="118"/>
    </row>
    <row r="453" ht="15.75" customHeight="1">
      <c r="I453" s="117"/>
      <c r="K453" s="117"/>
      <c r="L453" s="118"/>
    </row>
    <row r="454" ht="15.75" customHeight="1">
      <c r="I454" s="117"/>
      <c r="K454" s="117"/>
      <c r="L454" s="118"/>
    </row>
    <row r="455" ht="15.75" customHeight="1">
      <c r="I455" s="117"/>
      <c r="K455" s="117"/>
      <c r="L455" s="118"/>
    </row>
    <row r="456" ht="15.75" customHeight="1">
      <c r="I456" s="117"/>
      <c r="K456" s="117"/>
      <c r="L456" s="118"/>
    </row>
    <row r="457" ht="15.75" customHeight="1">
      <c r="I457" s="117"/>
      <c r="K457" s="117"/>
      <c r="L457" s="118"/>
    </row>
    <row r="458" ht="15.75" customHeight="1">
      <c r="I458" s="117"/>
      <c r="K458" s="117"/>
      <c r="L458" s="118"/>
    </row>
    <row r="459" ht="15.75" customHeight="1">
      <c r="I459" s="117"/>
      <c r="K459" s="117"/>
      <c r="L459" s="118"/>
    </row>
    <row r="460" ht="15.75" customHeight="1">
      <c r="I460" s="117"/>
      <c r="K460" s="117"/>
      <c r="L460" s="118"/>
    </row>
    <row r="461" ht="15.75" customHeight="1">
      <c r="I461" s="117"/>
      <c r="K461" s="117"/>
      <c r="L461" s="118"/>
    </row>
    <row r="462" ht="15.75" customHeight="1">
      <c r="I462" s="117"/>
      <c r="K462" s="117"/>
      <c r="L462" s="118"/>
    </row>
    <row r="463" ht="15.75" customHeight="1">
      <c r="I463" s="117"/>
      <c r="K463" s="117"/>
      <c r="L463" s="118"/>
    </row>
    <row r="464" ht="15.75" customHeight="1">
      <c r="I464" s="117"/>
      <c r="K464" s="117"/>
      <c r="L464" s="118"/>
    </row>
    <row r="465" ht="15.75" customHeight="1">
      <c r="I465" s="117"/>
      <c r="K465" s="117"/>
      <c r="L465" s="118"/>
    </row>
    <row r="466" ht="15.75" customHeight="1">
      <c r="I466" s="117"/>
      <c r="K466" s="117"/>
      <c r="L466" s="118"/>
    </row>
    <row r="467" ht="15.75" customHeight="1">
      <c r="I467" s="117"/>
      <c r="K467" s="117"/>
      <c r="L467" s="118"/>
    </row>
    <row r="468" ht="15.75" customHeight="1">
      <c r="I468" s="117"/>
      <c r="K468" s="117"/>
      <c r="L468" s="118"/>
    </row>
    <row r="469" ht="15.75" customHeight="1">
      <c r="I469" s="117"/>
      <c r="K469" s="117"/>
      <c r="L469" s="118"/>
    </row>
    <row r="470" ht="15.75" customHeight="1">
      <c r="I470" s="117"/>
      <c r="K470" s="117"/>
      <c r="L470" s="118"/>
    </row>
    <row r="471" ht="15.75" customHeight="1">
      <c r="I471" s="117"/>
      <c r="K471" s="117"/>
      <c r="L471" s="118"/>
    </row>
    <row r="472" ht="15.75" customHeight="1">
      <c r="I472" s="117"/>
      <c r="K472" s="117"/>
      <c r="L472" s="118"/>
    </row>
    <row r="473" ht="15.75" customHeight="1">
      <c r="I473" s="117"/>
      <c r="K473" s="117"/>
      <c r="L473" s="118"/>
    </row>
    <row r="474" ht="15.75" customHeight="1">
      <c r="I474" s="117"/>
      <c r="K474" s="117"/>
      <c r="L474" s="118"/>
    </row>
    <row r="475" ht="15.75" customHeight="1">
      <c r="I475" s="117"/>
      <c r="K475" s="117"/>
      <c r="L475" s="118"/>
    </row>
    <row r="476" ht="15.75" customHeight="1">
      <c r="I476" s="117"/>
      <c r="K476" s="117"/>
      <c r="L476" s="118"/>
    </row>
    <row r="477" ht="15.75" customHeight="1">
      <c r="I477" s="117"/>
      <c r="K477" s="117"/>
      <c r="L477" s="118"/>
    </row>
    <row r="478" ht="15.75" customHeight="1">
      <c r="I478" s="117"/>
      <c r="K478" s="117"/>
      <c r="L478" s="118"/>
    </row>
    <row r="479" ht="15.75" customHeight="1">
      <c r="I479" s="117"/>
      <c r="K479" s="117"/>
      <c r="L479" s="118"/>
    </row>
    <row r="480" ht="15.75" customHeight="1">
      <c r="I480" s="117"/>
      <c r="K480" s="117"/>
      <c r="L480" s="118"/>
    </row>
    <row r="481" ht="15.75" customHeight="1">
      <c r="I481" s="117"/>
      <c r="K481" s="117"/>
      <c r="L481" s="118"/>
    </row>
    <row r="482" ht="15.75" customHeight="1">
      <c r="I482" s="117"/>
      <c r="K482" s="117"/>
      <c r="L482" s="118"/>
    </row>
    <row r="483" ht="15.75" customHeight="1">
      <c r="I483" s="117"/>
      <c r="K483" s="117"/>
      <c r="L483" s="118"/>
    </row>
    <row r="484" ht="15.75" customHeight="1">
      <c r="I484" s="117"/>
      <c r="K484" s="117"/>
      <c r="L484" s="118"/>
    </row>
    <row r="485" ht="15.75" customHeight="1">
      <c r="I485" s="117"/>
      <c r="K485" s="117"/>
      <c r="L485" s="118"/>
    </row>
    <row r="486" ht="15.75" customHeight="1">
      <c r="I486" s="117"/>
      <c r="K486" s="117"/>
      <c r="L486" s="118"/>
    </row>
    <row r="487" ht="15.75" customHeight="1">
      <c r="I487" s="117"/>
      <c r="K487" s="117"/>
      <c r="L487" s="118"/>
    </row>
    <row r="488" ht="15.75" customHeight="1">
      <c r="I488" s="117"/>
      <c r="K488" s="117"/>
      <c r="L488" s="118"/>
    </row>
    <row r="489" ht="15.75" customHeight="1">
      <c r="I489" s="117"/>
      <c r="K489" s="117"/>
      <c r="L489" s="118"/>
    </row>
    <row r="490" ht="15.75" customHeight="1">
      <c r="I490" s="117"/>
      <c r="K490" s="117"/>
      <c r="L490" s="118"/>
    </row>
    <row r="491" ht="15.75" customHeight="1">
      <c r="I491" s="117"/>
      <c r="K491" s="117"/>
      <c r="L491" s="118"/>
    </row>
    <row r="492" ht="15.75" customHeight="1">
      <c r="I492" s="117"/>
      <c r="K492" s="117"/>
      <c r="L492" s="118"/>
    </row>
    <row r="493" ht="15.75" customHeight="1">
      <c r="I493" s="117"/>
      <c r="K493" s="117"/>
      <c r="L493" s="118"/>
    </row>
    <row r="494" ht="15.75" customHeight="1">
      <c r="I494" s="117"/>
      <c r="K494" s="117"/>
      <c r="L494" s="118"/>
    </row>
    <row r="495" ht="15.75" customHeight="1">
      <c r="I495" s="117"/>
      <c r="K495" s="117"/>
      <c r="L495" s="118"/>
    </row>
    <row r="496" ht="15.75" customHeight="1">
      <c r="I496" s="117"/>
      <c r="K496" s="117"/>
      <c r="L496" s="118"/>
    </row>
    <row r="497" ht="15.75" customHeight="1">
      <c r="I497" s="117"/>
      <c r="K497" s="117"/>
      <c r="L497" s="118"/>
    </row>
    <row r="498" ht="15.75" customHeight="1">
      <c r="I498" s="117"/>
      <c r="K498" s="117"/>
      <c r="L498" s="118"/>
    </row>
    <row r="499" ht="15.75" customHeight="1">
      <c r="I499" s="117"/>
      <c r="K499" s="117"/>
      <c r="L499" s="118"/>
    </row>
    <row r="500" ht="15.75" customHeight="1">
      <c r="I500" s="117"/>
      <c r="K500" s="117"/>
      <c r="L500" s="118"/>
    </row>
    <row r="501" ht="15.75" customHeight="1">
      <c r="I501" s="117"/>
      <c r="K501" s="117"/>
      <c r="L501" s="118"/>
    </row>
    <row r="502" ht="15.75" customHeight="1">
      <c r="I502" s="117"/>
      <c r="K502" s="117"/>
      <c r="L502" s="118"/>
    </row>
    <row r="503" ht="15.75" customHeight="1">
      <c r="I503" s="117"/>
      <c r="K503" s="117"/>
      <c r="L503" s="118"/>
    </row>
    <row r="504" ht="15.75" customHeight="1">
      <c r="I504" s="117"/>
      <c r="K504" s="117"/>
      <c r="L504" s="118"/>
    </row>
    <row r="505" ht="15.75" customHeight="1">
      <c r="I505" s="117"/>
      <c r="K505" s="117"/>
      <c r="L505" s="118"/>
    </row>
    <row r="506" ht="15.75" customHeight="1">
      <c r="I506" s="117"/>
      <c r="K506" s="117"/>
      <c r="L506" s="118"/>
    </row>
    <row r="507" ht="15.75" customHeight="1">
      <c r="I507" s="117"/>
      <c r="K507" s="117"/>
      <c r="L507" s="118"/>
    </row>
    <row r="508" ht="15.75" customHeight="1">
      <c r="I508" s="117"/>
      <c r="K508" s="117"/>
      <c r="L508" s="118"/>
    </row>
    <row r="509" ht="15.75" customHeight="1">
      <c r="I509" s="117"/>
      <c r="K509" s="117"/>
      <c r="L509" s="118"/>
    </row>
    <row r="510" ht="15.75" customHeight="1">
      <c r="I510" s="117"/>
      <c r="K510" s="117"/>
      <c r="L510" s="118"/>
    </row>
    <row r="511" ht="15.75" customHeight="1">
      <c r="I511" s="117"/>
      <c r="K511" s="117"/>
      <c r="L511" s="118"/>
    </row>
    <row r="512" ht="15.75" customHeight="1">
      <c r="I512" s="117"/>
      <c r="K512" s="117"/>
      <c r="L512" s="118"/>
    </row>
    <row r="513" ht="15.75" customHeight="1">
      <c r="I513" s="117"/>
      <c r="K513" s="117"/>
      <c r="L513" s="118"/>
    </row>
    <row r="514" ht="15.75" customHeight="1">
      <c r="I514" s="117"/>
      <c r="K514" s="117"/>
      <c r="L514" s="118"/>
    </row>
    <row r="515" ht="15.75" customHeight="1">
      <c r="I515" s="117"/>
      <c r="K515" s="117"/>
      <c r="L515" s="118"/>
    </row>
    <row r="516" ht="15.75" customHeight="1">
      <c r="I516" s="117"/>
      <c r="K516" s="117"/>
      <c r="L516" s="118"/>
    </row>
    <row r="517" ht="15.75" customHeight="1">
      <c r="I517" s="117"/>
      <c r="K517" s="117"/>
      <c r="L517" s="118"/>
    </row>
    <row r="518" ht="15.75" customHeight="1">
      <c r="I518" s="117"/>
      <c r="K518" s="117"/>
      <c r="L518" s="118"/>
    </row>
    <row r="519" ht="15.75" customHeight="1">
      <c r="I519" s="117"/>
      <c r="K519" s="117"/>
      <c r="L519" s="118"/>
    </row>
    <row r="520" ht="15.75" customHeight="1">
      <c r="I520" s="117"/>
      <c r="K520" s="117"/>
      <c r="L520" s="118"/>
    </row>
    <row r="521" ht="15.75" customHeight="1">
      <c r="I521" s="117"/>
      <c r="K521" s="117"/>
      <c r="L521" s="118"/>
    </row>
    <row r="522" ht="15.75" customHeight="1">
      <c r="I522" s="117"/>
      <c r="K522" s="117"/>
      <c r="L522" s="118"/>
    </row>
    <row r="523" ht="15.75" customHeight="1">
      <c r="I523" s="117"/>
      <c r="K523" s="117"/>
      <c r="L523" s="118"/>
    </row>
    <row r="524" ht="15.75" customHeight="1">
      <c r="I524" s="117"/>
      <c r="K524" s="117"/>
      <c r="L524" s="118"/>
    </row>
    <row r="525" ht="15.75" customHeight="1">
      <c r="I525" s="117"/>
      <c r="K525" s="117"/>
      <c r="L525" s="118"/>
    </row>
    <row r="526" ht="15.75" customHeight="1">
      <c r="I526" s="117"/>
      <c r="K526" s="117"/>
      <c r="L526" s="118"/>
    </row>
    <row r="527" ht="15.75" customHeight="1">
      <c r="I527" s="117"/>
      <c r="K527" s="117"/>
      <c r="L527" s="118"/>
    </row>
    <row r="528" ht="15.75" customHeight="1">
      <c r="I528" s="117"/>
      <c r="K528" s="117"/>
      <c r="L528" s="118"/>
    </row>
    <row r="529" ht="15.75" customHeight="1">
      <c r="I529" s="117"/>
      <c r="K529" s="117"/>
      <c r="L529" s="118"/>
    </row>
    <row r="530" ht="15.75" customHeight="1">
      <c r="I530" s="117"/>
      <c r="K530" s="117"/>
      <c r="L530" s="118"/>
    </row>
    <row r="531" ht="15.75" customHeight="1">
      <c r="I531" s="117"/>
      <c r="K531" s="117"/>
      <c r="L531" s="118"/>
    </row>
    <row r="532" ht="15.75" customHeight="1">
      <c r="I532" s="117"/>
      <c r="K532" s="117"/>
      <c r="L532" s="118"/>
    </row>
    <row r="533" ht="15.75" customHeight="1">
      <c r="I533" s="117"/>
      <c r="K533" s="117"/>
      <c r="L533" s="118"/>
    </row>
    <row r="534" ht="15.75" customHeight="1">
      <c r="I534" s="117"/>
      <c r="K534" s="117"/>
      <c r="L534" s="118"/>
    </row>
    <row r="535" ht="15.75" customHeight="1">
      <c r="I535" s="117"/>
      <c r="K535" s="117"/>
      <c r="L535" s="118"/>
    </row>
    <row r="536" ht="15.75" customHeight="1">
      <c r="I536" s="117"/>
      <c r="K536" s="117"/>
      <c r="L536" s="118"/>
    </row>
    <row r="537" ht="15.75" customHeight="1">
      <c r="I537" s="117"/>
      <c r="K537" s="117"/>
      <c r="L537" s="118"/>
    </row>
    <row r="538" ht="15.75" customHeight="1">
      <c r="I538" s="117"/>
      <c r="K538" s="117"/>
      <c r="L538" s="118"/>
    </row>
    <row r="539" ht="15.75" customHeight="1">
      <c r="I539" s="117"/>
      <c r="K539" s="117"/>
      <c r="L539" s="118"/>
    </row>
    <row r="540" ht="15.75" customHeight="1">
      <c r="I540" s="117"/>
      <c r="K540" s="117"/>
      <c r="L540" s="118"/>
    </row>
    <row r="541" ht="15.75" customHeight="1">
      <c r="I541" s="117"/>
      <c r="K541" s="117"/>
      <c r="L541" s="118"/>
    </row>
    <row r="542" ht="15.75" customHeight="1">
      <c r="I542" s="117"/>
      <c r="K542" s="117"/>
      <c r="L542" s="118"/>
    </row>
    <row r="543" ht="15.75" customHeight="1">
      <c r="I543" s="117"/>
      <c r="K543" s="117"/>
      <c r="L543" s="118"/>
    </row>
    <row r="544" ht="15.75" customHeight="1">
      <c r="I544" s="117"/>
      <c r="K544" s="117"/>
      <c r="L544" s="118"/>
    </row>
    <row r="545" ht="15.75" customHeight="1">
      <c r="I545" s="117"/>
      <c r="K545" s="117"/>
      <c r="L545" s="118"/>
    </row>
    <row r="546" ht="15.75" customHeight="1">
      <c r="I546" s="117"/>
      <c r="K546" s="117"/>
      <c r="L546" s="118"/>
    </row>
    <row r="547" ht="15.75" customHeight="1">
      <c r="I547" s="117"/>
      <c r="K547" s="117"/>
      <c r="L547" s="118"/>
    </row>
    <row r="548" ht="15.75" customHeight="1">
      <c r="I548" s="117"/>
      <c r="K548" s="117"/>
      <c r="L548" s="118"/>
    </row>
    <row r="549" ht="15.75" customHeight="1">
      <c r="I549" s="117"/>
      <c r="K549" s="117"/>
      <c r="L549" s="118"/>
    </row>
    <row r="550" ht="15.75" customHeight="1">
      <c r="I550" s="117"/>
      <c r="K550" s="117"/>
      <c r="L550" s="118"/>
    </row>
    <row r="551" ht="15.75" customHeight="1">
      <c r="I551" s="117"/>
      <c r="K551" s="117"/>
      <c r="L551" s="118"/>
    </row>
    <row r="552" ht="15.75" customHeight="1">
      <c r="I552" s="117"/>
      <c r="K552" s="117"/>
      <c r="L552" s="118"/>
    </row>
    <row r="553" ht="15.75" customHeight="1">
      <c r="I553" s="117"/>
      <c r="K553" s="117"/>
      <c r="L553" s="118"/>
    </row>
    <row r="554" ht="15.75" customHeight="1">
      <c r="I554" s="117"/>
      <c r="K554" s="117"/>
      <c r="L554" s="118"/>
    </row>
    <row r="555" ht="15.75" customHeight="1">
      <c r="I555" s="117"/>
      <c r="K555" s="117"/>
      <c r="L555" s="118"/>
    </row>
    <row r="556" ht="15.75" customHeight="1">
      <c r="I556" s="117"/>
      <c r="K556" s="117"/>
      <c r="L556" s="118"/>
    </row>
    <row r="557" ht="15.75" customHeight="1">
      <c r="I557" s="117"/>
      <c r="K557" s="117"/>
      <c r="L557" s="118"/>
    </row>
    <row r="558" ht="15.75" customHeight="1">
      <c r="I558" s="117"/>
      <c r="K558" s="117"/>
      <c r="L558" s="118"/>
    </row>
    <row r="559" ht="15.75" customHeight="1">
      <c r="I559" s="117"/>
      <c r="K559" s="117"/>
      <c r="L559" s="118"/>
    </row>
    <row r="560" ht="15.75" customHeight="1">
      <c r="I560" s="117"/>
      <c r="K560" s="117"/>
      <c r="L560" s="118"/>
    </row>
    <row r="561" ht="15.75" customHeight="1">
      <c r="I561" s="117"/>
      <c r="K561" s="117"/>
      <c r="L561" s="118"/>
    </row>
    <row r="562" ht="15.75" customHeight="1">
      <c r="I562" s="117"/>
      <c r="K562" s="117"/>
      <c r="L562" s="118"/>
    </row>
    <row r="563" ht="15.75" customHeight="1">
      <c r="I563" s="117"/>
      <c r="K563" s="117"/>
      <c r="L563" s="118"/>
    </row>
    <row r="564" ht="15.75" customHeight="1">
      <c r="I564" s="117"/>
      <c r="K564" s="117"/>
      <c r="L564" s="118"/>
    </row>
    <row r="565" ht="15.75" customHeight="1">
      <c r="I565" s="117"/>
      <c r="K565" s="117"/>
      <c r="L565" s="118"/>
    </row>
    <row r="566" ht="15.75" customHeight="1">
      <c r="I566" s="117"/>
      <c r="K566" s="117"/>
      <c r="L566" s="118"/>
    </row>
    <row r="567" ht="15.75" customHeight="1">
      <c r="I567" s="117"/>
      <c r="K567" s="117"/>
      <c r="L567" s="118"/>
    </row>
    <row r="568" ht="15.75" customHeight="1">
      <c r="I568" s="117"/>
      <c r="K568" s="117"/>
      <c r="L568" s="118"/>
    </row>
    <row r="569" ht="15.75" customHeight="1">
      <c r="I569" s="117"/>
      <c r="K569" s="117"/>
      <c r="L569" s="118"/>
    </row>
    <row r="570" ht="15.75" customHeight="1">
      <c r="I570" s="117"/>
      <c r="K570" s="117"/>
      <c r="L570" s="118"/>
    </row>
    <row r="571" ht="15.75" customHeight="1">
      <c r="I571" s="117"/>
      <c r="K571" s="117"/>
      <c r="L571" s="118"/>
    </row>
    <row r="572" ht="15.75" customHeight="1">
      <c r="I572" s="117"/>
      <c r="K572" s="117"/>
      <c r="L572" s="118"/>
    </row>
    <row r="573" ht="15.75" customHeight="1">
      <c r="I573" s="117"/>
      <c r="K573" s="117"/>
      <c r="L573" s="118"/>
    </row>
    <row r="574" ht="15.75" customHeight="1">
      <c r="I574" s="117"/>
      <c r="K574" s="117"/>
      <c r="L574" s="118"/>
    </row>
    <row r="575" ht="15.75" customHeight="1">
      <c r="I575" s="117"/>
      <c r="K575" s="117"/>
      <c r="L575" s="118"/>
    </row>
    <row r="576" ht="15.75" customHeight="1">
      <c r="I576" s="117"/>
      <c r="K576" s="117"/>
      <c r="L576" s="118"/>
    </row>
    <row r="577" ht="15.75" customHeight="1">
      <c r="I577" s="117"/>
      <c r="K577" s="117"/>
      <c r="L577" s="118"/>
    </row>
    <row r="578" ht="15.75" customHeight="1">
      <c r="I578" s="117"/>
      <c r="K578" s="117"/>
      <c r="L578" s="118"/>
    </row>
    <row r="579" ht="15.75" customHeight="1">
      <c r="I579" s="117"/>
      <c r="K579" s="117"/>
      <c r="L579" s="118"/>
    </row>
    <row r="580" ht="15.75" customHeight="1">
      <c r="I580" s="117"/>
      <c r="K580" s="117"/>
      <c r="L580" s="118"/>
    </row>
    <row r="581" ht="15.75" customHeight="1">
      <c r="I581" s="117"/>
      <c r="K581" s="117"/>
      <c r="L581" s="118"/>
    </row>
    <row r="582" ht="15.75" customHeight="1">
      <c r="I582" s="117"/>
      <c r="K582" s="117"/>
      <c r="L582" s="118"/>
    </row>
    <row r="583" ht="15.75" customHeight="1">
      <c r="I583" s="117"/>
      <c r="K583" s="117"/>
      <c r="L583" s="118"/>
    </row>
    <row r="584" ht="15.75" customHeight="1">
      <c r="I584" s="117"/>
      <c r="K584" s="117"/>
      <c r="L584" s="118"/>
    </row>
    <row r="585" ht="15.75" customHeight="1">
      <c r="I585" s="117"/>
      <c r="K585" s="117"/>
      <c r="L585" s="118"/>
    </row>
    <row r="586" ht="15.75" customHeight="1">
      <c r="I586" s="117"/>
      <c r="K586" s="117"/>
      <c r="L586" s="118"/>
    </row>
    <row r="587" ht="15.75" customHeight="1">
      <c r="I587" s="117"/>
      <c r="K587" s="117"/>
      <c r="L587" s="118"/>
    </row>
    <row r="588" ht="15.75" customHeight="1">
      <c r="I588" s="117"/>
      <c r="K588" s="117"/>
      <c r="L588" s="118"/>
    </row>
    <row r="589" ht="15.75" customHeight="1">
      <c r="I589" s="117"/>
      <c r="K589" s="117"/>
      <c r="L589" s="118"/>
    </row>
    <row r="590" ht="15.75" customHeight="1">
      <c r="I590" s="117"/>
      <c r="K590" s="117"/>
      <c r="L590" s="118"/>
    </row>
    <row r="591" ht="15.75" customHeight="1">
      <c r="I591" s="117"/>
      <c r="K591" s="117"/>
      <c r="L591" s="118"/>
    </row>
    <row r="592" ht="15.75" customHeight="1">
      <c r="I592" s="117"/>
      <c r="K592" s="117"/>
      <c r="L592" s="118"/>
    </row>
    <row r="593" ht="15.75" customHeight="1">
      <c r="I593" s="117"/>
      <c r="K593" s="117"/>
      <c r="L593" s="118"/>
    </row>
    <row r="594" ht="15.75" customHeight="1">
      <c r="I594" s="117"/>
      <c r="K594" s="117"/>
      <c r="L594" s="118"/>
    </row>
    <row r="595" ht="15.75" customHeight="1">
      <c r="I595" s="117"/>
      <c r="K595" s="117"/>
      <c r="L595" s="118"/>
    </row>
    <row r="596" ht="15.75" customHeight="1">
      <c r="I596" s="117"/>
      <c r="K596" s="117"/>
      <c r="L596" s="118"/>
    </row>
    <row r="597" ht="15.75" customHeight="1">
      <c r="I597" s="117"/>
      <c r="K597" s="117"/>
      <c r="L597" s="118"/>
    </row>
    <row r="598" ht="15.75" customHeight="1">
      <c r="I598" s="117"/>
      <c r="K598" s="117"/>
      <c r="L598" s="118"/>
    </row>
    <row r="599" ht="15.75" customHeight="1">
      <c r="I599" s="117"/>
      <c r="K599" s="117"/>
      <c r="L599" s="118"/>
    </row>
    <row r="600" ht="15.75" customHeight="1">
      <c r="I600" s="117"/>
      <c r="K600" s="117"/>
      <c r="L600" s="118"/>
    </row>
    <row r="601" ht="15.75" customHeight="1">
      <c r="I601" s="117"/>
      <c r="K601" s="117"/>
      <c r="L601" s="118"/>
    </row>
    <row r="602" ht="15.75" customHeight="1">
      <c r="I602" s="117"/>
      <c r="K602" s="117"/>
      <c r="L602" s="118"/>
    </row>
    <row r="603" ht="15.75" customHeight="1">
      <c r="I603" s="117"/>
      <c r="K603" s="117"/>
      <c r="L603" s="118"/>
    </row>
    <row r="604" ht="15.75" customHeight="1">
      <c r="I604" s="117"/>
      <c r="K604" s="117"/>
      <c r="L604" s="118"/>
    </row>
    <row r="605" ht="15.75" customHeight="1">
      <c r="I605" s="117"/>
      <c r="K605" s="117"/>
      <c r="L605" s="118"/>
    </row>
    <row r="606" ht="15.75" customHeight="1">
      <c r="I606" s="117"/>
      <c r="K606" s="117"/>
      <c r="L606" s="118"/>
    </row>
    <row r="607" ht="15.75" customHeight="1">
      <c r="I607" s="117"/>
      <c r="K607" s="117"/>
      <c r="L607" s="118"/>
    </row>
    <row r="608" ht="15.75" customHeight="1">
      <c r="I608" s="117"/>
      <c r="K608" s="117"/>
      <c r="L608" s="118"/>
    </row>
    <row r="609" ht="15.75" customHeight="1">
      <c r="I609" s="117"/>
      <c r="K609" s="117"/>
      <c r="L609" s="118"/>
    </row>
    <row r="610" ht="15.75" customHeight="1">
      <c r="I610" s="117"/>
      <c r="K610" s="117"/>
      <c r="L610" s="118"/>
    </row>
    <row r="611" ht="15.75" customHeight="1">
      <c r="I611" s="117"/>
      <c r="K611" s="117"/>
      <c r="L611" s="118"/>
    </row>
    <row r="612" ht="15.75" customHeight="1">
      <c r="I612" s="117"/>
      <c r="K612" s="117"/>
      <c r="L612" s="118"/>
    </row>
    <row r="613" ht="15.75" customHeight="1">
      <c r="I613" s="117"/>
      <c r="K613" s="117"/>
      <c r="L613" s="118"/>
    </row>
    <row r="614" ht="15.75" customHeight="1">
      <c r="I614" s="117"/>
      <c r="K614" s="117"/>
      <c r="L614" s="118"/>
    </row>
    <row r="615" ht="15.75" customHeight="1">
      <c r="I615" s="117"/>
      <c r="K615" s="117"/>
      <c r="L615" s="118"/>
    </row>
    <row r="616" ht="15.75" customHeight="1">
      <c r="I616" s="117"/>
      <c r="K616" s="117"/>
      <c r="L616" s="118"/>
    </row>
    <row r="617" ht="15.75" customHeight="1">
      <c r="I617" s="117"/>
      <c r="K617" s="117"/>
      <c r="L617" s="118"/>
    </row>
    <row r="618" ht="15.75" customHeight="1">
      <c r="I618" s="117"/>
      <c r="K618" s="117"/>
      <c r="L618" s="118"/>
    </row>
    <row r="619" ht="15.75" customHeight="1">
      <c r="I619" s="117"/>
      <c r="K619" s="117"/>
      <c r="L619" s="118"/>
    </row>
    <row r="620" ht="15.75" customHeight="1">
      <c r="I620" s="117"/>
      <c r="K620" s="117"/>
      <c r="L620" s="118"/>
    </row>
    <row r="621" ht="15.75" customHeight="1">
      <c r="I621" s="117"/>
      <c r="K621" s="117"/>
      <c r="L621" s="118"/>
    </row>
    <row r="622" ht="15.75" customHeight="1">
      <c r="I622" s="117"/>
      <c r="K622" s="117"/>
      <c r="L622" s="118"/>
    </row>
    <row r="623" ht="15.75" customHeight="1">
      <c r="I623" s="117"/>
      <c r="K623" s="117"/>
      <c r="L623" s="118"/>
    </row>
    <row r="624" ht="15.75" customHeight="1">
      <c r="I624" s="117"/>
      <c r="K624" s="117"/>
      <c r="L624" s="118"/>
    </row>
    <row r="625" ht="15.75" customHeight="1">
      <c r="I625" s="117"/>
      <c r="K625" s="117"/>
      <c r="L625" s="118"/>
    </row>
    <row r="626" ht="15.75" customHeight="1">
      <c r="I626" s="117"/>
      <c r="K626" s="117"/>
      <c r="L626" s="118"/>
    </row>
    <row r="627" ht="15.75" customHeight="1">
      <c r="I627" s="117"/>
      <c r="K627" s="117"/>
      <c r="L627" s="118"/>
    </row>
    <row r="628" ht="15.75" customHeight="1">
      <c r="I628" s="117"/>
      <c r="K628" s="117"/>
      <c r="L628" s="118"/>
    </row>
    <row r="629" ht="15.75" customHeight="1">
      <c r="I629" s="117"/>
      <c r="K629" s="117"/>
      <c r="L629" s="118"/>
    </row>
    <row r="630" ht="15.75" customHeight="1">
      <c r="I630" s="117"/>
      <c r="K630" s="117"/>
      <c r="L630" s="118"/>
    </row>
    <row r="631" ht="15.75" customHeight="1">
      <c r="I631" s="117"/>
      <c r="K631" s="117"/>
      <c r="L631" s="118"/>
    </row>
    <row r="632" ht="15.75" customHeight="1">
      <c r="I632" s="117"/>
      <c r="K632" s="117"/>
      <c r="L632" s="118"/>
    </row>
    <row r="633" ht="15.75" customHeight="1">
      <c r="I633" s="117"/>
      <c r="K633" s="117"/>
      <c r="L633" s="118"/>
    </row>
    <row r="634" ht="15.75" customHeight="1">
      <c r="I634" s="117"/>
      <c r="K634" s="117"/>
      <c r="L634" s="118"/>
    </row>
    <row r="635" ht="15.75" customHeight="1">
      <c r="I635" s="117"/>
      <c r="K635" s="117"/>
      <c r="L635" s="118"/>
    </row>
    <row r="636" ht="15.75" customHeight="1">
      <c r="I636" s="117"/>
      <c r="K636" s="117"/>
      <c r="L636" s="118"/>
    </row>
    <row r="637" ht="15.75" customHeight="1">
      <c r="I637" s="117"/>
      <c r="K637" s="117"/>
      <c r="L637" s="118"/>
    </row>
    <row r="638" ht="15.75" customHeight="1">
      <c r="I638" s="117"/>
      <c r="K638" s="117"/>
      <c r="L638" s="118"/>
    </row>
    <row r="639" ht="15.75" customHeight="1">
      <c r="I639" s="117"/>
      <c r="K639" s="117"/>
      <c r="L639" s="118"/>
    </row>
    <row r="640" ht="15.75" customHeight="1">
      <c r="I640" s="117"/>
      <c r="K640" s="117"/>
      <c r="L640" s="118"/>
    </row>
    <row r="641" ht="15.75" customHeight="1">
      <c r="I641" s="117"/>
      <c r="K641" s="117"/>
      <c r="L641" s="118"/>
    </row>
    <row r="642" ht="15.75" customHeight="1">
      <c r="I642" s="117"/>
      <c r="K642" s="117"/>
      <c r="L642" s="118"/>
    </row>
    <row r="643" ht="15.75" customHeight="1">
      <c r="I643" s="117"/>
      <c r="K643" s="117"/>
      <c r="L643" s="118"/>
    </row>
    <row r="644" ht="15.75" customHeight="1">
      <c r="I644" s="117"/>
      <c r="K644" s="117"/>
      <c r="L644" s="118"/>
    </row>
    <row r="645" ht="15.75" customHeight="1">
      <c r="I645" s="117"/>
      <c r="K645" s="117"/>
      <c r="L645" s="118"/>
    </row>
    <row r="646" ht="15.75" customHeight="1">
      <c r="I646" s="117"/>
      <c r="K646" s="117"/>
      <c r="L646" s="118"/>
    </row>
    <row r="647" ht="15.75" customHeight="1">
      <c r="I647" s="117"/>
      <c r="K647" s="117"/>
      <c r="L647" s="118"/>
    </row>
    <row r="648" ht="15.75" customHeight="1">
      <c r="I648" s="117"/>
      <c r="K648" s="117"/>
      <c r="L648" s="118"/>
    </row>
    <row r="649" ht="15.75" customHeight="1">
      <c r="I649" s="117"/>
      <c r="K649" s="117"/>
      <c r="L649" s="118"/>
    </row>
    <row r="650" ht="15.75" customHeight="1">
      <c r="I650" s="117"/>
      <c r="K650" s="117"/>
      <c r="L650" s="118"/>
    </row>
    <row r="651" ht="15.75" customHeight="1">
      <c r="I651" s="117"/>
      <c r="K651" s="117"/>
      <c r="L651" s="118"/>
    </row>
    <row r="652" ht="15.75" customHeight="1">
      <c r="I652" s="117"/>
      <c r="K652" s="117"/>
      <c r="L652" s="118"/>
    </row>
    <row r="653" ht="15.75" customHeight="1">
      <c r="I653" s="117"/>
      <c r="K653" s="117"/>
      <c r="L653" s="118"/>
    </row>
    <row r="654" ht="15.75" customHeight="1">
      <c r="I654" s="117"/>
      <c r="K654" s="117"/>
      <c r="L654" s="118"/>
    </row>
    <row r="655" ht="15.75" customHeight="1">
      <c r="I655" s="117"/>
      <c r="K655" s="117"/>
      <c r="L655" s="118"/>
    </row>
    <row r="656" ht="15.75" customHeight="1">
      <c r="I656" s="117"/>
      <c r="K656" s="117"/>
      <c r="L656" s="118"/>
    </row>
    <row r="657" ht="15.75" customHeight="1">
      <c r="I657" s="117"/>
      <c r="K657" s="117"/>
      <c r="L657" s="118"/>
    </row>
    <row r="658" ht="15.75" customHeight="1">
      <c r="I658" s="117"/>
      <c r="K658" s="117"/>
      <c r="L658" s="118"/>
    </row>
    <row r="659" ht="15.75" customHeight="1">
      <c r="I659" s="117"/>
      <c r="K659" s="117"/>
      <c r="L659" s="118"/>
    </row>
    <row r="660" ht="15.75" customHeight="1">
      <c r="I660" s="117"/>
      <c r="K660" s="117"/>
      <c r="L660" s="118"/>
    </row>
    <row r="661" ht="15.75" customHeight="1">
      <c r="I661" s="117"/>
      <c r="K661" s="117"/>
      <c r="L661" s="118"/>
    </row>
    <row r="662" ht="15.75" customHeight="1">
      <c r="I662" s="117"/>
      <c r="K662" s="117"/>
      <c r="L662" s="118"/>
    </row>
    <row r="663" ht="15.75" customHeight="1">
      <c r="I663" s="117"/>
      <c r="K663" s="117"/>
      <c r="L663" s="118"/>
    </row>
    <row r="664" ht="15.75" customHeight="1">
      <c r="I664" s="117"/>
      <c r="K664" s="117"/>
      <c r="L664" s="118"/>
    </row>
    <row r="665" ht="15.75" customHeight="1">
      <c r="I665" s="117"/>
      <c r="K665" s="117"/>
      <c r="L665" s="118"/>
    </row>
    <row r="666" ht="15.75" customHeight="1">
      <c r="I666" s="117"/>
      <c r="K666" s="117"/>
      <c r="L666" s="118"/>
    </row>
    <row r="667" ht="15.75" customHeight="1">
      <c r="I667" s="117"/>
      <c r="K667" s="117"/>
      <c r="L667" s="118"/>
    </row>
    <row r="668" ht="15.75" customHeight="1">
      <c r="I668" s="117"/>
      <c r="K668" s="117"/>
      <c r="L668" s="118"/>
    </row>
    <row r="669" ht="15.75" customHeight="1">
      <c r="I669" s="117"/>
      <c r="K669" s="117"/>
      <c r="L669" s="118"/>
    </row>
    <row r="670" ht="15.75" customHeight="1">
      <c r="I670" s="117"/>
      <c r="K670" s="117"/>
      <c r="L670" s="118"/>
    </row>
    <row r="671" ht="15.75" customHeight="1">
      <c r="I671" s="117"/>
      <c r="K671" s="117"/>
      <c r="L671" s="118"/>
    </row>
    <row r="672" ht="15.75" customHeight="1">
      <c r="I672" s="117"/>
      <c r="K672" s="117"/>
      <c r="L672" s="118"/>
    </row>
    <row r="673" ht="15.75" customHeight="1">
      <c r="I673" s="117"/>
      <c r="K673" s="117"/>
      <c r="L673" s="118"/>
    </row>
    <row r="674" ht="15.75" customHeight="1">
      <c r="I674" s="117"/>
      <c r="K674" s="117"/>
      <c r="L674" s="118"/>
    </row>
    <row r="675" ht="15.75" customHeight="1">
      <c r="I675" s="117"/>
      <c r="K675" s="117"/>
      <c r="L675" s="118"/>
    </row>
    <row r="676" ht="15.75" customHeight="1">
      <c r="I676" s="117"/>
      <c r="K676" s="117"/>
      <c r="L676" s="118"/>
    </row>
    <row r="677" ht="15.75" customHeight="1">
      <c r="I677" s="117"/>
      <c r="K677" s="117"/>
      <c r="L677" s="118"/>
    </row>
    <row r="678" ht="15.75" customHeight="1">
      <c r="I678" s="117"/>
      <c r="K678" s="117"/>
      <c r="L678" s="118"/>
    </row>
    <row r="679" ht="15.75" customHeight="1">
      <c r="I679" s="117"/>
      <c r="K679" s="117"/>
      <c r="L679" s="118"/>
    </row>
    <row r="680" ht="15.75" customHeight="1">
      <c r="I680" s="117"/>
      <c r="K680" s="117"/>
      <c r="L680" s="118"/>
    </row>
    <row r="681" ht="15.75" customHeight="1">
      <c r="I681" s="117"/>
      <c r="K681" s="117"/>
      <c r="L681" s="118"/>
    </row>
    <row r="682" ht="15.75" customHeight="1">
      <c r="I682" s="117"/>
      <c r="K682" s="117"/>
      <c r="L682" s="118"/>
    </row>
    <row r="683" ht="15.75" customHeight="1">
      <c r="I683" s="117"/>
      <c r="K683" s="117"/>
      <c r="L683" s="118"/>
    </row>
    <row r="684" ht="15.75" customHeight="1">
      <c r="I684" s="117"/>
      <c r="K684" s="117"/>
      <c r="L684" s="118"/>
    </row>
    <row r="685" ht="15.75" customHeight="1">
      <c r="I685" s="117"/>
      <c r="K685" s="117"/>
      <c r="L685" s="118"/>
    </row>
    <row r="686" ht="15.75" customHeight="1">
      <c r="I686" s="117"/>
      <c r="K686" s="117"/>
      <c r="L686" s="118"/>
    </row>
    <row r="687" ht="15.75" customHeight="1">
      <c r="I687" s="117"/>
      <c r="K687" s="117"/>
      <c r="L687" s="118"/>
    </row>
    <row r="688" ht="15.75" customHeight="1">
      <c r="I688" s="117"/>
      <c r="K688" s="117"/>
      <c r="L688" s="118"/>
    </row>
    <row r="689" ht="15.75" customHeight="1">
      <c r="I689" s="117"/>
      <c r="K689" s="117"/>
      <c r="L689" s="118"/>
    </row>
    <row r="690" ht="15.75" customHeight="1">
      <c r="I690" s="117"/>
      <c r="K690" s="117"/>
      <c r="L690" s="118"/>
    </row>
    <row r="691" ht="15.75" customHeight="1">
      <c r="I691" s="117"/>
      <c r="K691" s="117"/>
      <c r="L691" s="118"/>
    </row>
    <row r="692" ht="15.75" customHeight="1">
      <c r="I692" s="117"/>
      <c r="K692" s="117"/>
      <c r="L692" s="118"/>
    </row>
    <row r="693" ht="15.75" customHeight="1">
      <c r="I693" s="117"/>
      <c r="K693" s="117"/>
      <c r="L693" s="118"/>
    </row>
    <row r="694" ht="15.75" customHeight="1">
      <c r="I694" s="117"/>
      <c r="K694" s="117"/>
      <c r="L694" s="118"/>
    </row>
    <row r="695" ht="15.75" customHeight="1">
      <c r="I695" s="117"/>
      <c r="K695" s="117"/>
      <c r="L695" s="118"/>
    </row>
    <row r="696" ht="15.75" customHeight="1">
      <c r="I696" s="117"/>
      <c r="K696" s="117"/>
      <c r="L696" s="118"/>
    </row>
    <row r="697" ht="15.75" customHeight="1">
      <c r="I697" s="117"/>
      <c r="K697" s="117"/>
      <c r="L697" s="118"/>
    </row>
    <row r="698" ht="15.75" customHeight="1">
      <c r="I698" s="117"/>
      <c r="K698" s="117"/>
      <c r="L698" s="118"/>
    </row>
    <row r="699" ht="15.75" customHeight="1">
      <c r="I699" s="117"/>
      <c r="K699" s="117"/>
      <c r="L699" s="118"/>
    </row>
    <row r="700" ht="15.75" customHeight="1">
      <c r="I700" s="117"/>
      <c r="K700" s="117"/>
      <c r="L700" s="118"/>
    </row>
    <row r="701" ht="15.75" customHeight="1">
      <c r="I701" s="117"/>
      <c r="K701" s="117"/>
      <c r="L701" s="118"/>
    </row>
    <row r="702" ht="15.75" customHeight="1">
      <c r="I702" s="117"/>
      <c r="K702" s="117"/>
      <c r="L702" s="118"/>
    </row>
    <row r="703" ht="15.75" customHeight="1">
      <c r="I703" s="117"/>
      <c r="K703" s="117"/>
      <c r="L703" s="118"/>
    </row>
    <row r="704" ht="15.75" customHeight="1">
      <c r="I704" s="117"/>
      <c r="K704" s="117"/>
      <c r="L704" s="118"/>
    </row>
    <row r="705" ht="15.75" customHeight="1">
      <c r="I705" s="117"/>
      <c r="K705" s="117"/>
      <c r="L705" s="118"/>
    </row>
    <row r="706" ht="15.75" customHeight="1">
      <c r="I706" s="117"/>
      <c r="K706" s="117"/>
      <c r="L706" s="118"/>
    </row>
    <row r="707" ht="15.75" customHeight="1">
      <c r="I707" s="117"/>
      <c r="K707" s="117"/>
      <c r="L707" s="118"/>
    </row>
    <row r="708" ht="15.75" customHeight="1">
      <c r="I708" s="117"/>
      <c r="K708" s="117"/>
      <c r="L708" s="118"/>
    </row>
    <row r="709" ht="15.75" customHeight="1">
      <c r="I709" s="117"/>
      <c r="K709" s="117"/>
      <c r="L709" s="118"/>
    </row>
    <row r="710" ht="15.75" customHeight="1">
      <c r="I710" s="117"/>
      <c r="K710" s="117"/>
      <c r="L710" s="118"/>
    </row>
    <row r="711" ht="15.75" customHeight="1">
      <c r="I711" s="117"/>
      <c r="K711" s="117"/>
      <c r="L711" s="118"/>
    </row>
    <row r="712" ht="15.75" customHeight="1">
      <c r="I712" s="117"/>
      <c r="K712" s="117"/>
      <c r="L712" s="118"/>
    </row>
    <row r="713" ht="15.75" customHeight="1">
      <c r="I713" s="117"/>
      <c r="K713" s="117"/>
      <c r="L713" s="118"/>
    </row>
    <row r="714" ht="15.75" customHeight="1">
      <c r="I714" s="117"/>
      <c r="K714" s="117"/>
      <c r="L714" s="118"/>
    </row>
    <row r="715" ht="15.75" customHeight="1">
      <c r="I715" s="117"/>
      <c r="K715" s="117"/>
      <c r="L715" s="118"/>
    </row>
    <row r="716" ht="15.75" customHeight="1">
      <c r="I716" s="117"/>
      <c r="K716" s="117"/>
      <c r="L716" s="118"/>
    </row>
    <row r="717" ht="15.75" customHeight="1">
      <c r="I717" s="117"/>
      <c r="K717" s="117"/>
      <c r="L717" s="118"/>
    </row>
    <row r="718" ht="15.75" customHeight="1">
      <c r="I718" s="117"/>
      <c r="K718" s="117"/>
      <c r="L718" s="118"/>
    </row>
    <row r="719" ht="15.75" customHeight="1">
      <c r="I719" s="117"/>
      <c r="K719" s="117"/>
      <c r="L719" s="118"/>
    </row>
    <row r="720" ht="15.75" customHeight="1">
      <c r="I720" s="117"/>
      <c r="K720" s="117"/>
      <c r="L720" s="118"/>
    </row>
    <row r="721" ht="15.75" customHeight="1">
      <c r="I721" s="117"/>
      <c r="K721" s="117"/>
      <c r="L721" s="118"/>
    </row>
    <row r="722" ht="15.75" customHeight="1">
      <c r="I722" s="117"/>
      <c r="K722" s="117"/>
      <c r="L722" s="118"/>
    </row>
    <row r="723" ht="15.75" customHeight="1">
      <c r="I723" s="117"/>
      <c r="K723" s="117"/>
      <c r="L723" s="118"/>
    </row>
    <row r="724" ht="15.75" customHeight="1">
      <c r="I724" s="117"/>
      <c r="K724" s="117"/>
      <c r="L724" s="118"/>
    </row>
    <row r="725" ht="15.75" customHeight="1">
      <c r="I725" s="117"/>
      <c r="K725" s="117"/>
      <c r="L725" s="118"/>
    </row>
    <row r="726" ht="15.75" customHeight="1">
      <c r="I726" s="117"/>
      <c r="K726" s="117"/>
      <c r="L726" s="118"/>
    </row>
    <row r="727" ht="15.75" customHeight="1">
      <c r="I727" s="117"/>
      <c r="K727" s="117"/>
      <c r="L727" s="118"/>
    </row>
    <row r="728" ht="15.75" customHeight="1">
      <c r="I728" s="117"/>
      <c r="K728" s="117"/>
      <c r="L728" s="118"/>
    </row>
    <row r="729" ht="15.75" customHeight="1">
      <c r="I729" s="117"/>
      <c r="K729" s="117"/>
      <c r="L729" s="118"/>
    </row>
    <row r="730" ht="15.75" customHeight="1">
      <c r="I730" s="117"/>
      <c r="K730" s="117"/>
      <c r="L730" s="118"/>
    </row>
    <row r="731" ht="15.75" customHeight="1">
      <c r="I731" s="117"/>
      <c r="K731" s="117"/>
      <c r="L731" s="118"/>
    </row>
    <row r="732" ht="15.75" customHeight="1">
      <c r="I732" s="117"/>
      <c r="K732" s="117"/>
      <c r="L732" s="118"/>
    </row>
    <row r="733" ht="15.75" customHeight="1">
      <c r="I733" s="117"/>
      <c r="K733" s="117"/>
      <c r="L733" s="118"/>
    </row>
    <row r="734" ht="15.75" customHeight="1">
      <c r="I734" s="117"/>
      <c r="K734" s="117"/>
      <c r="L734" s="118"/>
    </row>
    <row r="735" ht="15.75" customHeight="1">
      <c r="I735" s="117"/>
      <c r="K735" s="117"/>
      <c r="L735" s="118"/>
    </row>
    <row r="736" ht="15.75" customHeight="1">
      <c r="I736" s="117"/>
      <c r="K736" s="117"/>
      <c r="L736" s="118"/>
    </row>
    <row r="737" ht="15.75" customHeight="1">
      <c r="I737" s="117"/>
      <c r="K737" s="117"/>
      <c r="L737" s="118"/>
    </row>
    <row r="738" ht="15.75" customHeight="1">
      <c r="I738" s="117"/>
      <c r="K738" s="117"/>
      <c r="L738" s="118"/>
    </row>
    <row r="739" ht="15.75" customHeight="1">
      <c r="I739" s="117"/>
      <c r="K739" s="117"/>
      <c r="L739" s="118"/>
    </row>
    <row r="740" ht="15.75" customHeight="1">
      <c r="I740" s="117"/>
      <c r="K740" s="117"/>
      <c r="L740" s="118"/>
    </row>
    <row r="741" ht="15.75" customHeight="1">
      <c r="I741" s="117"/>
      <c r="K741" s="117"/>
      <c r="L741" s="118"/>
    </row>
    <row r="742" ht="15.75" customHeight="1">
      <c r="I742" s="117"/>
      <c r="K742" s="117"/>
      <c r="L742" s="118"/>
    </row>
    <row r="743" ht="15.75" customHeight="1">
      <c r="I743" s="117"/>
      <c r="K743" s="117"/>
      <c r="L743" s="118"/>
    </row>
    <row r="744" ht="15.75" customHeight="1">
      <c r="I744" s="117"/>
      <c r="K744" s="117"/>
      <c r="L744" s="118"/>
    </row>
    <row r="745" ht="15.75" customHeight="1">
      <c r="I745" s="117"/>
      <c r="K745" s="117"/>
      <c r="L745" s="118"/>
    </row>
    <row r="746" ht="15.75" customHeight="1">
      <c r="I746" s="117"/>
      <c r="K746" s="117"/>
      <c r="L746" s="118"/>
    </row>
    <row r="747" ht="15.75" customHeight="1">
      <c r="I747" s="117"/>
      <c r="K747" s="117"/>
      <c r="L747" s="118"/>
    </row>
    <row r="748" ht="15.75" customHeight="1">
      <c r="I748" s="117"/>
      <c r="K748" s="117"/>
      <c r="L748" s="118"/>
    </row>
    <row r="749" ht="15.75" customHeight="1">
      <c r="I749" s="117"/>
      <c r="K749" s="117"/>
      <c r="L749" s="118"/>
    </row>
    <row r="750" ht="15.75" customHeight="1">
      <c r="I750" s="117"/>
      <c r="K750" s="117"/>
      <c r="L750" s="118"/>
    </row>
    <row r="751" ht="15.75" customHeight="1">
      <c r="I751" s="117"/>
      <c r="K751" s="117"/>
      <c r="L751" s="118"/>
    </row>
    <row r="752" ht="15.75" customHeight="1">
      <c r="I752" s="117"/>
      <c r="K752" s="117"/>
      <c r="L752" s="118"/>
    </row>
    <row r="753" ht="15.75" customHeight="1">
      <c r="I753" s="117"/>
      <c r="K753" s="117"/>
      <c r="L753" s="118"/>
    </row>
    <row r="754" ht="15.75" customHeight="1">
      <c r="I754" s="117"/>
      <c r="K754" s="117"/>
      <c r="L754" s="118"/>
    </row>
    <row r="755" ht="15.75" customHeight="1">
      <c r="I755" s="117"/>
      <c r="K755" s="117"/>
      <c r="L755" s="118"/>
    </row>
    <row r="756" ht="15.75" customHeight="1">
      <c r="I756" s="117"/>
      <c r="K756" s="117"/>
      <c r="L756" s="118"/>
    </row>
    <row r="757" ht="15.75" customHeight="1">
      <c r="I757" s="117"/>
      <c r="K757" s="117"/>
      <c r="L757" s="118"/>
    </row>
    <row r="758" ht="15.75" customHeight="1">
      <c r="I758" s="117"/>
      <c r="K758" s="117"/>
      <c r="L758" s="118"/>
    </row>
    <row r="759" ht="15.75" customHeight="1">
      <c r="I759" s="117"/>
      <c r="K759" s="117"/>
      <c r="L759" s="118"/>
    </row>
    <row r="760" ht="15.75" customHeight="1">
      <c r="I760" s="117"/>
      <c r="K760" s="117"/>
      <c r="L760" s="118"/>
    </row>
    <row r="761" ht="15.75" customHeight="1">
      <c r="I761" s="117"/>
      <c r="K761" s="117"/>
      <c r="L761" s="118"/>
    </row>
    <row r="762" ht="15.75" customHeight="1">
      <c r="I762" s="117"/>
      <c r="K762" s="117"/>
      <c r="L762" s="118"/>
    </row>
    <row r="763" ht="15.75" customHeight="1">
      <c r="I763" s="117"/>
      <c r="K763" s="117"/>
      <c r="L763" s="118"/>
    </row>
    <row r="764" ht="15.75" customHeight="1">
      <c r="I764" s="117"/>
      <c r="K764" s="117"/>
      <c r="L764" s="118"/>
    </row>
    <row r="765" ht="15.75" customHeight="1">
      <c r="I765" s="117"/>
      <c r="K765" s="117"/>
      <c r="L765" s="118"/>
    </row>
    <row r="766" ht="15.75" customHeight="1">
      <c r="I766" s="117"/>
      <c r="K766" s="117"/>
      <c r="L766" s="118"/>
    </row>
    <row r="767" ht="15.75" customHeight="1">
      <c r="I767" s="117"/>
      <c r="K767" s="117"/>
      <c r="L767" s="118"/>
    </row>
    <row r="768" ht="15.75" customHeight="1">
      <c r="I768" s="117"/>
      <c r="K768" s="117"/>
      <c r="L768" s="118"/>
    </row>
    <row r="769" ht="15.75" customHeight="1">
      <c r="I769" s="117"/>
      <c r="K769" s="117"/>
      <c r="L769" s="118"/>
    </row>
    <row r="770" ht="15.75" customHeight="1">
      <c r="I770" s="117"/>
      <c r="K770" s="117"/>
      <c r="L770" s="118"/>
    </row>
    <row r="771" ht="15.75" customHeight="1">
      <c r="I771" s="117"/>
      <c r="K771" s="117"/>
      <c r="L771" s="118"/>
    </row>
    <row r="772" ht="15.75" customHeight="1">
      <c r="I772" s="117"/>
      <c r="K772" s="117"/>
      <c r="L772" s="118"/>
    </row>
    <row r="773" ht="15.75" customHeight="1">
      <c r="I773" s="117"/>
      <c r="K773" s="117"/>
      <c r="L773" s="118"/>
    </row>
    <row r="774" ht="15.75" customHeight="1">
      <c r="I774" s="117"/>
      <c r="K774" s="117"/>
      <c r="L774" s="118"/>
    </row>
    <row r="775" ht="15.75" customHeight="1">
      <c r="I775" s="117"/>
      <c r="K775" s="117"/>
      <c r="L775" s="118"/>
    </row>
    <row r="776" ht="15.75" customHeight="1">
      <c r="I776" s="117"/>
      <c r="K776" s="117"/>
      <c r="L776" s="118"/>
    </row>
    <row r="777" ht="15.75" customHeight="1">
      <c r="I777" s="117"/>
      <c r="K777" s="117"/>
      <c r="L777" s="118"/>
    </row>
    <row r="778" ht="15.75" customHeight="1">
      <c r="I778" s="117"/>
      <c r="K778" s="117"/>
      <c r="L778" s="118"/>
    </row>
    <row r="779" ht="15.75" customHeight="1">
      <c r="I779" s="117"/>
      <c r="K779" s="117"/>
      <c r="L779" s="118"/>
    </row>
    <row r="780" ht="15.75" customHeight="1">
      <c r="I780" s="117"/>
      <c r="K780" s="117"/>
      <c r="L780" s="118"/>
    </row>
    <row r="781" ht="15.75" customHeight="1">
      <c r="I781" s="117"/>
      <c r="K781" s="117"/>
      <c r="L781" s="118"/>
    </row>
    <row r="782" ht="15.75" customHeight="1">
      <c r="I782" s="117"/>
      <c r="K782" s="117"/>
      <c r="L782" s="118"/>
    </row>
    <row r="783" ht="15.75" customHeight="1">
      <c r="I783" s="117"/>
      <c r="K783" s="117"/>
      <c r="L783" s="118"/>
    </row>
    <row r="784" ht="15.75" customHeight="1">
      <c r="I784" s="117"/>
      <c r="K784" s="117"/>
      <c r="L784" s="118"/>
    </row>
    <row r="785" ht="15.75" customHeight="1">
      <c r="I785" s="117"/>
      <c r="K785" s="117"/>
      <c r="L785" s="118"/>
    </row>
    <row r="786" ht="15.75" customHeight="1">
      <c r="I786" s="117"/>
      <c r="K786" s="117"/>
      <c r="L786" s="118"/>
    </row>
    <row r="787" ht="15.75" customHeight="1">
      <c r="I787" s="117"/>
      <c r="K787" s="117"/>
      <c r="L787" s="118"/>
    </row>
    <row r="788" ht="15.75" customHeight="1">
      <c r="I788" s="117"/>
      <c r="K788" s="117"/>
      <c r="L788" s="118"/>
    </row>
    <row r="789" ht="15.75" customHeight="1">
      <c r="I789" s="117"/>
      <c r="K789" s="117"/>
      <c r="L789" s="118"/>
    </row>
    <row r="790" ht="15.75" customHeight="1">
      <c r="I790" s="117"/>
      <c r="K790" s="117"/>
      <c r="L790" s="118"/>
    </row>
    <row r="791" ht="15.75" customHeight="1">
      <c r="I791" s="117"/>
      <c r="K791" s="117"/>
      <c r="L791" s="118"/>
    </row>
    <row r="792" ht="15.75" customHeight="1">
      <c r="I792" s="117"/>
      <c r="K792" s="117"/>
      <c r="L792" s="118"/>
    </row>
    <row r="793" ht="15.75" customHeight="1">
      <c r="I793" s="117"/>
      <c r="K793" s="117"/>
      <c r="L793" s="118"/>
    </row>
    <row r="794" ht="15.75" customHeight="1">
      <c r="I794" s="117"/>
      <c r="K794" s="117"/>
      <c r="L794" s="118"/>
    </row>
    <row r="795" ht="15.75" customHeight="1">
      <c r="I795" s="117"/>
      <c r="K795" s="117"/>
      <c r="L795" s="118"/>
    </row>
    <row r="796" ht="15.75" customHeight="1">
      <c r="I796" s="117"/>
      <c r="K796" s="117"/>
      <c r="L796" s="118"/>
    </row>
    <row r="797" ht="15.75" customHeight="1">
      <c r="I797" s="117"/>
      <c r="K797" s="117"/>
      <c r="L797" s="118"/>
    </row>
    <row r="798" ht="15.75" customHeight="1">
      <c r="I798" s="117"/>
      <c r="K798" s="117"/>
      <c r="L798" s="118"/>
    </row>
    <row r="799" ht="15.75" customHeight="1">
      <c r="I799" s="117"/>
      <c r="K799" s="117"/>
      <c r="L799" s="118"/>
    </row>
    <row r="800" ht="15.75" customHeight="1">
      <c r="I800" s="117"/>
      <c r="K800" s="117"/>
      <c r="L800" s="118"/>
    </row>
    <row r="801" ht="15.75" customHeight="1">
      <c r="I801" s="117"/>
      <c r="K801" s="117"/>
      <c r="L801" s="118"/>
    </row>
    <row r="802" ht="15.75" customHeight="1">
      <c r="I802" s="117"/>
      <c r="K802" s="117"/>
      <c r="L802" s="118"/>
    </row>
    <row r="803" ht="15.75" customHeight="1">
      <c r="I803" s="117"/>
      <c r="K803" s="117"/>
      <c r="L803" s="118"/>
    </row>
    <row r="804" ht="15.75" customHeight="1">
      <c r="I804" s="117"/>
      <c r="K804" s="117"/>
      <c r="L804" s="118"/>
    </row>
    <row r="805" ht="15.75" customHeight="1">
      <c r="I805" s="117"/>
      <c r="K805" s="117"/>
      <c r="L805" s="118"/>
    </row>
    <row r="806" ht="15.75" customHeight="1">
      <c r="I806" s="117"/>
      <c r="K806" s="117"/>
      <c r="L806" s="118"/>
    </row>
    <row r="807" ht="15.75" customHeight="1">
      <c r="I807" s="117"/>
      <c r="K807" s="117"/>
      <c r="L807" s="118"/>
    </row>
    <row r="808" ht="15.75" customHeight="1">
      <c r="I808" s="117"/>
      <c r="K808" s="117"/>
      <c r="L808" s="118"/>
    </row>
    <row r="809" ht="15.75" customHeight="1">
      <c r="I809" s="117"/>
      <c r="K809" s="117"/>
      <c r="L809" s="118"/>
    </row>
    <row r="810" ht="15.75" customHeight="1">
      <c r="I810" s="117"/>
      <c r="K810" s="117"/>
      <c r="L810" s="118"/>
    </row>
    <row r="811" ht="15.75" customHeight="1">
      <c r="I811" s="117"/>
      <c r="K811" s="117"/>
      <c r="L811" s="118"/>
    </row>
    <row r="812" ht="15.75" customHeight="1">
      <c r="I812" s="117"/>
      <c r="K812" s="117"/>
      <c r="L812" s="118"/>
    </row>
    <row r="813" ht="15.75" customHeight="1">
      <c r="I813" s="117"/>
      <c r="K813" s="117"/>
      <c r="L813" s="118"/>
    </row>
    <row r="814" ht="15.75" customHeight="1">
      <c r="I814" s="117"/>
      <c r="K814" s="117"/>
      <c r="L814" s="118"/>
    </row>
    <row r="815" ht="15.75" customHeight="1">
      <c r="I815" s="117"/>
      <c r="K815" s="117"/>
      <c r="L815" s="118"/>
    </row>
    <row r="816" ht="15.75" customHeight="1">
      <c r="I816" s="117"/>
      <c r="K816" s="117"/>
      <c r="L816" s="118"/>
    </row>
    <row r="817" ht="15.75" customHeight="1">
      <c r="I817" s="117"/>
      <c r="K817" s="117"/>
      <c r="L817" s="118"/>
    </row>
    <row r="818" ht="15.75" customHeight="1">
      <c r="I818" s="117"/>
      <c r="K818" s="117"/>
      <c r="L818" s="118"/>
    </row>
    <row r="819" ht="15.75" customHeight="1">
      <c r="I819" s="117"/>
      <c r="K819" s="117"/>
      <c r="L819" s="118"/>
    </row>
    <row r="820" ht="15.75" customHeight="1">
      <c r="I820" s="117"/>
      <c r="K820" s="117"/>
      <c r="L820" s="118"/>
    </row>
    <row r="821" ht="15.75" customHeight="1">
      <c r="I821" s="117"/>
      <c r="K821" s="117"/>
      <c r="L821" s="118"/>
    </row>
    <row r="822" ht="15.75" customHeight="1">
      <c r="I822" s="117"/>
      <c r="K822" s="117"/>
      <c r="L822" s="118"/>
    </row>
    <row r="823" ht="15.75" customHeight="1">
      <c r="I823" s="117"/>
      <c r="K823" s="117"/>
      <c r="L823" s="118"/>
    </row>
    <row r="824" ht="15.75" customHeight="1">
      <c r="I824" s="117"/>
      <c r="K824" s="117"/>
      <c r="L824" s="118"/>
    </row>
    <row r="825" ht="15.75" customHeight="1">
      <c r="I825" s="117"/>
      <c r="K825" s="117"/>
      <c r="L825" s="118"/>
    </row>
    <row r="826" ht="15.75" customHeight="1">
      <c r="I826" s="117"/>
      <c r="K826" s="117"/>
      <c r="L826" s="118"/>
    </row>
    <row r="827" ht="15.75" customHeight="1">
      <c r="I827" s="117"/>
      <c r="K827" s="117"/>
      <c r="L827" s="118"/>
    </row>
    <row r="828" ht="15.75" customHeight="1">
      <c r="I828" s="117"/>
      <c r="K828" s="117"/>
      <c r="L828" s="118"/>
    </row>
    <row r="829" ht="15.75" customHeight="1">
      <c r="I829" s="117"/>
      <c r="K829" s="117"/>
      <c r="L829" s="118"/>
    </row>
    <row r="830" ht="15.75" customHeight="1">
      <c r="I830" s="117"/>
      <c r="K830" s="117"/>
      <c r="L830" s="118"/>
    </row>
    <row r="831" ht="15.75" customHeight="1">
      <c r="I831" s="117"/>
      <c r="K831" s="117"/>
      <c r="L831" s="118"/>
    </row>
    <row r="832" ht="15.75" customHeight="1">
      <c r="I832" s="117"/>
      <c r="K832" s="117"/>
      <c r="L832" s="118"/>
    </row>
    <row r="833" ht="15.75" customHeight="1">
      <c r="I833" s="117"/>
      <c r="K833" s="117"/>
      <c r="L833" s="118"/>
    </row>
    <row r="834" ht="15.75" customHeight="1">
      <c r="I834" s="117"/>
      <c r="K834" s="117"/>
      <c r="L834" s="118"/>
    </row>
    <row r="835" ht="15.75" customHeight="1">
      <c r="I835" s="117"/>
      <c r="K835" s="117"/>
      <c r="L835" s="118"/>
    </row>
    <row r="836" ht="15.75" customHeight="1">
      <c r="I836" s="117"/>
      <c r="K836" s="117"/>
      <c r="L836" s="118"/>
    </row>
    <row r="837" ht="15.75" customHeight="1">
      <c r="I837" s="117"/>
      <c r="K837" s="117"/>
      <c r="L837" s="118"/>
    </row>
    <row r="838" ht="15.75" customHeight="1">
      <c r="I838" s="117"/>
      <c r="K838" s="117"/>
      <c r="L838" s="118"/>
    </row>
    <row r="839" ht="15.75" customHeight="1">
      <c r="I839" s="117"/>
      <c r="K839" s="117"/>
      <c r="L839" s="118"/>
    </row>
    <row r="840" ht="15.75" customHeight="1">
      <c r="I840" s="117"/>
      <c r="K840" s="117"/>
      <c r="L840" s="118"/>
    </row>
    <row r="841" ht="15.75" customHeight="1">
      <c r="I841" s="117"/>
      <c r="K841" s="117"/>
      <c r="L841" s="118"/>
    </row>
    <row r="842" ht="15.75" customHeight="1">
      <c r="I842" s="117"/>
      <c r="K842" s="117"/>
      <c r="L842" s="118"/>
    </row>
    <row r="843" ht="15.75" customHeight="1">
      <c r="I843" s="117"/>
      <c r="K843" s="117"/>
      <c r="L843" s="118"/>
    </row>
    <row r="844" ht="15.75" customHeight="1">
      <c r="I844" s="117"/>
      <c r="K844" s="117"/>
      <c r="L844" s="118"/>
    </row>
    <row r="845" ht="15.75" customHeight="1">
      <c r="I845" s="117"/>
      <c r="K845" s="117"/>
      <c r="L845" s="118"/>
    </row>
    <row r="846" ht="15.75" customHeight="1">
      <c r="I846" s="117"/>
      <c r="K846" s="117"/>
      <c r="L846" s="118"/>
    </row>
    <row r="847" ht="15.75" customHeight="1">
      <c r="I847" s="117"/>
      <c r="K847" s="117"/>
      <c r="L847" s="118"/>
    </row>
    <row r="848" ht="15.75" customHeight="1">
      <c r="I848" s="117"/>
      <c r="K848" s="117"/>
      <c r="L848" s="118"/>
    </row>
    <row r="849" ht="15.75" customHeight="1">
      <c r="I849" s="117"/>
      <c r="K849" s="117"/>
      <c r="L849" s="118"/>
    </row>
    <row r="850" ht="15.75" customHeight="1">
      <c r="I850" s="117"/>
      <c r="K850" s="117"/>
      <c r="L850" s="118"/>
    </row>
    <row r="851" ht="15.75" customHeight="1">
      <c r="I851" s="117"/>
      <c r="K851" s="117"/>
      <c r="L851" s="118"/>
    </row>
    <row r="852" ht="15.75" customHeight="1">
      <c r="I852" s="117"/>
      <c r="K852" s="117"/>
      <c r="L852" s="118"/>
    </row>
    <row r="853" ht="15.75" customHeight="1">
      <c r="I853" s="117"/>
      <c r="K853" s="117"/>
      <c r="L853" s="118"/>
    </row>
    <row r="854" ht="15.75" customHeight="1">
      <c r="I854" s="117"/>
      <c r="K854" s="117"/>
      <c r="L854" s="118"/>
    </row>
    <row r="855" ht="15.75" customHeight="1">
      <c r="I855" s="117"/>
      <c r="K855" s="117"/>
      <c r="L855" s="118"/>
    </row>
    <row r="856" ht="15.75" customHeight="1">
      <c r="I856" s="117"/>
      <c r="K856" s="117"/>
      <c r="L856" s="118"/>
    </row>
    <row r="857" ht="15.75" customHeight="1">
      <c r="I857" s="117"/>
      <c r="K857" s="117"/>
      <c r="L857" s="118"/>
    </row>
    <row r="858" ht="15.75" customHeight="1">
      <c r="I858" s="117"/>
      <c r="K858" s="117"/>
      <c r="L858" s="118"/>
    </row>
    <row r="859" ht="15.75" customHeight="1">
      <c r="I859" s="117"/>
      <c r="K859" s="117"/>
      <c r="L859" s="118"/>
    </row>
    <row r="860" ht="15.75" customHeight="1">
      <c r="I860" s="117"/>
      <c r="K860" s="117"/>
      <c r="L860" s="118"/>
    </row>
    <row r="861" ht="15.75" customHeight="1">
      <c r="I861" s="117"/>
      <c r="K861" s="117"/>
      <c r="L861" s="118"/>
    </row>
    <row r="862" ht="15.75" customHeight="1">
      <c r="I862" s="117"/>
      <c r="K862" s="117"/>
      <c r="L862" s="118"/>
    </row>
    <row r="863" ht="15.75" customHeight="1">
      <c r="I863" s="117"/>
      <c r="K863" s="117"/>
      <c r="L863" s="118"/>
    </row>
    <row r="864" ht="15.75" customHeight="1">
      <c r="I864" s="117"/>
      <c r="K864" s="117"/>
      <c r="L864" s="118"/>
    </row>
    <row r="865" ht="15.75" customHeight="1">
      <c r="I865" s="117"/>
      <c r="K865" s="117"/>
      <c r="L865" s="118"/>
    </row>
    <row r="866" ht="15.75" customHeight="1">
      <c r="I866" s="117"/>
      <c r="K866" s="117"/>
      <c r="L866" s="118"/>
    </row>
    <row r="867" ht="15.75" customHeight="1">
      <c r="I867" s="117"/>
      <c r="K867" s="117"/>
      <c r="L867" s="118"/>
    </row>
    <row r="868" ht="15.75" customHeight="1">
      <c r="I868" s="117"/>
      <c r="K868" s="117"/>
      <c r="L868" s="118"/>
    </row>
    <row r="869" ht="15.75" customHeight="1">
      <c r="I869" s="117"/>
      <c r="K869" s="117"/>
      <c r="L869" s="118"/>
    </row>
    <row r="870" ht="15.75" customHeight="1">
      <c r="I870" s="117"/>
      <c r="K870" s="117"/>
      <c r="L870" s="118"/>
    </row>
    <row r="871" ht="15.75" customHeight="1">
      <c r="I871" s="117"/>
      <c r="K871" s="117"/>
      <c r="L871" s="118"/>
    </row>
    <row r="872" ht="15.75" customHeight="1">
      <c r="I872" s="117"/>
      <c r="K872" s="117"/>
      <c r="L872" s="118"/>
    </row>
    <row r="873" ht="15.75" customHeight="1">
      <c r="I873" s="117"/>
      <c r="K873" s="117"/>
      <c r="L873" s="118"/>
    </row>
    <row r="874" ht="15.75" customHeight="1">
      <c r="I874" s="117"/>
      <c r="K874" s="117"/>
      <c r="L874" s="118"/>
    </row>
    <row r="875" ht="15.75" customHeight="1">
      <c r="I875" s="117"/>
      <c r="K875" s="117"/>
      <c r="L875" s="118"/>
    </row>
    <row r="876" ht="15.75" customHeight="1">
      <c r="I876" s="117"/>
      <c r="K876" s="117"/>
      <c r="L876" s="118"/>
    </row>
    <row r="877" ht="15.75" customHeight="1">
      <c r="I877" s="117"/>
      <c r="K877" s="117"/>
      <c r="L877" s="118"/>
    </row>
    <row r="878" ht="15.75" customHeight="1">
      <c r="I878" s="117"/>
      <c r="K878" s="117"/>
      <c r="L878" s="118"/>
    </row>
    <row r="879" ht="15.75" customHeight="1">
      <c r="I879" s="117"/>
      <c r="K879" s="117"/>
      <c r="L879" s="118"/>
    </row>
    <row r="880" ht="15.75" customHeight="1">
      <c r="I880" s="117"/>
      <c r="K880" s="117"/>
      <c r="L880" s="118"/>
    </row>
    <row r="881" ht="15.75" customHeight="1">
      <c r="I881" s="117"/>
      <c r="K881" s="117"/>
      <c r="L881" s="118"/>
    </row>
    <row r="882" ht="15.75" customHeight="1">
      <c r="I882" s="117"/>
      <c r="K882" s="117"/>
      <c r="L882" s="118"/>
    </row>
    <row r="883" ht="15.75" customHeight="1">
      <c r="I883" s="117"/>
      <c r="K883" s="117"/>
      <c r="L883" s="118"/>
    </row>
    <row r="884" ht="15.75" customHeight="1">
      <c r="I884" s="117"/>
      <c r="K884" s="117"/>
      <c r="L884" s="118"/>
    </row>
    <row r="885" ht="15.75" customHeight="1">
      <c r="I885" s="117"/>
      <c r="K885" s="117"/>
      <c r="L885" s="118"/>
    </row>
    <row r="886" ht="15.75" customHeight="1">
      <c r="I886" s="117"/>
      <c r="K886" s="117"/>
      <c r="L886" s="118"/>
    </row>
    <row r="887" ht="15.75" customHeight="1">
      <c r="I887" s="117"/>
      <c r="K887" s="117"/>
      <c r="L887" s="118"/>
    </row>
    <row r="888" ht="15.75" customHeight="1">
      <c r="I888" s="117"/>
      <c r="K888" s="117"/>
      <c r="L888" s="118"/>
    </row>
    <row r="889" ht="15.75" customHeight="1">
      <c r="I889" s="117"/>
      <c r="K889" s="117"/>
      <c r="L889" s="118"/>
    </row>
    <row r="890" ht="15.75" customHeight="1">
      <c r="I890" s="117"/>
      <c r="K890" s="117"/>
      <c r="L890" s="118"/>
    </row>
    <row r="891" ht="15.75" customHeight="1">
      <c r="I891" s="117"/>
      <c r="K891" s="117"/>
      <c r="L891" s="118"/>
    </row>
    <row r="892" ht="15.75" customHeight="1">
      <c r="I892" s="117"/>
      <c r="K892" s="117"/>
      <c r="L892" s="118"/>
    </row>
    <row r="893" ht="15.75" customHeight="1">
      <c r="I893" s="117"/>
      <c r="K893" s="117"/>
      <c r="L893" s="118"/>
    </row>
    <row r="894" ht="15.75" customHeight="1">
      <c r="I894" s="117"/>
      <c r="K894" s="117"/>
      <c r="L894" s="118"/>
    </row>
    <row r="895" ht="15.75" customHeight="1">
      <c r="I895" s="117"/>
      <c r="K895" s="117"/>
      <c r="L895" s="118"/>
    </row>
    <row r="896" ht="15.75" customHeight="1">
      <c r="I896" s="117"/>
      <c r="K896" s="117"/>
      <c r="L896" s="118"/>
    </row>
    <row r="897" ht="15.75" customHeight="1">
      <c r="I897" s="117"/>
      <c r="K897" s="117"/>
      <c r="L897" s="118"/>
    </row>
    <row r="898" ht="15.75" customHeight="1">
      <c r="I898" s="117"/>
      <c r="K898" s="117"/>
      <c r="L898" s="118"/>
    </row>
    <row r="899" ht="15.75" customHeight="1">
      <c r="I899" s="117"/>
      <c r="K899" s="117"/>
      <c r="L899" s="118"/>
    </row>
    <row r="900" ht="15.75" customHeight="1">
      <c r="I900" s="117"/>
      <c r="K900" s="117"/>
      <c r="L900" s="118"/>
    </row>
    <row r="901" ht="15.75" customHeight="1">
      <c r="I901" s="117"/>
      <c r="K901" s="117"/>
      <c r="L901" s="118"/>
    </row>
    <row r="902" ht="15.75" customHeight="1">
      <c r="I902" s="117"/>
      <c r="K902" s="117"/>
      <c r="L902" s="118"/>
    </row>
    <row r="903" ht="15.75" customHeight="1">
      <c r="I903" s="117"/>
      <c r="K903" s="117"/>
      <c r="L903" s="118"/>
    </row>
    <row r="904" ht="15.75" customHeight="1">
      <c r="I904" s="117"/>
      <c r="K904" s="117"/>
      <c r="L904" s="118"/>
    </row>
    <row r="905" ht="15.75" customHeight="1">
      <c r="I905" s="117"/>
      <c r="K905" s="117"/>
      <c r="L905" s="118"/>
    </row>
    <row r="906" ht="15.75" customHeight="1">
      <c r="I906" s="117"/>
      <c r="K906" s="117"/>
      <c r="L906" s="118"/>
    </row>
    <row r="907" ht="15.75" customHeight="1">
      <c r="I907" s="117"/>
      <c r="K907" s="117"/>
      <c r="L907" s="118"/>
    </row>
    <row r="908" ht="15.75" customHeight="1">
      <c r="I908" s="117"/>
      <c r="K908" s="117"/>
      <c r="L908" s="118"/>
    </row>
    <row r="909" ht="15.75" customHeight="1">
      <c r="I909" s="117"/>
      <c r="K909" s="117"/>
      <c r="L909" s="118"/>
    </row>
    <row r="910" ht="15.75" customHeight="1">
      <c r="I910" s="117"/>
      <c r="K910" s="117"/>
      <c r="L910" s="118"/>
    </row>
    <row r="911" ht="15.75" customHeight="1">
      <c r="I911" s="117"/>
      <c r="K911" s="117"/>
      <c r="L911" s="118"/>
    </row>
    <row r="912" ht="15.75" customHeight="1">
      <c r="I912" s="117"/>
      <c r="K912" s="117"/>
      <c r="L912" s="118"/>
    </row>
    <row r="913" ht="15.75" customHeight="1">
      <c r="I913" s="117"/>
      <c r="K913" s="117"/>
      <c r="L913" s="118"/>
    </row>
    <row r="914" ht="15.75" customHeight="1">
      <c r="I914" s="117"/>
      <c r="K914" s="117"/>
      <c r="L914" s="118"/>
    </row>
    <row r="915" ht="15.75" customHeight="1">
      <c r="I915" s="117"/>
      <c r="K915" s="117"/>
      <c r="L915" s="118"/>
    </row>
    <row r="916" ht="15.75" customHeight="1">
      <c r="I916" s="117"/>
      <c r="K916" s="117"/>
      <c r="L916" s="118"/>
    </row>
    <row r="917" ht="15.75" customHeight="1">
      <c r="I917" s="117"/>
      <c r="K917" s="117"/>
      <c r="L917" s="118"/>
    </row>
    <row r="918" ht="15.75" customHeight="1">
      <c r="I918" s="117"/>
      <c r="K918" s="117"/>
      <c r="L918" s="118"/>
    </row>
    <row r="919" ht="15.75" customHeight="1">
      <c r="I919" s="117"/>
      <c r="K919" s="117"/>
      <c r="L919" s="118"/>
    </row>
    <row r="920" ht="15.75" customHeight="1">
      <c r="I920" s="117"/>
      <c r="K920" s="117"/>
      <c r="L920" s="118"/>
    </row>
    <row r="921" ht="15.75" customHeight="1">
      <c r="I921" s="117"/>
      <c r="K921" s="117"/>
      <c r="L921" s="118"/>
    </row>
    <row r="922" ht="15.75" customHeight="1">
      <c r="I922" s="117"/>
      <c r="K922" s="117"/>
      <c r="L922" s="118"/>
    </row>
    <row r="923" ht="15.75" customHeight="1">
      <c r="I923" s="117"/>
      <c r="K923" s="117"/>
      <c r="L923" s="118"/>
    </row>
    <row r="924" ht="15.75" customHeight="1">
      <c r="I924" s="117"/>
      <c r="K924" s="117"/>
      <c r="L924" s="118"/>
    </row>
    <row r="925" ht="15.75" customHeight="1">
      <c r="I925" s="117"/>
      <c r="K925" s="117"/>
      <c r="L925" s="118"/>
    </row>
    <row r="926" ht="15.75" customHeight="1">
      <c r="I926" s="117"/>
      <c r="K926" s="117"/>
      <c r="L926" s="118"/>
    </row>
    <row r="927" ht="15.75" customHeight="1">
      <c r="I927" s="117"/>
      <c r="K927" s="117"/>
      <c r="L927" s="118"/>
    </row>
    <row r="928" ht="15.75" customHeight="1">
      <c r="I928" s="117"/>
      <c r="K928" s="117"/>
      <c r="L928" s="118"/>
    </row>
    <row r="929" ht="15.75" customHeight="1">
      <c r="I929" s="117"/>
      <c r="K929" s="117"/>
      <c r="L929" s="118"/>
    </row>
    <row r="930" ht="15.75" customHeight="1">
      <c r="I930" s="117"/>
      <c r="K930" s="117"/>
      <c r="L930" s="118"/>
    </row>
    <row r="931" ht="15.75" customHeight="1">
      <c r="I931" s="117"/>
      <c r="K931" s="117"/>
      <c r="L931" s="118"/>
    </row>
    <row r="932" ht="15.75" customHeight="1">
      <c r="I932" s="117"/>
      <c r="K932" s="117"/>
      <c r="L932" s="118"/>
    </row>
    <row r="933" ht="15.75" customHeight="1">
      <c r="I933" s="117"/>
      <c r="K933" s="117"/>
      <c r="L933" s="118"/>
    </row>
    <row r="934" ht="15.75" customHeight="1">
      <c r="I934" s="117"/>
      <c r="K934" s="117"/>
      <c r="L934" s="118"/>
    </row>
    <row r="935" ht="15.75" customHeight="1">
      <c r="I935" s="117"/>
      <c r="K935" s="117"/>
      <c r="L935" s="118"/>
    </row>
    <row r="936" ht="15.75" customHeight="1">
      <c r="I936" s="117"/>
      <c r="K936" s="117"/>
      <c r="L936" s="118"/>
    </row>
    <row r="937" ht="15.75" customHeight="1">
      <c r="I937" s="117"/>
      <c r="K937" s="117"/>
      <c r="L937" s="118"/>
    </row>
    <row r="938" ht="15.75" customHeight="1">
      <c r="I938" s="117"/>
      <c r="K938" s="117"/>
      <c r="L938" s="118"/>
    </row>
    <row r="939" ht="15.75" customHeight="1">
      <c r="I939" s="117"/>
      <c r="K939" s="117"/>
      <c r="L939" s="118"/>
    </row>
    <row r="940" ht="15.75" customHeight="1">
      <c r="I940" s="117"/>
      <c r="K940" s="117"/>
      <c r="L940" s="118"/>
    </row>
    <row r="941" ht="15.75" customHeight="1">
      <c r="I941" s="117"/>
      <c r="K941" s="117"/>
      <c r="L941" s="118"/>
    </row>
    <row r="942" ht="15.75" customHeight="1">
      <c r="I942" s="117"/>
      <c r="K942" s="117"/>
      <c r="L942" s="118"/>
    </row>
    <row r="943" ht="15.75" customHeight="1">
      <c r="I943" s="117"/>
      <c r="K943" s="117"/>
      <c r="L943" s="118"/>
    </row>
    <row r="944" ht="15.75" customHeight="1">
      <c r="I944" s="117"/>
      <c r="K944" s="117"/>
      <c r="L944" s="118"/>
    </row>
    <row r="945" ht="15.75" customHeight="1">
      <c r="I945" s="117"/>
      <c r="K945" s="117"/>
      <c r="L945" s="118"/>
    </row>
    <row r="946" ht="15.75" customHeight="1">
      <c r="I946" s="117"/>
      <c r="K946" s="117"/>
      <c r="L946" s="118"/>
    </row>
    <row r="947" ht="15.75" customHeight="1">
      <c r="I947" s="117"/>
      <c r="K947" s="117"/>
      <c r="L947" s="118"/>
    </row>
    <row r="948" ht="15.75" customHeight="1">
      <c r="I948" s="117"/>
      <c r="K948" s="117"/>
      <c r="L948" s="118"/>
    </row>
    <row r="949" ht="15.75" customHeight="1">
      <c r="I949" s="117"/>
      <c r="K949" s="117"/>
      <c r="L949" s="118"/>
    </row>
    <row r="950" ht="15.75" customHeight="1">
      <c r="I950" s="117"/>
      <c r="K950" s="117"/>
      <c r="L950" s="118"/>
    </row>
    <row r="951" ht="15.75" customHeight="1">
      <c r="I951" s="117"/>
      <c r="K951" s="117"/>
      <c r="L951" s="118"/>
    </row>
    <row r="952" ht="15.75" customHeight="1">
      <c r="I952" s="117"/>
      <c r="K952" s="117"/>
      <c r="L952" s="118"/>
    </row>
    <row r="953" ht="15.75" customHeight="1">
      <c r="I953" s="117"/>
      <c r="K953" s="117"/>
      <c r="L953" s="118"/>
    </row>
    <row r="954" ht="15.75" customHeight="1">
      <c r="I954" s="117"/>
      <c r="K954" s="117"/>
      <c r="L954" s="118"/>
    </row>
    <row r="955" ht="15.75" customHeight="1">
      <c r="I955" s="117"/>
      <c r="K955" s="117"/>
      <c r="L955" s="118"/>
    </row>
    <row r="956" ht="15.75" customHeight="1">
      <c r="I956" s="117"/>
      <c r="K956" s="117"/>
      <c r="L956" s="118"/>
    </row>
    <row r="957" ht="15.75" customHeight="1">
      <c r="I957" s="117"/>
      <c r="K957" s="117"/>
      <c r="L957" s="118"/>
    </row>
    <row r="958" ht="15.75" customHeight="1">
      <c r="I958" s="117"/>
      <c r="K958" s="117"/>
      <c r="L958" s="118"/>
    </row>
    <row r="959" ht="15.75" customHeight="1">
      <c r="I959" s="117"/>
      <c r="K959" s="117"/>
      <c r="L959" s="118"/>
    </row>
    <row r="960" ht="15.75" customHeight="1">
      <c r="I960" s="117"/>
      <c r="K960" s="117"/>
      <c r="L960" s="118"/>
    </row>
    <row r="961" ht="15.75" customHeight="1">
      <c r="I961" s="117"/>
      <c r="K961" s="117"/>
      <c r="L961" s="118"/>
    </row>
    <row r="962" ht="15.75" customHeight="1">
      <c r="I962" s="117"/>
      <c r="K962" s="117"/>
      <c r="L962" s="118"/>
    </row>
    <row r="963" ht="15.75" customHeight="1">
      <c r="I963" s="117"/>
      <c r="K963" s="117"/>
      <c r="L963" s="118"/>
    </row>
    <row r="964" ht="15.75" customHeight="1">
      <c r="I964" s="117"/>
      <c r="K964" s="117"/>
      <c r="L964" s="118"/>
    </row>
    <row r="965" ht="15.75" customHeight="1">
      <c r="I965" s="117"/>
      <c r="K965" s="117"/>
      <c r="L965" s="118"/>
    </row>
    <row r="966" ht="15.75" customHeight="1">
      <c r="I966" s="117"/>
      <c r="K966" s="117"/>
      <c r="L966" s="118"/>
    </row>
    <row r="967" ht="15.75" customHeight="1">
      <c r="I967" s="117"/>
      <c r="K967" s="117"/>
      <c r="L967" s="118"/>
    </row>
    <row r="968" ht="15.75" customHeight="1">
      <c r="I968" s="117"/>
      <c r="K968" s="117"/>
      <c r="L968" s="118"/>
    </row>
    <row r="969" ht="15.75" customHeight="1">
      <c r="I969" s="117"/>
      <c r="K969" s="117"/>
      <c r="L969" s="118"/>
    </row>
    <row r="970" ht="15.75" customHeight="1">
      <c r="I970" s="117"/>
      <c r="K970" s="117"/>
      <c r="L970" s="118"/>
    </row>
    <row r="971" ht="15.75" customHeight="1">
      <c r="I971" s="117"/>
      <c r="K971" s="117"/>
      <c r="L971" s="118"/>
    </row>
    <row r="972" ht="15.75" customHeight="1">
      <c r="I972" s="117"/>
      <c r="K972" s="117"/>
      <c r="L972" s="118"/>
    </row>
    <row r="973" ht="15.75" customHeight="1">
      <c r="I973" s="117"/>
      <c r="K973" s="117"/>
      <c r="L973" s="118"/>
    </row>
    <row r="974" ht="15.75" customHeight="1">
      <c r="I974" s="117"/>
      <c r="K974" s="117"/>
      <c r="L974" s="118"/>
    </row>
    <row r="975" ht="15.75" customHeight="1">
      <c r="I975" s="117"/>
      <c r="K975" s="117"/>
      <c r="L975" s="118"/>
    </row>
    <row r="976" ht="15.75" customHeight="1">
      <c r="I976" s="117"/>
      <c r="K976" s="117"/>
      <c r="L976" s="118"/>
    </row>
    <row r="977" ht="15.75" customHeight="1">
      <c r="I977" s="117"/>
      <c r="K977" s="117"/>
      <c r="L977" s="118"/>
    </row>
    <row r="978" ht="15.75" customHeight="1">
      <c r="I978" s="117"/>
      <c r="K978" s="117"/>
      <c r="L978" s="118"/>
    </row>
    <row r="979" ht="15.75" customHeight="1">
      <c r="I979" s="117"/>
      <c r="K979" s="117"/>
      <c r="L979" s="118"/>
    </row>
    <row r="980" ht="15.75" customHeight="1">
      <c r="I980" s="117"/>
      <c r="K980" s="117"/>
      <c r="L980" s="118"/>
    </row>
    <row r="981" ht="15.75" customHeight="1">
      <c r="I981" s="117"/>
      <c r="K981" s="117"/>
      <c r="L981" s="118"/>
    </row>
    <row r="982" ht="15.75" customHeight="1">
      <c r="I982" s="117"/>
      <c r="K982" s="117"/>
      <c r="L982" s="118"/>
    </row>
    <row r="983" ht="15.75" customHeight="1">
      <c r="I983" s="117"/>
      <c r="K983" s="117"/>
      <c r="L983" s="118"/>
    </row>
    <row r="984" ht="15.75" customHeight="1">
      <c r="I984" s="117"/>
      <c r="K984" s="117"/>
      <c r="L984" s="118"/>
    </row>
    <row r="985" ht="15.75" customHeight="1">
      <c r="I985" s="117"/>
      <c r="K985" s="117"/>
      <c r="L985" s="118"/>
    </row>
    <row r="986" ht="15.75" customHeight="1">
      <c r="I986" s="117"/>
      <c r="K986" s="117"/>
      <c r="L986" s="118"/>
    </row>
    <row r="987" ht="15.75" customHeight="1">
      <c r="I987" s="117"/>
      <c r="K987" s="117"/>
      <c r="L987" s="118"/>
    </row>
    <row r="988" ht="15.75" customHeight="1">
      <c r="I988" s="117"/>
      <c r="K988" s="117"/>
      <c r="L988" s="118"/>
    </row>
    <row r="989" ht="15.75" customHeight="1">
      <c r="I989" s="117"/>
      <c r="K989" s="117"/>
      <c r="L989" s="118"/>
    </row>
    <row r="990" ht="15.75" customHeight="1">
      <c r="I990" s="117"/>
      <c r="K990" s="117"/>
      <c r="L990" s="118"/>
    </row>
    <row r="991" ht="15.75" customHeight="1">
      <c r="I991" s="117"/>
      <c r="K991" s="117"/>
      <c r="L991" s="118"/>
    </row>
    <row r="992" ht="15.75" customHeight="1">
      <c r="I992" s="117"/>
      <c r="K992" s="117"/>
      <c r="L992" s="118"/>
    </row>
    <row r="993" ht="15.75" customHeight="1">
      <c r="I993" s="117"/>
      <c r="K993" s="117"/>
      <c r="L993" s="118"/>
    </row>
    <row r="994" ht="15.75" customHeight="1">
      <c r="I994" s="117"/>
      <c r="K994" s="117"/>
      <c r="L994" s="118"/>
    </row>
    <row r="995" ht="15.75" customHeight="1">
      <c r="I995" s="117"/>
      <c r="K995" s="117"/>
      <c r="L995" s="118"/>
    </row>
    <row r="996" ht="15.75" customHeight="1">
      <c r="I996" s="117"/>
      <c r="K996" s="117"/>
      <c r="L996" s="118"/>
    </row>
    <row r="997" ht="15.75" customHeight="1">
      <c r="I997" s="117"/>
      <c r="K997" s="117"/>
      <c r="L997" s="118"/>
    </row>
    <row r="998" ht="15.75" customHeight="1">
      <c r="I998" s="117"/>
      <c r="K998" s="117"/>
      <c r="L998" s="118"/>
    </row>
    <row r="999" ht="15.75" customHeight="1">
      <c r="I999" s="117"/>
      <c r="K999" s="117"/>
      <c r="L999" s="118"/>
    </row>
    <row r="1000" ht="15.75" customHeight="1">
      <c r="I1000" s="117"/>
      <c r="K1000" s="117"/>
      <c r="L1000" s="118"/>
    </row>
    <row r="1001" ht="15.75" customHeight="1">
      <c r="I1001" s="117"/>
      <c r="K1001" s="117"/>
      <c r="L1001" s="118"/>
    </row>
    <row r="1002" ht="15.75" customHeight="1">
      <c r="I1002" s="117"/>
      <c r="K1002" s="117"/>
      <c r="L1002" s="118"/>
    </row>
    <row r="1003" ht="15.75" customHeight="1">
      <c r="I1003" s="117"/>
      <c r="K1003" s="117"/>
      <c r="L1003" s="118"/>
    </row>
    <row r="1004" ht="15.75" customHeight="1">
      <c r="I1004" s="117"/>
      <c r="K1004" s="117"/>
      <c r="L1004" s="118"/>
    </row>
    <row r="1005" ht="15.75" customHeight="1">
      <c r="I1005" s="117"/>
      <c r="K1005" s="117"/>
      <c r="L1005" s="118"/>
    </row>
    <row r="1006" ht="15.75" customHeight="1">
      <c r="I1006" s="117"/>
      <c r="K1006" s="117"/>
      <c r="L1006" s="118"/>
    </row>
    <row r="1007" ht="15.75" customHeight="1">
      <c r="I1007" s="117"/>
      <c r="K1007" s="117"/>
      <c r="L1007" s="118"/>
    </row>
    <row r="1008" ht="15.75" customHeight="1">
      <c r="I1008" s="117"/>
      <c r="K1008" s="117"/>
      <c r="L1008" s="118"/>
    </row>
    <row r="1009" ht="15.75" customHeight="1">
      <c r="I1009" s="117"/>
      <c r="K1009" s="117"/>
      <c r="L1009" s="118"/>
    </row>
    <row r="1010" ht="15.75" customHeight="1">
      <c r="I1010" s="117"/>
      <c r="K1010" s="117"/>
      <c r="L1010" s="118"/>
    </row>
    <row r="1011" ht="15.75" customHeight="1">
      <c r="I1011" s="117"/>
      <c r="K1011" s="117"/>
      <c r="L1011" s="118"/>
    </row>
    <row r="1012" ht="15.75" customHeight="1">
      <c r="I1012" s="117"/>
      <c r="K1012" s="117"/>
      <c r="L1012" s="118"/>
    </row>
    <row r="1013" ht="15.75" customHeight="1">
      <c r="I1013" s="117"/>
      <c r="K1013" s="117"/>
      <c r="L1013" s="118"/>
    </row>
    <row r="1014" ht="15.75" customHeight="1">
      <c r="I1014" s="117"/>
      <c r="K1014" s="117"/>
      <c r="L1014" s="118"/>
    </row>
    <row r="1015" ht="15.75" customHeight="1">
      <c r="I1015" s="117"/>
      <c r="K1015" s="117"/>
      <c r="L1015" s="118"/>
    </row>
    <row r="1016" ht="15.75" customHeight="1">
      <c r="I1016" s="117"/>
      <c r="K1016" s="117"/>
      <c r="L1016" s="118"/>
    </row>
    <row r="1017" ht="15.75" customHeight="1">
      <c r="I1017" s="117"/>
      <c r="K1017" s="117"/>
      <c r="L1017" s="118"/>
    </row>
    <row r="1018" ht="15.75" customHeight="1">
      <c r="I1018" s="117"/>
      <c r="K1018" s="117"/>
      <c r="L1018" s="118"/>
    </row>
    <row r="1019" ht="15.75" customHeight="1">
      <c r="I1019" s="117"/>
      <c r="K1019" s="117"/>
      <c r="L1019" s="118"/>
    </row>
    <row r="1020" ht="15.75" customHeight="1">
      <c r="I1020" s="117"/>
      <c r="K1020" s="117"/>
      <c r="L1020" s="118"/>
    </row>
    <row r="1021" ht="15.75" customHeight="1">
      <c r="I1021" s="117"/>
      <c r="K1021" s="117"/>
      <c r="L1021" s="118"/>
    </row>
    <row r="1022" ht="15.75" customHeight="1">
      <c r="I1022" s="117"/>
      <c r="K1022" s="117"/>
      <c r="L1022" s="118"/>
    </row>
    <row r="1023" ht="15.75" customHeight="1">
      <c r="I1023" s="117"/>
      <c r="K1023" s="117"/>
      <c r="L1023" s="118"/>
    </row>
    <row r="1024" ht="15.75" customHeight="1">
      <c r="I1024" s="117"/>
      <c r="K1024" s="117"/>
      <c r="L1024" s="118"/>
    </row>
    <row r="1025" ht="15.75" customHeight="1">
      <c r="I1025" s="117"/>
      <c r="K1025" s="117"/>
      <c r="L1025" s="118"/>
    </row>
    <row r="1026" ht="15.75" customHeight="1">
      <c r="I1026" s="117"/>
      <c r="K1026" s="117"/>
      <c r="L1026" s="118"/>
    </row>
    <row r="1027" ht="15.75" customHeight="1">
      <c r="I1027" s="117"/>
      <c r="K1027" s="117"/>
      <c r="L1027" s="118"/>
    </row>
    <row r="1028" ht="15.75" customHeight="1">
      <c r="I1028" s="117"/>
      <c r="K1028" s="117"/>
      <c r="L1028" s="118"/>
    </row>
    <row r="1029" ht="15.75" customHeight="1">
      <c r="I1029" s="117"/>
      <c r="K1029" s="117"/>
      <c r="L1029" s="118"/>
    </row>
    <row r="1030" ht="15.75" customHeight="1">
      <c r="I1030" s="117"/>
      <c r="K1030" s="117"/>
      <c r="L1030" s="118"/>
    </row>
    <row r="1031" ht="15.75" customHeight="1">
      <c r="I1031" s="117"/>
      <c r="K1031" s="117"/>
      <c r="L1031" s="118"/>
    </row>
    <row r="1032" ht="15.75" customHeight="1">
      <c r="I1032" s="117"/>
      <c r="K1032" s="117"/>
      <c r="L1032" s="118"/>
    </row>
    <row r="1033" ht="15.75" customHeight="1">
      <c r="I1033" s="117"/>
      <c r="K1033" s="117"/>
      <c r="L1033" s="118"/>
    </row>
  </sheetData>
  <mergeCells count="30">
    <mergeCell ref="H4:H9"/>
    <mergeCell ref="I4:I9"/>
    <mergeCell ref="J4:J9"/>
    <mergeCell ref="K4:K9"/>
    <mergeCell ref="L4:L9"/>
    <mergeCell ref="M4:M9"/>
    <mergeCell ref="A4:A9"/>
    <mergeCell ref="B4:B9"/>
    <mergeCell ref="C4:C9"/>
    <mergeCell ref="D4:D9"/>
    <mergeCell ref="E4:E9"/>
    <mergeCell ref="F4:F9"/>
    <mergeCell ref="G4:G9"/>
    <mergeCell ref="A10:B10"/>
    <mergeCell ref="A26:B26"/>
    <mergeCell ref="A40:B40"/>
    <mergeCell ref="A46:B46"/>
    <mergeCell ref="A66:B66"/>
    <mergeCell ref="A72:B72"/>
    <mergeCell ref="A77:B77"/>
    <mergeCell ref="A124:A126"/>
    <mergeCell ref="A128:A130"/>
    <mergeCell ref="A131:A133"/>
    <mergeCell ref="A81:B81"/>
    <mergeCell ref="A88:B88"/>
    <mergeCell ref="A93:B93"/>
    <mergeCell ref="A96:B96"/>
    <mergeCell ref="A115:A117"/>
    <mergeCell ref="A118:A120"/>
    <mergeCell ref="A121:A123"/>
  </mergeCells>
  <conditionalFormatting sqref="F11:F25 F27:F39 F41:F45 F47:F100">
    <cfRule type="cellIs" dxfId="8" priority="1" operator="equal">
      <formula>"Positive"</formula>
    </cfRule>
  </conditionalFormatting>
  <conditionalFormatting sqref="F11:F25 F27:F39 F41:F45 F47:F100">
    <cfRule type="containsText" dxfId="9" priority="2" operator="containsText" text="Negative">
      <formula>NOT(ISERROR(SEARCH(("Negative"),(F11))))</formula>
    </cfRule>
  </conditionalFormatting>
  <conditionalFormatting sqref="G10:M10 G26:H46 I26 J26:M46 I40 I46 G66:M66 G72:M72 G77:M77 G81:M81 G88:M88 G93:M93 G96:M96">
    <cfRule type="cellIs" dxfId="4" priority="3" operator="equal">
      <formula>"Positive"</formula>
    </cfRule>
  </conditionalFormatting>
  <conditionalFormatting sqref="G10:M10 G26:H46 I26 J26:M46 I40 I46 G66:M66 G72:M72 G77:M77 G81:M81 G88:M88 G93:M93 G96:M96">
    <cfRule type="containsText" dxfId="5" priority="4" operator="containsText" text="Negative">
      <formula>NOT(ISERROR(SEARCH(("Negative"),(G10))))</formula>
    </cfRule>
  </conditionalFormatting>
  <conditionalFormatting sqref="G11:G25 G27:G39 G41:G45 G47:G100">
    <cfRule type="containsText" dxfId="10" priority="5" operator="containsText" text="High">
      <formula>NOT(ISERROR(SEARCH(("High"),(G11))))</formula>
    </cfRule>
  </conditionalFormatting>
  <conditionalFormatting sqref="G11:G25 G27:G39 G41:G45 G47:G100">
    <cfRule type="cellIs" dxfId="11" priority="6" operator="equal">
      <formula>"Medium"</formula>
    </cfRule>
  </conditionalFormatting>
  <conditionalFormatting sqref="G11:G25 G27:G39 G41:G45 G47:G100">
    <cfRule type="containsText" dxfId="12" priority="7" operator="containsText" text="Low">
      <formula>NOT(ISERROR(SEARCH(("Low"),(G11))))</formula>
    </cfRule>
  </conditionalFormatting>
  <conditionalFormatting sqref="L1:L100">
    <cfRule type="containsText" dxfId="13" priority="8" operator="containsText" text="Deferred">
      <formula>NOT(ISERROR(SEARCH(("Deferred"),(L1))))</formula>
    </cfRule>
  </conditionalFormatting>
  <conditionalFormatting sqref="L1:L100">
    <cfRule type="containsText" dxfId="14" priority="9" operator="containsText" text="Not Start">
      <formula>NOT(ISERROR(SEARCH(("Not Start"),(L1))))</formula>
    </cfRule>
  </conditionalFormatting>
  <conditionalFormatting sqref="L1:L100">
    <cfRule type="containsText" dxfId="15" priority="10" operator="containsText" text="Blocked">
      <formula>NOT(ISERROR(SEARCH(("Blocked"),(L1))))</formula>
    </cfRule>
  </conditionalFormatting>
  <conditionalFormatting sqref="L1:L100">
    <cfRule type="containsText" dxfId="6" priority="11" operator="containsText" text="FAIL">
      <formula>NOT(ISERROR(SEARCH(("FAIL"),(L1))))</formula>
    </cfRule>
  </conditionalFormatting>
  <conditionalFormatting sqref="L1:L100">
    <cfRule type="cellIs" dxfId="7" priority="12" operator="equal">
      <formula>"PASS"</formula>
    </cfRule>
  </conditionalFormatting>
  <conditionalFormatting sqref="L11:L25 L27:L39 L41:L45 L47:L100">
    <cfRule type="cellIs" dxfId="16" priority="13" operator="equal">
      <formula>"N/A"</formula>
    </cfRule>
  </conditionalFormatting>
  <conditionalFormatting sqref="L11:L25 L27:L39 L41:L45 L47:L100">
    <cfRule type="containsText" dxfId="17" priority="14" operator="containsText" text="N/A">
      <formula>NOT(ISERROR(SEARCH(("N/A"),(L11))))</formula>
    </cfRule>
  </conditionalFormatting>
  <conditionalFormatting sqref="L11:L25 L27:L39 L41:L45 L47:L100">
    <cfRule type="containsText" dxfId="18" priority="15" operator="containsText" text="In Progress">
      <formula>NOT(ISERROR(SEARCH(("In Progress"),(L11))))</formula>
    </cfRule>
  </conditionalFormatting>
  <conditionalFormatting sqref="M10 M26:M46 M66 M72 M77 M81 M88 M93 M96">
    <cfRule type="expression" dxfId="6" priority="16" stopIfTrue="1">
      <formula>NOT(ISERROR(SEARCH("Negative",M10)))</formula>
    </cfRule>
  </conditionalFormatting>
  <conditionalFormatting sqref="M10 M26:M46 M66 M72 M77 M81 M88 M93 M96">
    <cfRule type="expression" dxfId="7" priority="17" stopIfTrue="1">
      <formula>NOT(ISERROR(SEARCH("Positive",M10)))</formula>
    </cfRule>
  </conditionalFormatting>
  <conditionalFormatting sqref="L1:L1033">
    <cfRule type="cellIs" dxfId="19" priority="18" operator="equal">
      <formula>"In Progress"</formula>
    </cfRule>
  </conditionalFormatting>
  <conditionalFormatting sqref="G10:M10 G26:H46 I26 J26:M46 I40 I46 G66:M66 G72:M72 G77:M77 G81:M81 G88:M88 G93:M93 G96:M96">
    <cfRule type="expression" dxfId="6" priority="19" stopIfTrue="1">
      <formula>NOT(ISERROR(SEARCH("Negative",G10)))</formula>
    </cfRule>
  </conditionalFormatting>
  <conditionalFormatting sqref="G10:M10 G26:H46 I26 J26:M46 I40 I46 G66:M66 G72:M72 G77:M77 G81:M81 G88:M88 G93:M93 G96:M96">
    <cfRule type="expression" dxfId="7" priority="20" stopIfTrue="1">
      <formula>NOT(ISERROR(SEARCH("Positive",G10)))</formula>
    </cfRule>
  </conditionalFormatting>
  <dataValidations>
    <dataValidation type="list" allowBlank="1" sqref="L11:L25 L27:L39 L41:L45 L47:L65 L67:L71 L73:L76 L78:L80 L82:L87 L89:L92 L94:L95 L97:L100">
      <formula1>"PASS,FAIL,In Progress,Blocked,Not Start,N/A,Deferred"</formula1>
    </dataValidation>
    <dataValidation type="list" allowBlank="1" showErrorMessage="1" sqref="F11:F25 F27:F39 F41:F45 F47:F65 F67:F71 F73:F76 F78:F80 F82:F87 F89:F92 F94:F95 F97:F100">
      <formula1>"Positive,Negative"</formula1>
    </dataValidation>
    <dataValidation type="list" allowBlank="1" showErrorMessage="1" sqref="I11:I25 I27:I39 I41:I45 I47:I65 I67:I71 I73:I76 I78:I80 I82:I87 I89:I92 I94:I95 I97:I100">
      <formula1>"James,Garfield"</formula1>
    </dataValidation>
    <dataValidation type="list" allowBlank="1" showErrorMessage="1" sqref="G11:G25 G27:G39 G41:G45 G47:G65 G67:G71 G73:G76 G78:G80 G82:G87 G89:G92 G94:G95 G97:G100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 outlineLevelRow="1"/>
  <cols>
    <col customWidth="1" min="1" max="1" width="37.0"/>
    <col customWidth="1" min="2" max="2" width="66.13"/>
    <col customWidth="1" hidden="1" min="3" max="3" width="47.38"/>
    <col customWidth="1" hidden="1" min="4" max="4" width="50.5"/>
    <col customWidth="1" min="5" max="5" width="69.75"/>
    <col customWidth="1" hidden="1" min="6" max="6" width="9.88"/>
    <col customWidth="1" hidden="1" min="7" max="7" width="10.88"/>
    <col customWidth="1" hidden="1" min="8" max="8" width="30.13"/>
    <col customWidth="1" min="9" max="9" width="30.13"/>
    <col customWidth="1" hidden="1" min="10" max="10" width="30.13"/>
    <col customWidth="1" min="11" max="11" width="30.13"/>
    <col customWidth="1" min="12" max="12" width="31.25"/>
    <col customWidth="1" min="13" max="13" width="30.13"/>
    <col customWidth="1" min="14" max="20" width="8.63"/>
  </cols>
  <sheetData>
    <row r="1" ht="12.75" customHeight="1">
      <c r="B1" s="7" t="str">
        <f>HYPERLINK("#Document!A1", "Refer to sheet Document")</f>
        <v>Refer to sheet Document</v>
      </c>
      <c r="C1" s="9"/>
      <c r="D1" s="9"/>
      <c r="E1" s="9"/>
      <c r="F1" s="12"/>
      <c r="G1" s="13"/>
      <c r="H1" s="13"/>
      <c r="I1" s="13"/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</row>
    <row r="2">
      <c r="A2" s="17"/>
      <c r="B2" s="9"/>
      <c r="C2" s="19"/>
      <c r="D2" s="9"/>
      <c r="E2" s="9"/>
      <c r="F2" s="12"/>
      <c r="G2" s="13"/>
      <c r="H2" s="13"/>
      <c r="I2" s="13"/>
      <c r="J2" s="13"/>
      <c r="K2" s="13"/>
      <c r="L2" s="13"/>
      <c r="M2" s="16"/>
      <c r="N2" s="13"/>
      <c r="O2" s="13"/>
      <c r="P2" s="13"/>
      <c r="Q2" s="13"/>
      <c r="R2" s="13"/>
      <c r="S2" s="13"/>
      <c r="T2" s="13"/>
    </row>
    <row r="3">
      <c r="A3" s="23" t="s">
        <v>17</v>
      </c>
      <c r="B3" s="23">
        <f>COUNTIF(#REF!,"TC_*")</f>
        <v>0</v>
      </c>
      <c r="C3" s="27"/>
      <c r="D3" s="27"/>
      <c r="E3" s="27"/>
      <c r="F3" s="28"/>
      <c r="G3" s="30"/>
      <c r="H3" s="30"/>
      <c r="I3" s="30"/>
      <c r="J3" s="30"/>
      <c r="K3" s="30"/>
      <c r="L3" s="30"/>
      <c r="M3" s="32"/>
      <c r="N3" s="13"/>
      <c r="O3" s="13"/>
      <c r="P3" s="13"/>
      <c r="Q3" s="13"/>
      <c r="R3" s="13"/>
      <c r="S3" s="13"/>
      <c r="T3" s="13"/>
    </row>
    <row r="4" ht="26.25" customHeight="1">
      <c r="A4" s="35" t="s">
        <v>26</v>
      </c>
      <c r="B4" s="35" t="s">
        <v>27</v>
      </c>
      <c r="C4" s="40" t="s">
        <v>28</v>
      </c>
      <c r="D4" s="35" t="s">
        <v>30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138" t="s">
        <v>645</v>
      </c>
      <c r="K4" s="35" t="s">
        <v>39</v>
      </c>
      <c r="L4" s="35" t="s">
        <v>40</v>
      </c>
      <c r="M4" s="35" t="s">
        <v>25</v>
      </c>
      <c r="N4" s="13"/>
      <c r="O4" s="13"/>
      <c r="P4" s="13"/>
      <c r="Q4" s="13"/>
      <c r="R4" s="13"/>
      <c r="S4" s="13"/>
      <c r="T4" s="13"/>
    </row>
    <row r="5" ht="39.0" customHeight="1">
      <c r="A5" s="46"/>
      <c r="B5" s="46"/>
      <c r="C5" s="48"/>
      <c r="D5" s="46"/>
      <c r="E5" s="46"/>
      <c r="F5" s="46"/>
      <c r="G5" s="46"/>
      <c r="H5" s="46"/>
      <c r="I5" s="46"/>
      <c r="J5" s="46"/>
      <c r="K5" s="46"/>
      <c r="L5" s="46"/>
      <c r="M5" s="46"/>
      <c r="N5" s="49"/>
      <c r="O5" s="49"/>
      <c r="P5" s="49"/>
      <c r="Q5" s="49"/>
      <c r="R5" s="49"/>
      <c r="S5" s="49"/>
      <c r="T5" s="49"/>
    </row>
    <row r="6" ht="42.0" customHeight="1">
      <c r="A6" s="46"/>
      <c r="B6" s="46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51"/>
      <c r="O6" s="51"/>
      <c r="P6" s="51"/>
      <c r="Q6" s="51"/>
      <c r="R6" s="51"/>
      <c r="S6" s="51"/>
      <c r="T6" s="51"/>
    </row>
    <row r="7" ht="58.5" customHeight="1">
      <c r="A7" s="46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51"/>
      <c r="O7" s="51"/>
      <c r="P7" s="51"/>
      <c r="Q7" s="51"/>
      <c r="R7" s="51"/>
      <c r="S7" s="51"/>
      <c r="T7" s="51"/>
    </row>
    <row r="8" ht="45.0" customHeight="1">
      <c r="A8" s="46"/>
      <c r="B8" s="46"/>
      <c r="C8" s="48"/>
      <c r="D8" s="46"/>
      <c r="E8" s="46"/>
      <c r="F8" s="46"/>
      <c r="G8" s="46"/>
      <c r="H8" s="46"/>
      <c r="I8" s="46"/>
      <c r="J8" s="46"/>
      <c r="K8" s="46"/>
      <c r="L8" s="46"/>
      <c r="M8" s="46"/>
      <c r="N8" s="51"/>
      <c r="O8" s="51"/>
      <c r="P8" s="51"/>
      <c r="Q8" s="51"/>
      <c r="R8" s="51"/>
      <c r="S8" s="51"/>
      <c r="T8" s="51"/>
    </row>
    <row r="9" ht="84.0" customHeight="1">
      <c r="A9" s="38"/>
      <c r="B9" s="38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1"/>
      <c r="O9" s="51"/>
      <c r="P9" s="51"/>
      <c r="Q9" s="51"/>
      <c r="R9" s="51"/>
      <c r="S9" s="51"/>
      <c r="T9" s="51"/>
    </row>
    <row r="10" ht="42.0" customHeight="1">
      <c r="A10" s="55" t="s">
        <v>700</v>
      </c>
      <c r="B10" s="10"/>
      <c r="C10" s="57"/>
      <c r="D10" s="58"/>
      <c r="E10" s="58"/>
      <c r="F10" s="58"/>
      <c r="G10" s="60"/>
      <c r="H10" s="60"/>
      <c r="I10" s="60"/>
      <c r="J10" s="60"/>
      <c r="K10" s="60"/>
      <c r="L10" s="60"/>
      <c r="M10" s="60"/>
      <c r="N10" s="49"/>
      <c r="O10" s="49"/>
      <c r="P10" s="49"/>
      <c r="Q10" s="49"/>
      <c r="R10" s="49"/>
      <c r="S10" s="49"/>
      <c r="T10" s="49"/>
    </row>
    <row r="11" ht="123.75" customHeight="1" outlineLevel="1">
      <c r="A11" s="70" t="str">
        <f t="shared" ref="A11:A14" si="1">"TC_Team_"&amp;(ROW()-ROW($A$11)+1)</f>
        <v>TC_Team_1</v>
      </c>
      <c r="B11" s="72" t="s">
        <v>706</v>
      </c>
      <c r="C11" s="73"/>
      <c r="D11" s="72"/>
      <c r="E11" s="92" t="s">
        <v>707</v>
      </c>
      <c r="F11" s="75" t="s">
        <v>56</v>
      </c>
      <c r="G11" s="76" t="s">
        <v>101</v>
      </c>
      <c r="H11" s="77"/>
      <c r="I11" s="79" t="s">
        <v>649</v>
      </c>
      <c r="J11" s="78"/>
      <c r="K11" s="140">
        <v>46234.0</v>
      </c>
      <c r="L11" s="82" t="s">
        <v>22</v>
      </c>
      <c r="M11" s="84"/>
      <c r="N11" s="86"/>
      <c r="O11" s="86"/>
      <c r="P11" s="86"/>
      <c r="Q11" s="86"/>
      <c r="R11" s="86"/>
      <c r="S11" s="86"/>
      <c r="T11" s="86"/>
    </row>
    <row r="12" ht="123.75" customHeight="1" outlineLevel="1">
      <c r="A12" s="70" t="str">
        <f t="shared" si="1"/>
        <v>TC_Team_2</v>
      </c>
      <c r="B12" s="72" t="s">
        <v>712</v>
      </c>
      <c r="C12" s="73"/>
      <c r="D12" s="72"/>
      <c r="E12" s="92" t="s">
        <v>713</v>
      </c>
      <c r="F12" s="75" t="s">
        <v>56</v>
      </c>
      <c r="G12" s="76" t="s">
        <v>101</v>
      </c>
      <c r="H12" s="77"/>
      <c r="I12" s="79" t="s">
        <v>649</v>
      </c>
      <c r="J12" s="78"/>
      <c r="K12" s="140">
        <v>46234.0</v>
      </c>
      <c r="L12" s="82" t="s">
        <v>22</v>
      </c>
      <c r="M12" s="84"/>
      <c r="N12" s="86"/>
      <c r="O12" s="86"/>
      <c r="P12" s="86"/>
      <c r="Q12" s="86"/>
      <c r="R12" s="86"/>
      <c r="S12" s="86"/>
      <c r="T12" s="86"/>
    </row>
    <row r="13" ht="123.75" customHeight="1" outlineLevel="1">
      <c r="A13" s="70" t="str">
        <f t="shared" si="1"/>
        <v>TC_Team_3</v>
      </c>
      <c r="B13" s="72" t="s">
        <v>718</v>
      </c>
      <c r="C13" s="73"/>
      <c r="D13" s="72"/>
      <c r="E13" s="92" t="s">
        <v>720</v>
      </c>
      <c r="F13" s="75" t="s">
        <v>56</v>
      </c>
      <c r="G13" s="76" t="s">
        <v>101</v>
      </c>
      <c r="H13" s="77"/>
      <c r="I13" s="79" t="s">
        <v>649</v>
      </c>
      <c r="J13" s="78"/>
      <c r="K13" s="140">
        <v>46234.0</v>
      </c>
      <c r="L13" s="82" t="s">
        <v>22</v>
      </c>
      <c r="M13" s="145" t="s">
        <v>722</v>
      </c>
      <c r="N13" s="86"/>
      <c r="O13" s="86"/>
      <c r="P13" s="86"/>
      <c r="Q13" s="86"/>
      <c r="R13" s="86"/>
      <c r="S13" s="86"/>
      <c r="T13" s="86"/>
    </row>
    <row r="14" ht="123.75" customHeight="1" outlineLevel="1">
      <c r="A14" s="70" t="str">
        <f t="shared" si="1"/>
        <v>TC_Team_4</v>
      </c>
      <c r="B14" s="72" t="s">
        <v>727</v>
      </c>
      <c r="C14" s="73"/>
      <c r="D14" s="72"/>
      <c r="E14" s="144" t="s">
        <v>729</v>
      </c>
      <c r="F14" s="75" t="s">
        <v>56</v>
      </c>
      <c r="G14" s="76" t="s">
        <v>101</v>
      </c>
      <c r="H14" s="77"/>
      <c r="I14" s="79" t="s">
        <v>649</v>
      </c>
      <c r="J14" s="78"/>
      <c r="K14" s="140">
        <v>46238.0</v>
      </c>
      <c r="L14" s="82" t="s">
        <v>22</v>
      </c>
      <c r="M14" s="145" t="s">
        <v>722</v>
      </c>
      <c r="N14" s="86"/>
      <c r="O14" s="86"/>
      <c r="P14" s="86"/>
      <c r="Q14" s="86"/>
      <c r="R14" s="86"/>
      <c r="S14" s="86"/>
      <c r="T14" s="86"/>
    </row>
    <row r="15" ht="42.0" customHeight="1">
      <c r="A15" s="55" t="s">
        <v>737</v>
      </c>
      <c r="B15" s="10"/>
      <c r="C15" s="57"/>
      <c r="D15" s="58"/>
      <c r="E15" s="58"/>
      <c r="F15" s="58"/>
      <c r="G15" s="60"/>
      <c r="H15" s="60"/>
      <c r="I15" s="60"/>
      <c r="J15" s="60"/>
      <c r="K15" s="60"/>
      <c r="L15" s="60"/>
      <c r="M15" s="60"/>
      <c r="N15" s="49"/>
      <c r="O15" s="49"/>
      <c r="P15" s="49"/>
      <c r="Q15" s="49"/>
      <c r="R15" s="49"/>
      <c r="S15" s="49"/>
      <c r="T15" s="49"/>
    </row>
    <row r="16" ht="123.75" customHeight="1" outlineLevel="1">
      <c r="A16" s="70" t="str">
        <f t="shared" ref="A16:A18" si="2">"TC_Team_"&amp;(ROW()-ROW($A$11)+1-1)</f>
        <v>TC_Team_5</v>
      </c>
      <c r="B16" s="72" t="s">
        <v>744</v>
      </c>
      <c r="C16" s="73"/>
      <c r="D16" s="72"/>
      <c r="E16" s="92" t="s">
        <v>746</v>
      </c>
      <c r="F16" s="75" t="s">
        <v>56</v>
      </c>
      <c r="G16" s="76" t="s">
        <v>101</v>
      </c>
      <c r="H16" s="77"/>
      <c r="I16" s="79" t="s">
        <v>649</v>
      </c>
      <c r="J16" s="78"/>
      <c r="K16" s="140">
        <v>46234.0</v>
      </c>
      <c r="L16" s="82" t="s">
        <v>22</v>
      </c>
      <c r="M16" s="84"/>
      <c r="N16" s="86"/>
      <c r="O16" s="86"/>
      <c r="P16" s="86"/>
      <c r="Q16" s="86"/>
      <c r="R16" s="86"/>
      <c r="S16" s="86"/>
      <c r="T16" s="86"/>
    </row>
    <row r="17" ht="123.75" customHeight="1" outlineLevel="1">
      <c r="A17" s="70" t="str">
        <f t="shared" si="2"/>
        <v>TC_Team_6</v>
      </c>
      <c r="B17" s="72" t="s">
        <v>750</v>
      </c>
      <c r="C17" s="73"/>
      <c r="D17" s="72"/>
      <c r="E17" s="92" t="s">
        <v>752</v>
      </c>
      <c r="F17" s="75" t="s">
        <v>56</v>
      </c>
      <c r="G17" s="76" t="s">
        <v>101</v>
      </c>
      <c r="H17" s="77"/>
      <c r="I17" s="79" t="s">
        <v>649</v>
      </c>
      <c r="J17" s="78"/>
      <c r="K17" s="140">
        <v>46234.0</v>
      </c>
      <c r="L17" s="82" t="s">
        <v>22</v>
      </c>
      <c r="M17" s="84"/>
      <c r="N17" s="86"/>
      <c r="O17" s="86"/>
      <c r="P17" s="86"/>
      <c r="Q17" s="86"/>
      <c r="R17" s="86"/>
      <c r="S17" s="86"/>
      <c r="T17" s="86"/>
    </row>
    <row r="18" ht="123.75" customHeight="1" outlineLevel="1">
      <c r="A18" s="70" t="str">
        <f t="shared" si="2"/>
        <v>TC_Team_7</v>
      </c>
      <c r="B18" s="72" t="s">
        <v>756</v>
      </c>
      <c r="C18" s="73"/>
      <c r="D18" s="72"/>
      <c r="E18" s="144" t="s">
        <v>757</v>
      </c>
      <c r="F18" s="75" t="s">
        <v>56</v>
      </c>
      <c r="G18" s="76" t="s">
        <v>101</v>
      </c>
      <c r="H18" s="77"/>
      <c r="I18" s="79" t="s">
        <v>649</v>
      </c>
      <c r="J18" s="78"/>
      <c r="K18" s="140">
        <v>46234.0</v>
      </c>
      <c r="L18" s="82" t="s">
        <v>22</v>
      </c>
      <c r="M18" s="84"/>
      <c r="N18" s="86"/>
      <c r="O18" s="86"/>
      <c r="P18" s="86"/>
      <c r="Q18" s="86"/>
      <c r="R18" s="86"/>
      <c r="S18" s="86"/>
      <c r="T18" s="86"/>
    </row>
    <row r="19" ht="42.0" customHeight="1">
      <c r="A19" s="55" t="s">
        <v>762</v>
      </c>
      <c r="B19" s="10"/>
      <c r="C19" s="57"/>
      <c r="D19" s="58"/>
      <c r="E19" s="58"/>
      <c r="F19" s="58"/>
      <c r="G19" s="60"/>
      <c r="H19" s="60"/>
      <c r="I19" s="60"/>
      <c r="J19" s="60"/>
      <c r="K19" s="60"/>
      <c r="L19" s="60"/>
      <c r="M19" s="60"/>
      <c r="N19" s="49"/>
      <c r="O19" s="49"/>
      <c r="P19" s="49"/>
      <c r="Q19" s="49"/>
      <c r="R19" s="49"/>
      <c r="S19" s="49"/>
      <c r="T19" s="49"/>
    </row>
    <row r="20" ht="123.75" customHeight="1" outlineLevel="1">
      <c r="A20" s="70" t="str">
        <f t="shared" ref="A20:A23" si="3">"TC_Team_"&amp;(ROW()-ROW($A$11)+1-2)</f>
        <v>TC_Team_8</v>
      </c>
      <c r="B20" s="72" t="s">
        <v>766</v>
      </c>
      <c r="C20" s="73"/>
      <c r="D20" s="72"/>
      <c r="E20" s="92" t="s">
        <v>767</v>
      </c>
      <c r="F20" s="75" t="s">
        <v>56</v>
      </c>
      <c r="G20" s="76" t="s">
        <v>101</v>
      </c>
      <c r="H20" s="77"/>
      <c r="I20" s="79" t="s">
        <v>58</v>
      </c>
      <c r="J20" s="78"/>
      <c r="K20" s="140">
        <v>46234.0</v>
      </c>
      <c r="L20" s="82" t="s">
        <v>22</v>
      </c>
      <c r="M20" s="84"/>
      <c r="N20" s="86"/>
      <c r="O20" s="86"/>
      <c r="P20" s="86"/>
      <c r="Q20" s="86"/>
      <c r="R20" s="86"/>
      <c r="S20" s="86"/>
      <c r="T20" s="86"/>
    </row>
    <row r="21" ht="123.75" customHeight="1" outlineLevel="1">
      <c r="A21" s="70" t="str">
        <f t="shared" si="3"/>
        <v>TC_Team_9</v>
      </c>
      <c r="B21" s="72" t="s">
        <v>773</v>
      </c>
      <c r="C21" s="73"/>
      <c r="D21" s="72"/>
      <c r="E21" s="92" t="s">
        <v>775</v>
      </c>
      <c r="F21" s="75" t="s">
        <v>56</v>
      </c>
      <c r="G21" s="76" t="s">
        <v>101</v>
      </c>
      <c r="H21" s="77"/>
      <c r="I21" s="79" t="s">
        <v>58</v>
      </c>
      <c r="J21" s="78"/>
      <c r="K21" s="140">
        <v>46234.0</v>
      </c>
      <c r="L21" s="82" t="s">
        <v>22</v>
      </c>
      <c r="M21" s="141" t="s">
        <v>778</v>
      </c>
      <c r="N21" s="86"/>
      <c r="O21" s="86"/>
      <c r="P21" s="86"/>
      <c r="Q21" s="86"/>
      <c r="R21" s="86"/>
      <c r="S21" s="86"/>
      <c r="T21" s="86"/>
    </row>
    <row r="22" ht="123.75" customHeight="1" outlineLevel="1">
      <c r="A22" s="70" t="str">
        <f t="shared" si="3"/>
        <v>TC_Team_10</v>
      </c>
      <c r="B22" s="72" t="s">
        <v>781</v>
      </c>
      <c r="C22" s="73"/>
      <c r="D22" s="72"/>
      <c r="E22" s="92" t="s">
        <v>775</v>
      </c>
      <c r="F22" s="75" t="s">
        <v>56</v>
      </c>
      <c r="G22" s="76" t="s">
        <v>101</v>
      </c>
      <c r="H22" s="77"/>
      <c r="I22" s="79" t="s">
        <v>58</v>
      </c>
      <c r="J22" s="78"/>
      <c r="K22" s="140">
        <v>46234.0</v>
      </c>
      <c r="L22" s="82" t="s">
        <v>22</v>
      </c>
      <c r="M22" s="84"/>
      <c r="N22" s="86"/>
      <c r="O22" s="86"/>
      <c r="P22" s="86"/>
      <c r="Q22" s="86"/>
      <c r="R22" s="86"/>
      <c r="S22" s="86"/>
      <c r="T22" s="86"/>
    </row>
    <row r="23" ht="123.75" customHeight="1" outlineLevel="1">
      <c r="A23" s="70" t="str">
        <f t="shared" si="3"/>
        <v>TC_Team_11</v>
      </c>
      <c r="B23" s="72" t="s">
        <v>788</v>
      </c>
      <c r="C23" s="73"/>
      <c r="D23" s="72"/>
      <c r="E23" s="92" t="s">
        <v>775</v>
      </c>
      <c r="F23" s="75" t="s">
        <v>56</v>
      </c>
      <c r="G23" s="76" t="s">
        <v>101</v>
      </c>
      <c r="H23" s="77"/>
      <c r="I23" s="79" t="s">
        <v>58</v>
      </c>
      <c r="J23" s="78"/>
      <c r="K23" s="140">
        <v>46234.0</v>
      </c>
      <c r="L23" s="82" t="s">
        <v>22</v>
      </c>
      <c r="M23" s="84"/>
      <c r="N23" s="86"/>
      <c r="O23" s="86"/>
      <c r="P23" s="86"/>
      <c r="Q23" s="86"/>
      <c r="R23" s="86"/>
      <c r="S23" s="86"/>
      <c r="T23" s="86"/>
    </row>
    <row r="24" ht="42.0" customHeight="1">
      <c r="A24" s="55" t="s">
        <v>793</v>
      </c>
      <c r="B24" s="10"/>
      <c r="C24" s="57"/>
      <c r="D24" s="58"/>
      <c r="E24" s="58"/>
      <c r="F24" s="58"/>
      <c r="G24" s="60"/>
      <c r="H24" s="60"/>
      <c r="I24" s="60"/>
      <c r="J24" s="60"/>
      <c r="K24" s="60"/>
      <c r="L24" s="60"/>
      <c r="M24" s="60"/>
      <c r="N24" s="49"/>
      <c r="O24" s="49"/>
      <c r="P24" s="49"/>
      <c r="Q24" s="49"/>
      <c r="R24" s="49"/>
      <c r="S24" s="49"/>
      <c r="T24" s="49"/>
    </row>
    <row r="25" ht="123.75" customHeight="1" outlineLevel="1">
      <c r="A25" s="70" t="str">
        <f t="shared" ref="A25:A32" si="4">"TC_Team_"&amp;(ROW()-ROW($A$11)+1-3)</f>
        <v>TC_Team_12</v>
      </c>
      <c r="B25" s="72" t="s">
        <v>799</v>
      </c>
      <c r="C25" s="73"/>
      <c r="D25" s="72"/>
      <c r="E25" s="92" t="s">
        <v>801</v>
      </c>
      <c r="F25" s="75" t="s">
        <v>56</v>
      </c>
      <c r="G25" s="76" t="s">
        <v>101</v>
      </c>
      <c r="H25" s="77"/>
      <c r="I25" s="79" t="s">
        <v>649</v>
      </c>
      <c r="J25" s="78"/>
      <c r="K25" s="139">
        <v>46234.0</v>
      </c>
      <c r="L25" s="82" t="s">
        <v>22</v>
      </c>
      <c r="M25" s="84"/>
      <c r="N25" s="86"/>
      <c r="O25" s="86"/>
      <c r="P25" s="86"/>
      <c r="Q25" s="86"/>
      <c r="R25" s="86"/>
      <c r="S25" s="86"/>
      <c r="T25" s="86"/>
    </row>
    <row r="26" ht="123.75" customHeight="1" outlineLevel="1">
      <c r="A26" s="70" t="str">
        <f t="shared" si="4"/>
        <v>TC_Team_13</v>
      </c>
      <c r="B26" s="72" t="s">
        <v>804</v>
      </c>
      <c r="C26" s="73"/>
      <c r="D26" s="72"/>
      <c r="E26" s="92" t="s">
        <v>806</v>
      </c>
      <c r="F26" s="75" t="s">
        <v>56</v>
      </c>
      <c r="G26" s="76" t="s">
        <v>101</v>
      </c>
      <c r="H26" s="77"/>
      <c r="I26" s="79" t="s">
        <v>58</v>
      </c>
      <c r="J26" s="78"/>
      <c r="K26" s="139">
        <v>46234.0</v>
      </c>
      <c r="L26" s="82" t="s">
        <v>22</v>
      </c>
      <c r="M26" s="84"/>
      <c r="N26" s="86"/>
      <c r="O26" s="86"/>
      <c r="P26" s="86"/>
      <c r="Q26" s="86"/>
      <c r="R26" s="86"/>
      <c r="S26" s="86"/>
      <c r="T26" s="86"/>
    </row>
    <row r="27" ht="123.75" customHeight="1" outlineLevel="1">
      <c r="A27" s="70" t="str">
        <f t="shared" si="4"/>
        <v>TC_Team_14</v>
      </c>
      <c r="B27" s="72" t="s">
        <v>810</v>
      </c>
      <c r="C27" s="73"/>
      <c r="D27" s="72"/>
      <c r="E27" s="92" t="s">
        <v>811</v>
      </c>
      <c r="F27" s="75" t="s">
        <v>56</v>
      </c>
      <c r="G27" s="76" t="s">
        <v>101</v>
      </c>
      <c r="H27" s="77"/>
      <c r="I27" s="79" t="s">
        <v>649</v>
      </c>
      <c r="J27" s="78"/>
      <c r="K27" s="139">
        <v>46234.0</v>
      </c>
      <c r="L27" s="82" t="s">
        <v>22</v>
      </c>
      <c r="M27" s="84"/>
      <c r="N27" s="86"/>
      <c r="O27" s="86"/>
      <c r="P27" s="86"/>
      <c r="Q27" s="86"/>
      <c r="R27" s="86"/>
      <c r="S27" s="86"/>
      <c r="T27" s="86"/>
    </row>
    <row r="28" ht="123.75" customHeight="1" outlineLevel="1">
      <c r="A28" s="70" t="str">
        <f t="shared" si="4"/>
        <v>TC_Team_15</v>
      </c>
      <c r="B28" s="72" t="s">
        <v>815</v>
      </c>
      <c r="C28" s="73"/>
      <c r="D28" s="72"/>
      <c r="E28" s="92" t="s">
        <v>817</v>
      </c>
      <c r="F28" s="75" t="s">
        <v>56</v>
      </c>
      <c r="G28" s="76" t="s">
        <v>101</v>
      </c>
      <c r="H28" s="77"/>
      <c r="I28" s="79" t="s">
        <v>649</v>
      </c>
      <c r="J28" s="78"/>
      <c r="K28" s="139">
        <v>46234.0</v>
      </c>
      <c r="L28" s="82" t="s">
        <v>22</v>
      </c>
      <c r="M28" s="84"/>
      <c r="N28" s="86"/>
      <c r="O28" s="86"/>
      <c r="P28" s="86"/>
      <c r="Q28" s="86"/>
      <c r="R28" s="86"/>
      <c r="S28" s="86"/>
      <c r="T28" s="86"/>
    </row>
    <row r="29" ht="123.75" customHeight="1" outlineLevel="1">
      <c r="A29" s="70" t="str">
        <f t="shared" si="4"/>
        <v>TC_Team_16</v>
      </c>
      <c r="B29" s="72" t="s">
        <v>821</v>
      </c>
      <c r="C29" s="73"/>
      <c r="D29" s="72"/>
      <c r="E29" s="92" t="s">
        <v>823</v>
      </c>
      <c r="F29" s="75" t="s">
        <v>56</v>
      </c>
      <c r="G29" s="76" t="s">
        <v>101</v>
      </c>
      <c r="H29" s="77"/>
      <c r="I29" s="79" t="s">
        <v>58</v>
      </c>
      <c r="J29" s="78"/>
      <c r="K29" s="139">
        <v>46234.0</v>
      </c>
      <c r="L29" s="82" t="s">
        <v>22</v>
      </c>
      <c r="M29" s="84"/>
      <c r="N29" s="86"/>
      <c r="O29" s="86"/>
      <c r="P29" s="86"/>
      <c r="Q29" s="86"/>
      <c r="R29" s="86"/>
      <c r="S29" s="86"/>
      <c r="T29" s="86"/>
    </row>
    <row r="30" ht="123.75" customHeight="1" outlineLevel="1">
      <c r="A30" s="70" t="str">
        <f t="shared" si="4"/>
        <v>TC_Team_17</v>
      </c>
      <c r="B30" s="72" t="s">
        <v>826</v>
      </c>
      <c r="C30" s="73"/>
      <c r="D30" s="72"/>
      <c r="E30" s="92" t="s">
        <v>823</v>
      </c>
      <c r="F30" s="75" t="s">
        <v>56</v>
      </c>
      <c r="G30" s="76" t="s">
        <v>101</v>
      </c>
      <c r="H30" s="77"/>
      <c r="I30" s="79" t="s">
        <v>649</v>
      </c>
      <c r="J30" s="78"/>
      <c r="K30" s="140">
        <v>46238.0</v>
      </c>
      <c r="L30" s="82" t="s">
        <v>22</v>
      </c>
      <c r="M30" s="84"/>
      <c r="N30" s="86"/>
      <c r="O30" s="86"/>
      <c r="P30" s="86"/>
      <c r="Q30" s="86"/>
      <c r="R30" s="86"/>
      <c r="S30" s="86"/>
      <c r="T30" s="86"/>
    </row>
    <row r="31" ht="123.75" customHeight="1" outlineLevel="1">
      <c r="A31" s="70" t="str">
        <f t="shared" si="4"/>
        <v>TC_Team_18</v>
      </c>
      <c r="B31" s="72" t="s">
        <v>830</v>
      </c>
      <c r="C31" s="73"/>
      <c r="D31" s="72"/>
      <c r="E31" s="92" t="s">
        <v>823</v>
      </c>
      <c r="F31" s="75" t="s">
        <v>56</v>
      </c>
      <c r="G31" s="76" t="s">
        <v>101</v>
      </c>
      <c r="H31" s="77"/>
      <c r="I31" s="79" t="s">
        <v>649</v>
      </c>
      <c r="J31" s="78"/>
      <c r="K31" s="140">
        <v>46238.0</v>
      </c>
      <c r="L31" s="82" t="s">
        <v>22</v>
      </c>
      <c r="M31" s="145" t="s">
        <v>722</v>
      </c>
      <c r="N31" s="86"/>
      <c r="O31" s="86"/>
      <c r="P31" s="86"/>
      <c r="Q31" s="86"/>
      <c r="R31" s="86"/>
      <c r="S31" s="86"/>
      <c r="T31" s="86"/>
    </row>
    <row r="32" ht="123.75" customHeight="1" outlineLevel="1">
      <c r="A32" s="70" t="str">
        <f t="shared" si="4"/>
        <v>TC_Team_19</v>
      </c>
      <c r="B32" s="72" t="s">
        <v>833</v>
      </c>
      <c r="C32" s="73"/>
      <c r="D32" s="72"/>
      <c r="E32" s="92" t="s">
        <v>834</v>
      </c>
      <c r="F32" s="75" t="s">
        <v>56</v>
      </c>
      <c r="G32" s="76" t="s">
        <v>101</v>
      </c>
      <c r="H32" s="77"/>
      <c r="I32" s="79" t="s">
        <v>58</v>
      </c>
      <c r="J32" s="78"/>
      <c r="K32" s="139">
        <v>46234.0</v>
      </c>
      <c r="L32" s="82" t="s">
        <v>22</v>
      </c>
      <c r="M32" s="84"/>
      <c r="N32" s="86"/>
      <c r="O32" s="86"/>
      <c r="P32" s="86"/>
      <c r="Q32" s="86"/>
      <c r="R32" s="86"/>
      <c r="S32" s="86"/>
      <c r="T32" s="86"/>
    </row>
    <row r="33" ht="42.0" customHeight="1">
      <c r="A33" s="55" t="s">
        <v>838</v>
      </c>
      <c r="B33" s="10"/>
      <c r="C33" s="57"/>
      <c r="D33" s="58"/>
      <c r="E33" s="58"/>
      <c r="F33" s="58"/>
      <c r="G33" s="60"/>
      <c r="H33" s="60"/>
      <c r="I33" s="60"/>
      <c r="J33" s="60"/>
      <c r="K33" s="60"/>
      <c r="L33" s="60"/>
      <c r="M33" s="60"/>
      <c r="N33" s="49"/>
      <c r="O33" s="49"/>
      <c r="P33" s="49"/>
      <c r="Q33" s="49"/>
      <c r="R33" s="49"/>
      <c r="S33" s="49"/>
      <c r="T33" s="49"/>
    </row>
    <row r="34" ht="123.75" customHeight="1" outlineLevel="1">
      <c r="A34" s="70" t="str">
        <f t="shared" ref="A34:A37" si="5">"TC_Team_"&amp;(ROW()-ROW($A$11)+1-4)</f>
        <v>TC_Team_20</v>
      </c>
      <c r="B34" s="72" t="s">
        <v>844</v>
      </c>
      <c r="C34" s="73"/>
      <c r="D34" s="72"/>
      <c r="E34" s="92" t="s">
        <v>845</v>
      </c>
      <c r="F34" s="75" t="s">
        <v>56</v>
      </c>
      <c r="G34" s="76" t="s">
        <v>101</v>
      </c>
      <c r="H34" s="77"/>
      <c r="I34" s="79" t="s">
        <v>58</v>
      </c>
      <c r="J34" s="78"/>
      <c r="K34" s="139">
        <v>46237.0</v>
      </c>
      <c r="L34" s="82" t="s">
        <v>22</v>
      </c>
      <c r="M34" s="84"/>
      <c r="N34" s="86"/>
      <c r="O34" s="86"/>
      <c r="P34" s="86"/>
      <c r="Q34" s="86"/>
      <c r="R34" s="86"/>
      <c r="S34" s="86"/>
      <c r="T34" s="86"/>
    </row>
    <row r="35" ht="123.75" customHeight="1" outlineLevel="1">
      <c r="A35" s="70" t="str">
        <f t="shared" si="5"/>
        <v>TC_Team_21</v>
      </c>
      <c r="B35" s="72" t="s">
        <v>850</v>
      </c>
      <c r="C35" s="73"/>
      <c r="D35" s="72"/>
      <c r="E35" s="92" t="s">
        <v>851</v>
      </c>
      <c r="F35" s="75" t="s">
        <v>56</v>
      </c>
      <c r="G35" s="76" t="s">
        <v>101</v>
      </c>
      <c r="H35" s="77"/>
      <c r="I35" s="79" t="s">
        <v>58</v>
      </c>
      <c r="J35" s="78"/>
      <c r="K35" s="139">
        <v>46237.0</v>
      </c>
      <c r="L35" s="82" t="s">
        <v>22</v>
      </c>
      <c r="M35" s="84"/>
      <c r="N35" s="86"/>
      <c r="O35" s="86"/>
      <c r="P35" s="86"/>
      <c r="Q35" s="86"/>
      <c r="R35" s="86"/>
      <c r="S35" s="86"/>
      <c r="T35" s="86"/>
    </row>
    <row r="36" ht="123.75" customHeight="1" outlineLevel="1">
      <c r="A36" s="70" t="str">
        <f t="shared" si="5"/>
        <v>TC_Team_22</v>
      </c>
      <c r="B36" s="72" t="s">
        <v>856</v>
      </c>
      <c r="C36" s="73"/>
      <c r="D36" s="72"/>
      <c r="E36" s="92" t="s">
        <v>857</v>
      </c>
      <c r="F36" s="75" t="s">
        <v>56</v>
      </c>
      <c r="G36" s="76" t="s">
        <v>101</v>
      </c>
      <c r="H36" s="77"/>
      <c r="I36" s="79" t="s">
        <v>58</v>
      </c>
      <c r="J36" s="78"/>
      <c r="K36" s="139">
        <v>46237.0</v>
      </c>
      <c r="L36" s="82" t="s">
        <v>22</v>
      </c>
      <c r="M36" s="84"/>
      <c r="N36" s="86"/>
      <c r="O36" s="86"/>
      <c r="P36" s="86"/>
      <c r="Q36" s="86"/>
      <c r="R36" s="86"/>
      <c r="S36" s="86"/>
      <c r="T36" s="86"/>
    </row>
    <row r="37" ht="123.75" customHeight="1" outlineLevel="1">
      <c r="A37" s="70" t="str">
        <f t="shared" si="5"/>
        <v>TC_Team_23</v>
      </c>
      <c r="B37" s="72" t="s">
        <v>861</v>
      </c>
      <c r="C37" s="73"/>
      <c r="D37" s="72"/>
      <c r="E37" s="92" t="s">
        <v>863</v>
      </c>
      <c r="F37" s="75" t="s">
        <v>56</v>
      </c>
      <c r="G37" s="76" t="s">
        <v>101</v>
      </c>
      <c r="H37" s="77"/>
      <c r="I37" s="79" t="s">
        <v>58</v>
      </c>
      <c r="J37" s="78"/>
      <c r="K37" s="139">
        <v>46237.0</v>
      </c>
      <c r="L37" s="82" t="s">
        <v>22</v>
      </c>
      <c r="M37" s="84"/>
      <c r="N37" s="86"/>
      <c r="O37" s="86"/>
      <c r="P37" s="86"/>
      <c r="Q37" s="86"/>
      <c r="R37" s="86"/>
      <c r="S37" s="86"/>
      <c r="T37" s="86"/>
    </row>
    <row r="38" ht="42.0" customHeight="1">
      <c r="A38" s="55" t="s">
        <v>865</v>
      </c>
      <c r="B38" s="10"/>
      <c r="C38" s="57"/>
      <c r="D38" s="58"/>
      <c r="E38" s="58"/>
      <c r="F38" s="58"/>
      <c r="G38" s="60"/>
      <c r="H38" s="60"/>
      <c r="I38" s="60"/>
      <c r="J38" s="60"/>
      <c r="K38" s="60"/>
      <c r="L38" s="60"/>
      <c r="M38" s="60"/>
      <c r="N38" s="49"/>
      <c r="O38" s="49"/>
      <c r="P38" s="49"/>
      <c r="Q38" s="49"/>
      <c r="R38" s="49"/>
      <c r="S38" s="49"/>
      <c r="T38" s="49"/>
    </row>
    <row r="39" ht="123.75" customHeight="1" outlineLevel="1">
      <c r="A39" s="70" t="str">
        <f>"TC_Team_"&amp;(ROW()-ROW($A$11)+1-5)</f>
        <v>TC_Team_24</v>
      </c>
      <c r="B39" s="72" t="s">
        <v>870</v>
      </c>
      <c r="C39" s="73"/>
      <c r="D39" s="72"/>
      <c r="E39" s="92" t="s">
        <v>871</v>
      </c>
      <c r="F39" s="75" t="s">
        <v>56</v>
      </c>
      <c r="G39" s="76" t="s">
        <v>101</v>
      </c>
      <c r="H39" s="77"/>
      <c r="I39" s="79" t="s">
        <v>58</v>
      </c>
      <c r="J39" s="78"/>
      <c r="K39" s="80"/>
      <c r="L39" s="82" t="s">
        <v>22</v>
      </c>
      <c r="M39" s="84"/>
      <c r="N39" s="86"/>
      <c r="O39" s="86"/>
      <c r="P39" s="86"/>
      <c r="Q39" s="86"/>
      <c r="R39" s="86"/>
      <c r="S39" s="86"/>
      <c r="T39" s="86"/>
    </row>
    <row r="40" ht="123.75" customHeight="1" outlineLevel="1">
      <c r="A40" s="70" t="str">
        <f>"TC_Team_"&amp;(ROW()-ROW($A$11)+1-3)</f>
        <v>TC_Team_27</v>
      </c>
      <c r="B40" s="121" t="s">
        <v>876</v>
      </c>
      <c r="C40" s="73"/>
      <c r="D40" s="72"/>
      <c r="E40" s="92" t="s">
        <v>877</v>
      </c>
      <c r="F40" s="75" t="s">
        <v>56</v>
      </c>
      <c r="G40" s="76" t="s">
        <v>101</v>
      </c>
      <c r="H40" s="77"/>
      <c r="I40" s="79" t="s">
        <v>58</v>
      </c>
      <c r="J40" s="78"/>
      <c r="K40" s="80"/>
      <c r="L40" s="82" t="s">
        <v>22</v>
      </c>
      <c r="M40" s="84"/>
      <c r="N40" s="86"/>
      <c r="O40" s="86"/>
      <c r="P40" s="86"/>
      <c r="Q40" s="86"/>
      <c r="R40" s="86"/>
      <c r="S40" s="86"/>
      <c r="T40" s="86"/>
    </row>
    <row r="41" ht="123.75" customHeight="1" outlineLevel="1">
      <c r="A41" s="70" t="str">
        <f>"TC_Team_"&amp;(ROW()-ROW($A$11)+1-5)</f>
        <v>TC_Team_26</v>
      </c>
      <c r="B41" s="72" t="s">
        <v>881</v>
      </c>
      <c r="C41" s="73"/>
      <c r="D41" s="72"/>
      <c r="E41" s="92" t="s">
        <v>882</v>
      </c>
      <c r="F41" s="75" t="s">
        <v>56</v>
      </c>
      <c r="G41" s="76" t="s">
        <v>101</v>
      </c>
      <c r="H41" s="77"/>
      <c r="I41" s="79" t="s">
        <v>58</v>
      </c>
      <c r="J41" s="78"/>
      <c r="K41" s="80"/>
      <c r="L41" s="82" t="s">
        <v>22</v>
      </c>
      <c r="M41" s="84"/>
      <c r="N41" s="86"/>
      <c r="O41" s="86"/>
      <c r="P41" s="86"/>
      <c r="Q41" s="86"/>
      <c r="R41" s="86"/>
      <c r="S41" s="86"/>
      <c r="T41" s="86"/>
    </row>
    <row r="42" ht="42.0" customHeight="1">
      <c r="A42" s="55" t="s">
        <v>887</v>
      </c>
      <c r="B42" s="10"/>
      <c r="C42" s="57"/>
      <c r="D42" s="58"/>
      <c r="E42" s="58"/>
      <c r="F42" s="58"/>
      <c r="G42" s="60"/>
      <c r="H42" s="60"/>
      <c r="I42" s="60"/>
      <c r="J42" s="60"/>
      <c r="K42" s="60"/>
      <c r="L42" s="60"/>
      <c r="M42" s="60"/>
      <c r="N42" s="49"/>
      <c r="O42" s="49"/>
      <c r="P42" s="49"/>
      <c r="Q42" s="49"/>
      <c r="R42" s="49"/>
      <c r="S42" s="49"/>
      <c r="T42" s="49"/>
    </row>
    <row r="43" ht="123.75" customHeight="1" outlineLevel="1">
      <c r="A43" s="70" t="str">
        <f t="shared" ref="A43:A46" si="6">"TC_Team_"&amp;(ROW()-ROW($A$11)+1-5)</f>
        <v>TC_Team_28</v>
      </c>
      <c r="B43" s="72" t="s">
        <v>890</v>
      </c>
      <c r="C43" s="73"/>
      <c r="D43" s="72"/>
      <c r="E43" s="92" t="s">
        <v>892</v>
      </c>
      <c r="F43" s="75" t="s">
        <v>56</v>
      </c>
      <c r="G43" s="76" t="s">
        <v>101</v>
      </c>
      <c r="H43" s="77"/>
      <c r="I43" s="79" t="s">
        <v>649</v>
      </c>
      <c r="J43" s="78"/>
      <c r="K43" s="140">
        <v>46237.0</v>
      </c>
      <c r="L43" s="82" t="s">
        <v>22</v>
      </c>
      <c r="M43" s="84"/>
      <c r="N43" s="86"/>
      <c r="O43" s="86"/>
      <c r="P43" s="86"/>
      <c r="Q43" s="86"/>
      <c r="R43" s="86"/>
      <c r="S43" s="86"/>
      <c r="T43" s="86"/>
    </row>
    <row r="44" ht="123.75" customHeight="1" outlineLevel="1">
      <c r="A44" s="70" t="str">
        <f t="shared" si="6"/>
        <v>TC_Team_29</v>
      </c>
      <c r="B44" s="72" t="s">
        <v>893</v>
      </c>
      <c r="C44" s="73"/>
      <c r="D44" s="72"/>
      <c r="E44" s="92" t="s">
        <v>894</v>
      </c>
      <c r="F44" s="75" t="s">
        <v>56</v>
      </c>
      <c r="G44" s="76" t="s">
        <v>101</v>
      </c>
      <c r="H44" s="77"/>
      <c r="I44" s="79" t="s">
        <v>649</v>
      </c>
      <c r="J44" s="78"/>
      <c r="K44" s="140">
        <v>46237.0</v>
      </c>
      <c r="L44" s="82" t="s">
        <v>22</v>
      </c>
      <c r="M44" s="84"/>
      <c r="N44" s="86"/>
      <c r="O44" s="86"/>
      <c r="P44" s="86"/>
      <c r="Q44" s="86"/>
      <c r="R44" s="86"/>
      <c r="S44" s="86"/>
      <c r="T44" s="86"/>
    </row>
    <row r="45" ht="123.75" customHeight="1" outlineLevel="1">
      <c r="A45" s="70" t="str">
        <f t="shared" si="6"/>
        <v>TC_Team_30</v>
      </c>
      <c r="B45" s="72" t="s">
        <v>898</v>
      </c>
      <c r="C45" s="73"/>
      <c r="D45" s="72"/>
      <c r="E45" s="92" t="s">
        <v>899</v>
      </c>
      <c r="F45" s="75" t="s">
        <v>56</v>
      </c>
      <c r="G45" s="76" t="s">
        <v>101</v>
      </c>
      <c r="H45" s="77"/>
      <c r="I45" s="79" t="s">
        <v>649</v>
      </c>
      <c r="J45" s="78"/>
      <c r="K45" s="140">
        <v>46237.0</v>
      </c>
      <c r="L45" s="82" t="s">
        <v>22</v>
      </c>
      <c r="M45" s="84"/>
      <c r="N45" s="86"/>
      <c r="O45" s="86"/>
      <c r="P45" s="86"/>
      <c r="Q45" s="86"/>
      <c r="R45" s="86"/>
      <c r="S45" s="86"/>
      <c r="T45" s="86"/>
    </row>
    <row r="46" ht="123.75" customHeight="1" outlineLevel="1">
      <c r="A46" s="70" t="str">
        <f t="shared" si="6"/>
        <v>TC_Team_31</v>
      </c>
      <c r="B46" s="72" t="s">
        <v>903</v>
      </c>
      <c r="C46" s="73"/>
      <c r="D46" s="72"/>
      <c r="E46" s="92" t="s">
        <v>905</v>
      </c>
      <c r="F46" s="75" t="s">
        <v>56</v>
      </c>
      <c r="G46" s="76" t="s">
        <v>101</v>
      </c>
      <c r="H46" s="77"/>
      <c r="I46" s="79" t="s">
        <v>649</v>
      </c>
      <c r="J46" s="78"/>
      <c r="K46" s="140">
        <v>46237.0</v>
      </c>
      <c r="L46" s="82" t="s">
        <v>22</v>
      </c>
      <c r="M46" s="84"/>
      <c r="N46" s="86"/>
      <c r="O46" s="86"/>
      <c r="P46" s="86"/>
      <c r="Q46" s="86"/>
      <c r="R46" s="86"/>
      <c r="S46" s="86"/>
      <c r="T46" s="86"/>
    </row>
    <row r="47" ht="42.0" customHeight="1">
      <c r="A47" s="55" t="s">
        <v>908</v>
      </c>
      <c r="B47" s="10"/>
      <c r="C47" s="57"/>
      <c r="D47" s="58"/>
      <c r="E47" s="58"/>
      <c r="F47" s="58"/>
      <c r="G47" s="60"/>
      <c r="H47" s="60"/>
      <c r="I47" s="60"/>
      <c r="J47" s="60"/>
      <c r="K47" s="60"/>
      <c r="L47" s="60"/>
      <c r="M47" s="60"/>
      <c r="N47" s="49"/>
      <c r="O47" s="49"/>
      <c r="P47" s="49"/>
      <c r="Q47" s="49"/>
      <c r="R47" s="49"/>
      <c r="S47" s="49"/>
      <c r="T47" s="49"/>
    </row>
    <row r="48" ht="123.75" customHeight="1" outlineLevel="1">
      <c r="A48" s="70" t="str">
        <f t="shared" ref="A48:A50" si="7">"TC_Team_"&amp;(ROW()-ROW($A$11)+1-6)</f>
        <v>TC_Team_32</v>
      </c>
      <c r="B48" s="72" t="s">
        <v>913</v>
      </c>
      <c r="C48" s="73"/>
      <c r="D48" s="72"/>
      <c r="E48" s="92" t="s">
        <v>916</v>
      </c>
      <c r="F48" s="75" t="s">
        <v>56</v>
      </c>
      <c r="G48" s="76" t="s">
        <v>101</v>
      </c>
      <c r="H48" s="77"/>
      <c r="I48" s="79" t="s">
        <v>58</v>
      </c>
      <c r="J48" s="78"/>
      <c r="K48" s="139">
        <v>46237.0</v>
      </c>
      <c r="L48" s="82" t="s">
        <v>22</v>
      </c>
      <c r="M48" s="84"/>
      <c r="N48" s="86"/>
      <c r="O48" s="86"/>
      <c r="P48" s="86"/>
      <c r="Q48" s="86"/>
      <c r="R48" s="86"/>
      <c r="S48" s="86"/>
      <c r="T48" s="86"/>
    </row>
    <row r="49" ht="123.75" customHeight="1" outlineLevel="1">
      <c r="A49" s="70" t="str">
        <f t="shared" si="7"/>
        <v>TC_Team_33</v>
      </c>
      <c r="B49" s="72" t="s">
        <v>919</v>
      </c>
      <c r="C49" s="73"/>
      <c r="D49" s="72"/>
      <c r="E49" s="92" t="s">
        <v>920</v>
      </c>
      <c r="F49" s="75" t="s">
        <v>56</v>
      </c>
      <c r="G49" s="76" t="s">
        <v>101</v>
      </c>
      <c r="H49" s="77"/>
      <c r="I49" s="79" t="s">
        <v>58</v>
      </c>
      <c r="J49" s="78"/>
      <c r="K49" s="139">
        <v>46237.0</v>
      </c>
      <c r="L49" s="82" t="s">
        <v>22</v>
      </c>
      <c r="M49" s="84"/>
      <c r="N49" s="86"/>
      <c r="O49" s="86"/>
      <c r="P49" s="86"/>
      <c r="Q49" s="86"/>
      <c r="R49" s="86"/>
      <c r="S49" s="86"/>
      <c r="T49" s="86"/>
    </row>
    <row r="50" ht="123.75" customHeight="1" outlineLevel="1">
      <c r="A50" s="70" t="str">
        <f t="shared" si="7"/>
        <v>TC_Team_34</v>
      </c>
      <c r="B50" s="72" t="s">
        <v>924</v>
      </c>
      <c r="C50" s="73"/>
      <c r="D50" s="72"/>
      <c r="E50" s="92" t="s">
        <v>926</v>
      </c>
      <c r="F50" s="75" t="s">
        <v>56</v>
      </c>
      <c r="G50" s="76" t="s">
        <v>101</v>
      </c>
      <c r="H50" s="77"/>
      <c r="I50" s="79" t="s">
        <v>58</v>
      </c>
      <c r="J50" s="78"/>
      <c r="K50" s="139">
        <v>46237.0</v>
      </c>
      <c r="L50" s="82" t="s">
        <v>22</v>
      </c>
      <c r="M50" s="84"/>
      <c r="N50" s="86"/>
      <c r="O50" s="86"/>
      <c r="P50" s="86"/>
      <c r="Q50" s="86"/>
      <c r="R50" s="86"/>
      <c r="S50" s="86"/>
      <c r="T50" s="86"/>
    </row>
    <row r="51" ht="42.0" customHeight="1">
      <c r="A51" s="55" t="s">
        <v>928</v>
      </c>
      <c r="B51" s="10"/>
      <c r="C51" s="57"/>
      <c r="D51" s="58"/>
      <c r="E51" s="58"/>
      <c r="F51" s="58"/>
      <c r="G51" s="60"/>
      <c r="H51" s="60"/>
      <c r="I51" s="60"/>
      <c r="J51" s="60"/>
      <c r="K51" s="60"/>
      <c r="L51" s="60"/>
      <c r="M51" s="60"/>
      <c r="N51" s="49"/>
      <c r="O51" s="49"/>
      <c r="P51" s="49"/>
      <c r="Q51" s="49"/>
      <c r="R51" s="49"/>
      <c r="S51" s="49"/>
      <c r="T51" s="49"/>
    </row>
    <row r="52" ht="123.75" customHeight="1" outlineLevel="1">
      <c r="A52" s="70" t="str">
        <f t="shared" ref="A52:A58" si="8">"TC_Team_"&amp;(ROW()-ROW($A$11)+1-7)</f>
        <v>TC_Team_35</v>
      </c>
      <c r="B52" s="72" t="s">
        <v>933</v>
      </c>
      <c r="C52" s="73"/>
      <c r="D52" s="72"/>
      <c r="E52" s="92" t="s">
        <v>934</v>
      </c>
      <c r="F52" s="75" t="s">
        <v>56</v>
      </c>
      <c r="G52" s="76" t="s">
        <v>101</v>
      </c>
      <c r="H52" s="77"/>
      <c r="I52" s="79" t="s">
        <v>58</v>
      </c>
      <c r="J52" s="78"/>
      <c r="K52" s="139">
        <v>46237.0</v>
      </c>
      <c r="L52" s="82" t="s">
        <v>22</v>
      </c>
      <c r="M52" s="84"/>
      <c r="N52" s="86"/>
      <c r="O52" s="86"/>
      <c r="P52" s="86"/>
      <c r="Q52" s="86"/>
      <c r="R52" s="86"/>
      <c r="S52" s="86"/>
      <c r="T52" s="86"/>
    </row>
    <row r="53" ht="123.75" customHeight="1" outlineLevel="1">
      <c r="A53" s="70" t="str">
        <f t="shared" si="8"/>
        <v>TC_Team_36</v>
      </c>
      <c r="B53" s="72" t="s">
        <v>940</v>
      </c>
      <c r="C53" s="73"/>
      <c r="D53" s="72"/>
      <c r="E53" s="92" t="s">
        <v>941</v>
      </c>
      <c r="F53" s="75" t="s">
        <v>56</v>
      </c>
      <c r="G53" s="76" t="s">
        <v>101</v>
      </c>
      <c r="H53" s="77"/>
      <c r="I53" s="79" t="s">
        <v>58</v>
      </c>
      <c r="J53" s="78"/>
      <c r="K53" s="139">
        <v>46237.0</v>
      </c>
      <c r="L53" s="82" t="s">
        <v>22</v>
      </c>
      <c r="M53" s="84"/>
      <c r="N53" s="86"/>
      <c r="O53" s="86"/>
      <c r="P53" s="86"/>
      <c r="Q53" s="86"/>
      <c r="R53" s="86"/>
      <c r="S53" s="86"/>
      <c r="T53" s="86"/>
    </row>
    <row r="54" ht="123.75" customHeight="1" outlineLevel="1">
      <c r="A54" s="70" t="str">
        <f t="shared" si="8"/>
        <v>TC_Team_37</v>
      </c>
      <c r="B54" s="72" t="s">
        <v>944</v>
      </c>
      <c r="C54" s="73"/>
      <c r="D54" s="72"/>
      <c r="E54" s="92" t="s">
        <v>941</v>
      </c>
      <c r="F54" s="75" t="s">
        <v>56</v>
      </c>
      <c r="G54" s="76" t="s">
        <v>101</v>
      </c>
      <c r="H54" s="77"/>
      <c r="I54" s="79" t="s">
        <v>58</v>
      </c>
      <c r="J54" s="78"/>
      <c r="K54" s="139">
        <v>46237.0</v>
      </c>
      <c r="L54" s="82" t="s">
        <v>22</v>
      </c>
      <c r="M54" s="84"/>
      <c r="N54" s="86"/>
      <c r="O54" s="86"/>
      <c r="P54" s="86"/>
      <c r="Q54" s="86"/>
      <c r="R54" s="86"/>
      <c r="S54" s="86"/>
      <c r="T54" s="86"/>
    </row>
    <row r="55" ht="123.75" customHeight="1" outlineLevel="1">
      <c r="A55" s="70" t="str">
        <f t="shared" si="8"/>
        <v>TC_Team_38</v>
      </c>
      <c r="B55" s="72" t="s">
        <v>946</v>
      </c>
      <c r="C55" s="73"/>
      <c r="D55" s="72"/>
      <c r="E55" s="92" t="s">
        <v>941</v>
      </c>
      <c r="F55" s="75" t="s">
        <v>56</v>
      </c>
      <c r="G55" s="76" t="s">
        <v>101</v>
      </c>
      <c r="H55" s="77"/>
      <c r="I55" s="79" t="s">
        <v>58</v>
      </c>
      <c r="J55" s="78"/>
      <c r="K55" s="139">
        <v>46237.0</v>
      </c>
      <c r="L55" s="82" t="s">
        <v>22</v>
      </c>
      <c r="M55" s="84"/>
      <c r="N55" s="86"/>
      <c r="O55" s="86"/>
      <c r="P55" s="86"/>
      <c r="Q55" s="86"/>
      <c r="R55" s="86"/>
      <c r="S55" s="86"/>
      <c r="T55" s="86"/>
    </row>
    <row r="56" ht="123.75" customHeight="1" outlineLevel="1">
      <c r="A56" s="70" t="str">
        <f t="shared" si="8"/>
        <v>TC_Team_39</v>
      </c>
      <c r="B56" s="72" t="s">
        <v>951</v>
      </c>
      <c r="C56" s="73"/>
      <c r="D56" s="72"/>
      <c r="E56" s="92" t="s">
        <v>941</v>
      </c>
      <c r="F56" s="75" t="s">
        <v>56</v>
      </c>
      <c r="G56" s="76" t="s">
        <v>101</v>
      </c>
      <c r="H56" s="77"/>
      <c r="I56" s="79" t="s">
        <v>58</v>
      </c>
      <c r="J56" s="78"/>
      <c r="K56" s="139">
        <v>46237.0</v>
      </c>
      <c r="L56" s="82" t="s">
        <v>22</v>
      </c>
      <c r="M56" s="84"/>
      <c r="N56" s="86"/>
      <c r="O56" s="86"/>
      <c r="P56" s="86"/>
      <c r="Q56" s="86"/>
      <c r="R56" s="86"/>
      <c r="S56" s="86"/>
      <c r="T56" s="86"/>
    </row>
    <row r="57" ht="123.75" customHeight="1" outlineLevel="1">
      <c r="A57" s="70" t="str">
        <f t="shared" si="8"/>
        <v>TC_Team_40</v>
      </c>
      <c r="B57" s="72" t="s">
        <v>956</v>
      </c>
      <c r="C57" s="73"/>
      <c r="D57" s="72"/>
      <c r="E57" s="92" t="s">
        <v>957</v>
      </c>
      <c r="F57" s="75" t="s">
        <v>56</v>
      </c>
      <c r="G57" s="76" t="s">
        <v>101</v>
      </c>
      <c r="H57" s="77"/>
      <c r="I57" s="79" t="s">
        <v>58</v>
      </c>
      <c r="J57" s="78"/>
      <c r="K57" s="139">
        <v>46237.0</v>
      </c>
      <c r="L57" s="82" t="s">
        <v>22</v>
      </c>
      <c r="M57" s="84"/>
      <c r="N57" s="86"/>
      <c r="O57" s="86"/>
      <c r="P57" s="86"/>
      <c r="Q57" s="86"/>
      <c r="R57" s="86"/>
      <c r="S57" s="86"/>
      <c r="T57" s="86"/>
    </row>
    <row r="58" ht="123.75" customHeight="1" outlineLevel="1">
      <c r="A58" s="70" t="str">
        <f t="shared" si="8"/>
        <v>TC_Team_41</v>
      </c>
      <c r="B58" s="72" t="s">
        <v>961</v>
      </c>
      <c r="C58" s="73"/>
      <c r="D58" s="72"/>
      <c r="E58" s="92" t="s">
        <v>962</v>
      </c>
      <c r="F58" s="75" t="s">
        <v>56</v>
      </c>
      <c r="G58" s="76" t="s">
        <v>101</v>
      </c>
      <c r="H58" s="77"/>
      <c r="I58" s="79" t="s">
        <v>58</v>
      </c>
      <c r="J58" s="78"/>
      <c r="K58" s="139">
        <v>46237.0</v>
      </c>
      <c r="L58" s="82" t="s">
        <v>22</v>
      </c>
      <c r="M58" s="84"/>
      <c r="N58" s="86"/>
      <c r="O58" s="86"/>
      <c r="P58" s="86"/>
      <c r="Q58" s="86"/>
      <c r="R58" s="86"/>
      <c r="S58" s="86"/>
      <c r="T58" s="86"/>
    </row>
    <row r="59" ht="42.0" customHeight="1">
      <c r="A59" s="55" t="s">
        <v>967</v>
      </c>
      <c r="B59" s="10"/>
      <c r="C59" s="57"/>
      <c r="D59" s="58"/>
      <c r="E59" s="58"/>
      <c r="F59" s="58"/>
      <c r="G59" s="60"/>
      <c r="H59" s="60"/>
      <c r="I59" s="60"/>
      <c r="J59" s="60"/>
      <c r="K59" s="60"/>
      <c r="L59" s="60"/>
      <c r="M59" s="60"/>
      <c r="N59" s="49"/>
      <c r="O59" s="49"/>
      <c r="P59" s="49"/>
      <c r="Q59" s="49"/>
      <c r="R59" s="49"/>
      <c r="S59" s="49"/>
      <c r="T59" s="49"/>
    </row>
    <row r="60" ht="123.75" customHeight="1" outlineLevel="1">
      <c r="A60" s="70" t="str">
        <f t="shared" ref="A60:A66" si="9">"TC_Team_"&amp;(ROW()-ROW($A$11)+1-8)</f>
        <v>TC_Team_42</v>
      </c>
      <c r="B60" s="72" t="s">
        <v>973</v>
      </c>
      <c r="C60" s="73"/>
      <c r="D60" s="72"/>
      <c r="E60" s="144" t="s">
        <v>975</v>
      </c>
      <c r="F60" s="76" t="s">
        <v>109</v>
      </c>
      <c r="G60" s="76" t="s">
        <v>101</v>
      </c>
      <c r="H60" s="77"/>
      <c r="I60" s="79" t="s">
        <v>649</v>
      </c>
      <c r="J60" s="78"/>
      <c r="K60" s="140">
        <v>46238.0</v>
      </c>
      <c r="L60" s="82" t="s">
        <v>22</v>
      </c>
      <c r="M60" s="159" t="s">
        <v>978</v>
      </c>
      <c r="N60" s="86"/>
      <c r="O60" s="86"/>
      <c r="P60" s="86"/>
      <c r="Q60" s="86"/>
      <c r="R60" s="86"/>
      <c r="S60" s="86"/>
      <c r="T60" s="86"/>
    </row>
    <row r="61" ht="123.75" customHeight="1" outlineLevel="1">
      <c r="A61" s="70" t="str">
        <f t="shared" si="9"/>
        <v>TC_Team_43</v>
      </c>
      <c r="B61" s="72" t="s">
        <v>982</v>
      </c>
      <c r="C61" s="73"/>
      <c r="D61" s="72"/>
      <c r="E61" s="144" t="s">
        <v>975</v>
      </c>
      <c r="F61" s="76" t="s">
        <v>109</v>
      </c>
      <c r="G61" s="76" t="s">
        <v>101</v>
      </c>
      <c r="H61" s="77"/>
      <c r="I61" s="79" t="s">
        <v>649</v>
      </c>
      <c r="J61" s="78"/>
      <c r="K61" s="140">
        <v>46238.0</v>
      </c>
      <c r="L61" s="82" t="s">
        <v>22</v>
      </c>
      <c r="M61" s="159" t="s">
        <v>984</v>
      </c>
      <c r="N61" s="86"/>
      <c r="O61" s="86"/>
      <c r="P61" s="86"/>
      <c r="Q61" s="86"/>
      <c r="R61" s="86"/>
      <c r="S61" s="86"/>
      <c r="T61" s="86"/>
    </row>
    <row r="62" ht="123.75" customHeight="1" outlineLevel="1">
      <c r="A62" s="70" t="str">
        <f t="shared" si="9"/>
        <v>TC_Team_44</v>
      </c>
      <c r="B62" s="72" t="s">
        <v>988</v>
      </c>
      <c r="C62" s="73"/>
      <c r="D62" s="72"/>
      <c r="E62" s="144" t="s">
        <v>975</v>
      </c>
      <c r="F62" s="76" t="s">
        <v>109</v>
      </c>
      <c r="G62" s="76" t="s">
        <v>101</v>
      </c>
      <c r="H62" s="77"/>
      <c r="I62" s="79" t="s">
        <v>649</v>
      </c>
      <c r="J62" s="78"/>
      <c r="K62" s="140">
        <v>46238.0</v>
      </c>
      <c r="L62" s="82" t="s">
        <v>22</v>
      </c>
      <c r="M62" s="159" t="s">
        <v>991</v>
      </c>
      <c r="N62" s="86"/>
      <c r="O62" s="86"/>
      <c r="P62" s="86"/>
      <c r="Q62" s="86"/>
      <c r="R62" s="86"/>
      <c r="S62" s="86"/>
      <c r="T62" s="86"/>
    </row>
    <row r="63" ht="123.75" customHeight="1" outlineLevel="1">
      <c r="A63" s="70" t="str">
        <f t="shared" si="9"/>
        <v>TC_Team_45</v>
      </c>
      <c r="B63" s="72" t="s">
        <v>993</v>
      </c>
      <c r="C63" s="73"/>
      <c r="D63" s="72"/>
      <c r="E63" s="144" t="s">
        <v>975</v>
      </c>
      <c r="F63" s="76" t="s">
        <v>109</v>
      </c>
      <c r="G63" s="76" t="s">
        <v>101</v>
      </c>
      <c r="H63" s="77"/>
      <c r="I63" s="79" t="s">
        <v>649</v>
      </c>
      <c r="J63" s="78"/>
      <c r="K63" s="140">
        <v>46238.0</v>
      </c>
      <c r="L63" s="82" t="s">
        <v>22</v>
      </c>
      <c r="M63" s="159" t="s">
        <v>997</v>
      </c>
      <c r="N63" s="86"/>
      <c r="O63" s="86"/>
      <c r="P63" s="86"/>
      <c r="Q63" s="86"/>
      <c r="R63" s="86"/>
      <c r="S63" s="86"/>
      <c r="T63" s="86"/>
    </row>
    <row r="64" ht="123.75" customHeight="1" outlineLevel="1">
      <c r="A64" s="70" t="str">
        <f t="shared" si="9"/>
        <v>TC_Team_46</v>
      </c>
      <c r="B64" s="72" t="s">
        <v>999</v>
      </c>
      <c r="C64" s="73"/>
      <c r="D64" s="72"/>
      <c r="E64" s="144" t="s">
        <v>975</v>
      </c>
      <c r="F64" s="76" t="s">
        <v>109</v>
      </c>
      <c r="G64" s="76" t="s">
        <v>101</v>
      </c>
      <c r="H64" s="77"/>
      <c r="I64" s="79" t="s">
        <v>649</v>
      </c>
      <c r="J64" s="78"/>
      <c r="K64" s="140">
        <v>46238.0</v>
      </c>
      <c r="L64" s="82" t="s">
        <v>22</v>
      </c>
      <c r="M64" s="159" t="s">
        <v>1004</v>
      </c>
      <c r="N64" s="86"/>
      <c r="O64" s="86"/>
      <c r="P64" s="86"/>
      <c r="Q64" s="86"/>
      <c r="R64" s="86"/>
      <c r="S64" s="86"/>
      <c r="T64" s="86"/>
    </row>
    <row r="65" ht="123.75" customHeight="1" outlineLevel="1">
      <c r="A65" s="70" t="str">
        <f t="shared" si="9"/>
        <v>TC_Team_47</v>
      </c>
      <c r="B65" s="72" t="s">
        <v>1005</v>
      </c>
      <c r="C65" s="73"/>
      <c r="D65" s="72"/>
      <c r="E65" s="144" t="s">
        <v>975</v>
      </c>
      <c r="F65" s="76" t="s">
        <v>109</v>
      </c>
      <c r="G65" s="76" t="s">
        <v>101</v>
      </c>
      <c r="H65" s="77"/>
      <c r="I65" s="79" t="s">
        <v>649</v>
      </c>
      <c r="J65" s="78"/>
      <c r="K65" s="140">
        <v>46238.0</v>
      </c>
      <c r="L65" s="82" t="s">
        <v>22</v>
      </c>
      <c r="M65" s="141" t="s">
        <v>1008</v>
      </c>
      <c r="N65" s="86"/>
      <c r="O65" s="86"/>
      <c r="P65" s="86"/>
      <c r="Q65" s="86"/>
      <c r="R65" s="86"/>
      <c r="S65" s="86"/>
      <c r="T65" s="86"/>
    </row>
    <row r="66" ht="123.75" customHeight="1" outlineLevel="1">
      <c r="A66" s="70" t="str">
        <f t="shared" si="9"/>
        <v>TC_Team_48</v>
      </c>
      <c r="B66" s="72" t="s">
        <v>1011</v>
      </c>
      <c r="C66" s="73"/>
      <c r="D66" s="72"/>
      <c r="E66" s="144" t="s">
        <v>1013</v>
      </c>
      <c r="F66" s="76" t="s">
        <v>109</v>
      </c>
      <c r="G66" s="76" t="s">
        <v>101</v>
      </c>
      <c r="H66" s="77"/>
      <c r="I66" s="79" t="s">
        <v>649</v>
      </c>
      <c r="J66" s="78"/>
      <c r="K66" s="140">
        <v>46237.0</v>
      </c>
      <c r="L66" s="82" t="s">
        <v>22</v>
      </c>
      <c r="M66" s="84"/>
      <c r="N66" s="86"/>
      <c r="O66" s="86"/>
      <c r="P66" s="86"/>
      <c r="Q66" s="86"/>
      <c r="R66" s="86"/>
      <c r="S66" s="86"/>
      <c r="T66" s="86"/>
    </row>
    <row r="67" ht="42.0" customHeight="1">
      <c r="A67" s="55" t="s">
        <v>1018</v>
      </c>
      <c r="B67" s="10"/>
      <c r="C67" s="57"/>
      <c r="D67" s="58"/>
      <c r="E67" s="58"/>
      <c r="F67" s="58"/>
      <c r="G67" s="60"/>
      <c r="H67" s="60"/>
      <c r="I67" s="60"/>
      <c r="J67" s="60"/>
      <c r="K67" s="60"/>
      <c r="L67" s="60"/>
      <c r="M67" s="60"/>
      <c r="N67" s="49"/>
      <c r="O67" s="49"/>
      <c r="P67" s="49"/>
      <c r="Q67" s="49"/>
      <c r="R67" s="49"/>
      <c r="S67" s="49"/>
      <c r="T67" s="49"/>
    </row>
    <row r="68" ht="123.75" customHeight="1" outlineLevel="1">
      <c r="A68" s="70" t="str">
        <f t="shared" ref="A68:A73" si="10">"TC_Team_"&amp;(ROW()-ROW($A$11)+1-9)</f>
        <v>TC_Team_49</v>
      </c>
      <c r="B68" s="72" t="s">
        <v>1027</v>
      </c>
      <c r="C68" s="73"/>
      <c r="D68" s="72"/>
      <c r="E68" s="144" t="s">
        <v>1028</v>
      </c>
      <c r="F68" s="76" t="s">
        <v>109</v>
      </c>
      <c r="G68" s="76" t="s">
        <v>101</v>
      </c>
      <c r="H68" s="77"/>
      <c r="I68" s="79" t="s">
        <v>649</v>
      </c>
      <c r="J68" s="78"/>
      <c r="K68" s="140">
        <v>46237.0</v>
      </c>
      <c r="L68" s="82" t="s">
        <v>22</v>
      </c>
      <c r="M68" s="84"/>
      <c r="N68" s="86"/>
      <c r="O68" s="86"/>
      <c r="P68" s="86"/>
      <c r="Q68" s="86"/>
      <c r="R68" s="86"/>
      <c r="S68" s="86"/>
      <c r="T68" s="86"/>
    </row>
    <row r="69" ht="123.75" customHeight="1" outlineLevel="1">
      <c r="A69" s="70" t="str">
        <f t="shared" si="10"/>
        <v>TC_Team_50</v>
      </c>
      <c r="B69" s="72" t="s">
        <v>1033</v>
      </c>
      <c r="C69" s="73"/>
      <c r="D69" s="72"/>
      <c r="E69" s="144" t="s">
        <v>1028</v>
      </c>
      <c r="F69" s="76" t="s">
        <v>109</v>
      </c>
      <c r="G69" s="76" t="s">
        <v>101</v>
      </c>
      <c r="H69" s="77"/>
      <c r="I69" s="79" t="s">
        <v>649</v>
      </c>
      <c r="J69" s="78"/>
      <c r="K69" s="140">
        <v>46237.0</v>
      </c>
      <c r="L69" s="82" t="s">
        <v>22</v>
      </c>
      <c r="M69" s="84"/>
      <c r="N69" s="86"/>
      <c r="O69" s="86"/>
      <c r="P69" s="86"/>
      <c r="Q69" s="86"/>
      <c r="R69" s="86"/>
      <c r="S69" s="86"/>
      <c r="T69" s="86"/>
    </row>
    <row r="70" ht="123.75" customHeight="1" outlineLevel="1">
      <c r="A70" s="70" t="str">
        <f t="shared" si="10"/>
        <v>TC_Team_51</v>
      </c>
      <c r="B70" s="72" t="s">
        <v>1036</v>
      </c>
      <c r="C70" s="73"/>
      <c r="D70" s="72"/>
      <c r="E70" s="144" t="s">
        <v>1028</v>
      </c>
      <c r="F70" s="76" t="s">
        <v>109</v>
      </c>
      <c r="G70" s="76" t="s">
        <v>101</v>
      </c>
      <c r="H70" s="77"/>
      <c r="I70" s="79" t="s">
        <v>649</v>
      </c>
      <c r="J70" s="78"/>
      <c r="K70" s="140">
        <v>46237.0</v>
      </c>
      <c r="L70" s="82" t="s">
        <v>22</v>
      </c>
      <c r="M70" s="84"/>
      <c r="N70" s="86"/>
      <c r="O70" s="86"/>
      <c r="P70" s="86"/>
      <c r="Q70" s="86"/>
      <c r="R70" s="86"/>
      <c r="S70" s="86"/>
      <c r="T70" s="86"/>
    </row>
    <row r="71" ht="123.75" customHeight="1" outlineLevel="1">
      <c r="A71" s="70" t="str">
        <f t="shared" si="10"/>
        <v>TC_Team_52</v>
      </c>
      <c r="B71" s="72" t="s">
        <v>1039</v>
      </c>
      <c r="C71" s="73"/>
      <c r="D71" s="72"/>
      <c r="E71" s="144" t="s">
        <v>1028</v>
      </c>
      <c r="F71" s="76" t="s">
        <v>109</v>
      </c>
      <c r="G71" s="76" t="s">
        <v>101</v>
      </c>
      <c r="H71" s="77"/>
      <c r="I71" s="79" t="s">
        <v>649</v>
      </c>
      <c r="J71" s="78"/>
      <c r="K71" s="140">
        <v>46237.0</v>
      </c>
      <c r="L71" s="82" t="s">
        <v>22</v>
      </c>
      <c r="M71" s="84"/>
      <c r="N71" s="86"/>
      <c r="O71" s="86"/>
      <c r="P71" s="86"/>
      <c r="Q71" s="86"/>
      <c r="R71" s="86"/>
      <c r="S71" s="86"/>
      <c r="T71" s="86"/>
    </row>
    <row r="72" ht="123.75" customHeight="1" outlineLevel="1">
      <c r="A72" s="70" t="str">
        <f t="shared" si="10"/>
        <v>TC_Team_53</v>
      </c>
      <c r="B72" s="72" t="s">
        <v>1041</v>
      </c>
      <c r="C72" s="73"/>
      <c r="D72" s="72"/>
      <c r="E72" s="144" t="s">
        <v>1028</v>
      </c>
      <c r="F72" s="76" t="s">
        <v>109</v>
      </c>
      <c r="G72" s="76" t="s">
        <v>101</v>
      </c>
      <c r="H72" s="77"/>
      <c r="I72" s="79" t="s">
        <v>649</v>
      </c>
      <c r="J72" s="78"/>
      <c r="K72" s="140">
        <v>46237.0</v>
      </c>
      <c r="L72" s="82" t="s">
        <v>22</v>
      </c>
      <c r="M72" s="84"/>
      <c r="N72" s="86"/>
      <c r="O72" s="86"/>
      <c r="P72" s="86"/>
      <c r="Q72" s="86"/>
      <c r="R72" s="86"/>
      <c r="S72" s="86"/>
      <c r="T72" s="86"/>
    </row>
    <row r="73" ht="123.75" customHeight="1" outlineLevel="1">
      <c r="A73" s="70" t="str">
        <f t="shared" si="10"/>
        <v>TC_Team_54</v>
      </c>
      <c r="B73" s="72" t="s">
        <v>1044</v>
      </c>
      <c r="C73" s="73"/>
      <c r="D73" s="72"/>
      <c r="E73" s="144" t="s">
        <v>1045</v>
      </c>
      <c r="F73" s="76" t="s">
        <v>109</v>
      </c>
      <c r="G73" s="76" t="s">
        <v>101</v>
      </c>
      <c r="H73" s="77"/>
      <c r="I73" s="79" t="s">
        <v>649</v>
      </c>
      <c r="J73" s="78"/>
      <c r="K73" s="140">
        <v>46237.0</v>
      </c>
      <c r="L73" s="82" t="s">
        <v>22</v>
      </c>
      <c r="M73" s="84"/>
      <c r="N73" s="86"/>
      <c r="O73" s="86"/>
      <c r="P73" s="86"/>
      <c r="Q73" s="86"/>
      <c r="R73" s="86"/>
      <c r="S73" s="86"/>
      <c r="T73" s="86"/>
    </row>
    <row r="74" ht="42.0" customHeight="1">
      <c r="A74" s="55" t="s">
        <v>1048</v>
      </c>
      <c r="B74" s="10"/>
      <c r="C74" s="57"/>
      <c r="D74" s="58"/>
      <c r="E74" s="58"/>
      <c r="F74" s="58"/>
      <c r="G74" s="60"/>
      <c r="H74" s="60"/>
      <c r="I74" s="60"/>
      <c r="J74" s="60"/>
      <c r="K74" s="60"/>
      <c r="L74" s="60"/>
      <c r="M74" s="60"/>
      <c r="N74" s="49"/>
      <c r="O74" s="49"/>
      <c r="P74" s="49"/>
      <c r="Q74" s="49"/>
      <c r="R74" s="49"/>
      <c r="S74" s="49"/>
      <c r="T74" s="49"/>
    </row>
    <row r="75" ht="123.75" customHeight="1" outlineLevel="1">
      <c r="A75" s="70" t="str">
        <f t="shared" ref="A75:A77" si="11">"TC_Team_"&amp;(ROW()-ROW($A$11)+1-10)</f>
        <v>TC_Team_55</v>
      </c>
      <c r="B75" s="72" t="s">
        <v>1051</v>
      </c>
      <c r="C75" s="73"/>
      <c r="D75" s="72"/>
      <c r="E75" s="144" t="s">
        <v>975</v>
      </c>
      <c r="F75" s="76" t="s">
        <v>109</v>
      </c>
      <c r="G75" s="76" t="s">
        <v>101</v>
      </c>
      <c r="H75" s="77"/>
      <c r="I75" s="79" t="s">
        <v>649</v>
      </c>
      <c r="J75" s="78"/>
      <c r="K75" s="140">
        <v>46238.0</v>
      </c>
      <c r="L75" s="82" t="s">
        <v>22</v>
      </c>
      <c r="M75" s="141" t="s">
        <v>1008</v>
      </c>
      <c r="N75" s="86"/>
      <c r="O75" s="86"/>
      <c r="P75" s="86"/>
      <c r="Q75" s="86"/>
      <c r="R75" s="86"/>
      <c r="S75" s="86"/>
      <c r="T75" s="86"/>
    </row>
    <row r="76" ht="123.75" customHeight="1" outlineLevel="1">
      <c r="A76" s="70" t="str">
        <f t="shared" si="11"/>
        <v>TC_Team_56</v>
      </c>
      <c r="B76" s="72" t="s">
        <v>1054</v>
      </c>
      <c r="C76" s="73"/>
      <c r="D76" s="72"/>
      <c r="E76" s="144" t="s">
        <v>1055</v>
      </c>
      <c r="F76" s="76" t="s">
        <v>56</v>
      </c>
      <c r="G76" s="76" t="s">
        <v>101</v>
      </c>
      <c r="H76" s="77"/>
      <c r="I76" s="79" t="s">
        <v>58</v>
      </c>
      <c r="J76" s="78"/>
      <c r="K76" s="140">
        <v>46237.0</v>
      </c>
      <c r="L76" s="82" t="s">
        <v>22</v>
      </c>
      <c r="M76" s="84"/>
      <c r="N76" s="86"/>
      <c r="O76" s="86"/>
      <c r="P76" s="86"/>
      <c r="Q76" s="86"/>
      <c r="R76" s="86"/>
      <c r="S76" s="86"/>
      <c r="T76" s="86"/>
    </row>
    <row r="77" ht="123.75" customHeight="1" outlineLevel="1">
      <c r="A77" s="70" t="str">
        <f t="shared" si="11"/>
        <v>TC_Team_57</v>
      </c>
      <c r="B77" s="72" t="s">
        <v>1057</v>
      </c>
      <c r="C77" s="73"/>
      <c r="D77" s="72"/>
      <c r="E77" s="144" t="s">
        <v>1058</v>
      </c>
      <c r="F77" s="76" t="s">
        <v>56</v>
      </c>
      <c r="G77" s="76" t="s">
        <v>101</v>
      </c>
      <c r="H77" s="77"/>
      <c r="I77" s="79" t="s">
        <v>58</v>
      </c>
      <c r="J77" s="78"/>
      <c r="K77" s="140">
        <v>46237.0</v>
      </c>
      <c r="L77" s="82" t="s">
        <v>22</v>
      </c>
      <c r="M77" s="84"/>
      <c r="N77" s="86"/>
      <c r="O77" s="86"/>
      <c r="P77" s="86"/>
      <c r="Q77" s="86"/>
      <c r="R77" s="86"/>
      <c r="S77" s="86"/>
      <c r="T77" s="86"/>
    </row>
    <row r="78" ht="42.0" customHeight="1">
      <c r="A78" s="55" t="s">
        <v>1061</v>
      </c>
      <c r="B78" s="10"/>
      <c r="C78" s="57"/>
      <c r="D78" s="58"/>
      <c r="E78" s="58"/>
      <c r="F78" s="58"/>
      <c r="G78" s="60"/>
      <c r="H78" s="60"/>
      <c r="I78" s="60"/>
      <c r="J78" s="60"/>
      <c r="K78" s="60"/>
      <c r="L78" s="60"/>
      <c r="M78" s="60"/>
      <c r="N78" s="49"/>
      <c r="O78" s="49"/>
      <c r="P78" s="49"/>
      <c r="Q78" s="49"/>
      <c r="R78" s="49"/>
      <c r="S78" s="49"/>
      <c r="T78" s="49"/>
    </row>
    <row r="79" ht="123.75" customHeight="1" outlineLevel="1">
      <c r="A79" s="70" t="str">
        <f t="shared" ref="A79:A80" si="12">"TC_Team_"&amp;(ROW()-ROW($A$11)+1-11)</f>
        <v>TC_Team_58</v>
      </c>
      <c r="B79" s="72" t="s">
        <v>1064</v>
      </c>
      <c r="C79" s="73"/>
      <c r="D79" s="72"/>
      <c r="E79" s="144" t="s">
        <v>1065</v>
      </c>
      <c r="F79" s="76" t="s">
        <v>109</v>
      </c>
      <c r="G79" s="76" t="s">
        <v>101</v>
      </c>
      <c r="H79" s="77"/>
      <c r="I79" s="79" t="s">
        <v>58</v>
      </c>
      <c r="J79" s="78"/>
      <c r="K79" s="140">
        <v>46237.0</v>
      </c>
      <c r="L79" s="82" t="s">
        <v>22</v>
      </c>
      <c r="M79" s="142" t="s">
        <v>1067</v>
      </c>
      <c r="N79" s="86"/>
      <c r="O79" s="86"/>
      <c r="P79" s="86"/>
      <c r="Q79" s="86"/>
      <c r="R79" s="86"/>
      <c r="S79" s="86"/>
      <c r="T79" s="86"/>
    </row>
    <row r="80" ht="123.75" customHeight="1" outlineLevel="1">
      <c r="A80" s="70" t="str">
        <f t="shared" si="12"/>
        <v>TC_Team_59</v>
      </c>
      <c r="B80" s="72" t="s">
        <v>1068</v>
      </c>
      <c r="C80" s="73"/>
      <c r="D80" s="72"/>
      <c r="E80" s="144" t="s">
        <v>1065</v>
      </c>
      <c r="F80" s="76" t="s">
        <v>109</v>
      </c>
      <c r="G80" s="76" t="s">
        <v>101</v>
      </c>
      <c r="H80" s="77"/>
      <c r="I80" s="79" t="s">
        <v>58</v>
      </c>
      <c r="J80" s="78"/>
      <c r="K80" s="140">
        <v>46237.0</v>
      </c>
      <c r="L80" s="82" t="s">
        <v>22</v>
      </c>
      <c r="M80" s="84"/>
      <c r="N80" s="86"/>
      <c r="O80" s="86"/>
      <c r="P80" s="86"/>
      <c r="Q80" s="86"/>
      <c r="R80" s="86"/>
      <c r="S80" s="86"/>
      <c r="T80" s="86"/>
    </row>
    <row r="81" ht="123.75" customHeight="1" outlineLevel="1">
      <c r="A81" s="70" t="str">
        <f>"TC_Team_"&amp;(ROW()-ROW($A$11)+1-10)</f>
        <v>TC_Team_61</v>
      </c>
      <c r="B81" s="72" t="s">
        <v>1071</v>
      </c>
      <c r="C81" s="73"/>
      <c r="D81" s="72"/>
      <c r="E81" s="144" t="s">
        <v>1065</v>
      </c>
      <c r="F81" s="76" t="s">
        <v>109</v>
      </c>
      <c r="G81" s="76" t="s">
        <v>101</v>
      </c>
      <c r="H81" s="77"/>
      <c r="I81" s="79" t="s">
        <v>649</v>
      </c>
      <c r="J81" s="78"/>
      <c r="K81" s="140">
        <v>46237.0</v>
      </c>
      <c r="L81" s="82" t="s">
        <v>22</v>
      </c>
      <c r="M81" s="141" t="s">
        <v>1072</v>
      </c>
      <c r="N81" s="86"/>
      <c r="O81" s="86"/>
      <c r="P81" s="86"/>
      <c r="Q81" s="86"/>
      <c r="R81" s="86"/>
      <c r="S81" s="86"/>
      <c r="T81" s="86"/>
    </row>
    <row r="82" ht="42.0" customHeight="1">
      <c r="A82" s="55" t="s">
        <v>1075</v>
      </c>
      <c r="B82" s="10"/>
      <c r="C82" s="57"/>
      <c r="D82" s="58"/>
      <c r="E82" s="58"/>
      <c r="F82" s="58"/>
      <c r="G82" s="60"/>
      <c r="H82" s="60"/>
      <c r="I82" s="60"/>
      <c r="J82" s="60"/>
      <c r="K82" s="60"/>
      <c r="L82" s="60"/>
      <c r="M82" s="60"/>
      <c r="N82" s="49"/>
      <c r="O82" s="49"/>
      <c r="P82" s="49"/>
      <c r="Q82" s="49"/>
      <c r="R82" s="49"/>
      <c r="S82" s="49"/>
      <c r="T82" s="49"/>
    </row>
    <row r="83" ht="123.75" customHeight="1" outlineLevel="1">
      <c r="A83" s="70" t="str">
        <f t="shared" ref="A83:A84" si="13">"TC_Team_"&amp;(ROW()-ROW($A$11)+1-11)</f>
        <v>TC_Team_62</v>
      </c>
      <c r="B83" s="72" t="s">
        <v>1078</v>
      </c>
      <c r="C83" s="73"/>
      <c r="D83" s="72"/>
      <c r="E83" s="144" t="s">
        <v>975</v>
      </c>
      <c r="F83" s="76" t="s">
        <v>109</v>
      </c>
      <c r="G83" s="76" t="s">
        <v>101</v>
      </c>
      <c r="H83" s="77"/>
      <c r="I83" s="79" t="s">
        <v>649</v>
      </c>
      <c r="J83" s="78"/>
      <c r="K83" s="140">
        <v>46238.0</v>
      </c>
      <c r="L83" s="82" t="s">
        <v>22</v>
      </c>
      <c r="M83" s="84"/>
      <c r="N83" s="86"/>
      <c r="O83" s="86"/>
      <c r="P83" s="86"/>
      <c r="Q83" s="86"/>
      <c r="R83" s="86"/>
      <c r="S83" s="86"/>
      <c r="T83" s="86"/>
    </row>
    <row r="84" ht="123.75" customHeight="1" outlineLevel="1">
      <c r="A84" s="70" t="str">
        <f t="shared" si="13"/>
        <v>TC_Team_63</v>
      </c>
      <c r="B84" s="72" t="s">
        <v>1081</v>
      </c>
      <c r="C84" s="73"/>
      <c r="D84" s="72"/>
      <c r="E84" s="144" t="s">
        <v>1055</v>
      </c>
      <c r="F84" s="76" t="s">
        <v>109</v>
      </c>
      <c r="G84" s="76" t="s">
        <v>101</v>
      </c>
      <c r="H84" s="77"/>
      <c r="I84" s="79" t="s">
        <v>649</v>
      </c>
      <c r="J84" s="78"/>
      <c r="K84" s="140">
        <v>46237.0</v>
      </c>
      <c r="L84" s="82" t="s">
        <v>32</v>
      </c>
      <c r="M84" s="163" t="s">
        <v>1082</v>
      </c>
      <c r="N84" s="86"/>
      <c r="O84" s="86"/>
      <c r="P84" s="86"/>
      <c r="Q84" s="86"/>
      <c r="R84" s="86"/>
      <c r="S84" s="86"/>
      <c r="T84" s="86"/>
    </row>
    <row r="85" ht="42.0" customHeight="1">
      <c r="A85" s="55" t="s">
        <v>1083</v>
      </c>
      <c r="B85" s="10"/>
      <c r="C85" s="57"/>
      <c r="D85" s="58"/>
      <c r="E85" s="58"/>
      <c r="F85" s="58"/>
      <c r="G85" s="60"/>
      <c r="H85" s="60"/>
      <c r="I85" s="60"/>
      <c r="J85" s="60"/>
      <c r="K85" s="60"/>
      <c r="L85" s="60"/>
      <c r="M85" s="60"/>
      <c r="N85" s="49"/>
      <c r="O85" s="49"/>
      <c r="P85" s="49"/>
      <c r="Q85" s="49"/>
      <c r="R85" s="49"/>
      <c r="S85" s="49"/>
      <c r="T85" s="49"/>
    </row>
    <row r="86" ht="123.75" customHeight="1" outlineLevel="1">
      <c r="A86" s="70" t="str">
        <f t="shared" ref="A86:A87" si="14">"TC_Team_"&amp;(ROW()-ROW($A$11)+1-12)</f>
        <v>TC_Team_64</v>
      </c>
      <c r="B86" s="72" t="s">
        <v>1084</v>
      </c>
      <c r="C86" s="73"/>
      <c r="D86" s="72"/>
      <c r="E86" s="144" t="s">
        <v>1085</v>
      </c>
      <c r="F86" s="76" t="s">
        <v>109</v>
      </c>
      <c r="G86" s="76" t="s">
        <v>101</v>
      </c>
      <c r="H86" s="77"/>
      <c r="I86" s="79" t="s">
        <v>649</v>
      </c>
      <c r="J86" s="78"/>
      <c r="K86" s="140">
        <v>46237.0</v>
      </c>
      <c r="L86" s="82" t="s">
        <v>22</v>
      </c>
      <c r="M86" s="84"/>
      <c r="N86" s="86"/>
      <c r="O86" s="86"/>
      <c r="P86" s="86"/>
      <c r="Q86" s="86"/>
      <c r="R86" s="86"/>
      <c r="S86" s="86"/>
      <c r="T86" s="86"/>
    </row>
    <row r="87" ht="123.75" customHeight="1" outlineLevel="1">
      <c r="A87" s="70" t="str">
        <f t="shared" si="14"/>
        <v>TC_Team_65</v>
      </c>
      <c r="B87" s="72" t="s">
        <v>1087</v>
      </c>
      <c r="C87" s="73"/>
      <c r="D87" s="72"/>
      <c r="E87" s="144" t="s">
        <v>1085</v>
      </c>
      <c r="F87" s="76" t="s">
        <v>109</v>
      </c>
      <c r="G87" s="76" t="s">
        <v>101</v>
      </c>
      <c r="H87" s="77"/>
      <c r="I87" s="79" t="s">
        <v>58</v>
      </c>
      <c r="J87" s="78"/>
      <c r="K87" s="140">
        <v>46237.0</v>
      </c>
      <c r="L87" s="82" t="s">
        <v>22</v>
      </c>
      <c r="M87" s="84"/>
      <c r="N87" s="86"/>
      <c r="O87" s="86"/>
      <c r="P87" s="86"/>
      <c r="Q87" s="86"/>
      <c r="R87" s="86"/>
      <c r="S87" s="86"/>
      <c r="T87" s="86"/>
    </row>
    <row r="88" ht="42.0" customHeight="1">
      <c r="A88" s="55" t="s">
        <v>1090</v>
      </c>
      <c r="B88" s="10"/>
      <c r="C88" s="57"/>
      <c r="D88" s="58"/>
      <c r="E88" s="58"/>
      <c r="F88" s="58"/>
      <c r="G88" s="60"/>
      <c r="H88" s="60"/>
      <c r="I88" s="60"/>
      <c r="J88" s="60"/>
      <c r="K88" s="60"/>
      <c r="L88" s="60"/>
      <c r="M88" s="60"/>
      <c r="N88" s="49"/>
      <c r="O88" s="49"/>
      <c r="P88" s="49"/>
      <c r="Q88" s="49"/>
      <c r="R88" s="49"/>
      <c r="S88" s="49"/>
      <c r="T88" s="49"/>
    </row>
    <row r="89" outlineLevel="1">
      <c r="A89" s="70" t="str">
        <f t="shared" ref="A89:A93" si="15">"TC_Team_"&amp;(ROW()-ROW($A$11)+1-13)</f>
        <v>TC_Team_66</v>
      </c>
      <c r="B89" s="72" t="s">
        <v>1094</v>
      </c>
      <c r="C89" s="73"/>
      <c r="D89" s="72"/>
      <c r="E89" s="144" t="s">
        <v>1095</v>
      </c>
      <c r="F89" s="76" t="s">
        <v>56</v>
      </c>
      <c r="G89" s="76" t="s">
        <v>101</v>
      </c>
      <c r="H89" s="77"/>
      <c r="I89" s="79" t="s">
        <v>649</v>
      </c>
      <c r="J89" s="78"/>
      <c r="K89" s="140">
        <v>46237.0</v>
      </c>
      <c r="L89" s="82" t="s">
        <v>22</v>
      </c>
      <c r="M89" s="84"/>
      <c r="N89" s="86"/>
      <c r="O89" s="86"/>
      <c r="P89" s="86"/>
      <c r="Q89" s="86"/>
      <c r="R89" s="86"/>
      <c r="S89" s="86"/>
      <c r="T89" s="86"/>
    </row>
    <row r="90" ht="123.75" customHeight="1" outlineLevel="1">
      <c r="A90" s="70" t="str">
        <f t="shared" si="15"/>
        <v>TC_Team_67</v>
      </c>
      <c r="B90" s="72" t="s">
        <v>1098</v>
      </c>
      <c r="C90" s="73"/>
      <c r="D90" s="72"/>
      <c r="E90" s="144" t="s">
        <v>1101</v>
      </c>
      <c r="F90" s="76" t="s">
        <v>109</v>
      </c>
      <c r="G90" s="76" t="s">
        <v>101</v>
      </c>
      <c r="H90" s="77"/>
      <c r="I90" s="79" t="s">
        <v>649</v>
      </c>
      <c r="J90" s="78"/>
      <c r="K90" s="140">
        <v>46237.0</v>
      </c>
      <c r="L90" s="82" t="s">
        <v>22</v>
      </c>
      <c r="M90" s="84"/>
      <c r="N90" s="86"/>
      <c r="O90" s="86"/>
      <c r="P90" s="86"/>
      <c r="Q90" s="86"/>
      <c r="R90" s="86"/>
      <c r="S90" s="86"/>
      <c r="T90" s="86"/>
    </row>
    <row r="91" ht="123.75" customHeight="1" outlineLevel="1">
      <c r="A91" s="70" t="str">
        <f t="shared" si="15"/>
        <v>TC_Team_68</v>
      </c>
      <c r="B91" s="72" t="s">
        <v>1102</v>
      </c>
      <c r="C91" s="73"/>
      <c r="D91" s="72"/>
      <c r="E91" s="144" t="s">
        <v>1104</v>
      </c>
      <c r="F91" s="76" t="s">
        <v>109</v>
      </c>
      <c r="G91" s="76" t="s">
        <v>101</v>
      </c>
      <c r="H91" s="77"/>
      <c r="I91" s="79" t="s">
        <v>649</v>
      </c>
      <c r="J91" s="78"/>
      <c r="K91" s="140">
        <v>46237.0</v>
      </c>
      <c r="L91" s="82" t="s">
        <v>22</v>
      </c>
      <c r="M91" s="84"/>
      <c r="N91" s="86"/>
      <c r="O91" s="86"/>
      <c r="P91" s="86"/>
      <c r="Q91" s="86"/>
      <c r="R91" s="86"/>
      <c r="S91" s="86"/>
      <c r="T91" s="86"/>
    </row>
    <row r="92" ht="123.75" customHeight="1" outlineLevel="1">
      <c r="A92" s="70" t="str">
        <f t="shared" si="15"/>
        <v>TC_Team_69</v>
      </c>
      <c r="B92" s="171" t="s">
        <v>1106</v>
      </c>
      <c r="C92" s="172"/>
      <c r="D92" s="171"/>
      <c r="E92" s="173" t="s">
        <v>1108</v>
      </c>
      <c r="F92" s="76" t="s">
        <v>56</v>
      </c>
      <c r="G92" s="76" t="s">
        <v>101</v>
      </c>
      <c r="H92" s="77"/>
      <c r="I92" s="77"/>
      <c r="J92" s="78"/>
      <c r="K92" s="80"/>
      <c r="L92" s="82" t="s">
        <v>47</v>
      </c>
      <c r="M92" s="84"/>
      <c r="N92" s="86"/>
      <c r="O92" s="86"/>
      <c r="P92" s="86"/>
      <c r="Q92" s="86"/>
      <c r="R92" s="86"/>
      <c r="S92" s="86"/>
      <c r="T92" s="86"/>
    </row>
    <row r="93" ht="123.75" customHeight="1" outlineLevel="1">
      <c r="A93" s="70" t="str">
        <f t="shared" si="15"/>
        <v>TC_Team_70</v>
      </c>
      <c r="B93" s="171" t="s">
        <v>1110</v>
      </c>
      <c r="C93" s="172"/>
      <c r="D93" s="171"/>
      <c r="E93" s="173" t="s">
        <v>1108</v>
      </c>
      <c r="F93" s="76" t="s">
        <v>56</v>
      </c>
      <c r="G93" s="76" t="s">
        <v>101</v>
      </c>
      <c r="H93" s="77"/>
      <c r="I93" s="77"/>
      <c r="J93" s="78"/>
      <c r="K93" s="80"/>
      <c r="L93" s="82" t="s">
        <v>47</v>
      </c>
      <c r="M93" s="84"/>
      <c r="N93" s="86"/>
      <c r="O93" s="86"/>
      <c r="P93" s="86"/>
      <c r="Q93" s="86"/>
      <c r="R93" s="86"/>
      <c r="S93" s="86"/>
      <c r="T93" s="86"/>
    </row>
    <row r="94" ht="42.0" customHeight="1">
      <c r="A94" s="55" t="s">
        <v>1112</v>
      </c>
      <c r="B94" s="10"/>
      <c r="C94" s="57"/>
      <c r="D94" s="58"/>
      <c r="E94" s="58"/>
      <c r="F94" s="58"/>
      <c r="G94" s="60"/>
      <c r="H94" s="60"/>
      <c r="I94" s="60"/>
      <c r="J94" s="60"/>
      <c r="K94" s="60"/>
      <c r="L94" s="60"/>
      <c r="M94" s="60"/>
      <c r="N94" s="49"/>
      <c r="O94" s="49"/>
      <c r="P94" s="49"/>
      <c r="Q94" s="49"/>
      <c r="R94" s="49"/>
      <c r="S94" s="49"/>
      <c r="T94" s="49"/>
    </row>
    <row r="95" ht="123.75" customHeight="1" outlineLevel="1">
      <c r="A95" s="70" t="str">
        <f t="shared" ref="A95:A100" si="16">"TC_Team_"&amp;(ROW()-ROW($A$11)+1-14)</f>
        <v>TC_Team_71</v>
      </c>
      <c r="B95" s="72" t="s">
        <v>1114</v>
      </c>
      <c r="C95" s="73"/>
      <c r="D95" s="72"/>
      <c r="E95" s="176" t="s">
        <v>1116</v>
      </c>
      <c r="F95" s="76" t="s">
        <v>109</v>
      </c>
      <c r="G95" s="76" t="s">
        <v>101</v>
      </c>
      <c r="H95" s="77"/>
      <c r="I95" s="79" t="s">
        <v>58</v>
      </c>
      <c r="J95" s="78"/>
      <c r="K95" s="80"/>
      <c r="L95" s="82" t="s">
        <v>22</v>
      </c>
      <c r="M95" s="163" t="s">
        <v>1122</v>
      </c>
      <c r="N95" s="86"/>
      <c r="O95" s="86"/>
      <c r="P95" s="86"/>
      <c r="Q95" s="86"/>
      <c r="R95" s="86"/>
      <c r="S95" s="86"/>
      <c r="T95" s="86"/>
    </row>
    <row r="96" ht="123.75" customHeight="1" outlineLevel="1">
      <c r="A96" s="70" t="str">
        <f t="shared" si="16"/>
        <v>TC_Team_72</v>
      </c>
      <c r="B96" s="72" t="s">
        <v>1124</v>
      </c>
      <c r="C96" s="73"/>
      <c r="D96" s="72"/>
      <c r="E96" s="176" t="s">
        <v>1125</v>
      </c>
      <c r="F96" s="76" t="s">
        <v>109</v>
      </c>
      <c r="G96" s="76" t="s">
        <v>101</v>
      </c>
      <c r="H96" s="77"/>
      <c r="I96" s="79" t="s">
        <v>58</v>
      </c>
      <c r="J96" s="78"/>
      <c r="K96" s="139">
        <v>46239.0</v>
      </c>
      <c r="L96" s="82" t="s">
        <v>22</v>
      </c>
      <c r="M96" s="178"/>
      <c r="N96" s="86"/>
      <c r="O96" s="86"/>
      <c r="P96" s="86"/>
      <c r="Q96" s="86"/>
      <c r="R96" s="86"/>
      <c r="S96" s="86"/>
      <c r="T96" s="86"/>
    </row>
    <row r="97" ht="123.75" customHeight="1" outlineLevel="1">
      <c r="A97" s="70" t="str">
        <f t="shared" si="16"/>
        <v>TC_Team_73</v>
      </c>
      <c r="B97" s="72" t="s">
        <v>1127</v>
      </c>
      <c r="C97" s="73"/>
      <c r="D97" s="72"/>
      <c r="E97" s="180" t="s">
        <v>1128</v>
      </c>
      <c r="F97" s="76" t="s">
        <v>109</v>
      </c>
      <c r="G97" s="76" t="s">
        <v>101</v>
      </c>
      <c r="H97" s="77"/>
      <c r="I97" s="79" t="s">
        <v>58</v>
      </c>
      <c r="J97" s="78"/>
      <c r="K97" s="139">
        <v>46239.0</v>
      </c>
      <c r="L97" s="82" t="s">
        <v>22</v>
      </c>
      <c r="M97" s="178"/>
      <c r="N97" s="86"/>
      <c r="O97" s="86"/>
      <c r="P97" s="86"/>
      <c r="Q97" s="86"/>
      <c r="R97" s="86"/>
      <c r="S97" s="86"/>
      <c r="T97" s="86"/>
    </row>
    <row r="98" ht="123.75" customHeight="1" outlineLevel="1">
      <c r="A98" s="70" t="str">
        <f t="shared" si="16"/>
        <v>TC_Team_74</v>
      </c>
      <c r="B98" s="72" t="s">
        <v>1129</v>
      </c>
      <c r="C98" s="73"/>
      <c r="D98" s="72"/>
      <c r="E98" s="176" t="s">
        <v>1130</v>
      </c>
      <c r="F98" s="76" t="s">
        <v>109</v>
      </c>
      <c r="G98" s="76" t="s">
        <v>101</v>
      </c>
      <c r="H98" s="77"/>
      <c r="I98" s="79" t="s">
        <v>58</v>
      </c>
      <c r="J98" s="78"/>
      <c r="K98" s="139">
        <v>46239.0</v>
      </c>
      <c r="L98" s="82" t="s">
        <v>22</v>
      </c>
      <c r="M98" s="178"/>
      <c r="N98" s="86"/>
      <c r="O98" s="86"/>
      <c r="P98" s="86"/>
      <c r="Q98" s="86"/>
      <c r="R98" s="86"/>
      <c r="S98" s="86"/>
      <c r="T98" s="86"/>
    </row>
    <row r="99" ht="123.75" customHeight="1" outlineLevel="1">
      <c r="A99" s="70" t="str">
        <f t="shared" si="16"/>
        <v>TC_Team_75</v>
      </c>
      <c r="B99" s="72" t="s">
        <v>1131</v>
      </c>
      <c r="C99" s="73"/>
      <c r="D99" s="72"/>
      <c r="E99" s="176" t="s">
        <v>1132</v>
      </c>
      <c r="F99" s="76" t="s">
        <v>109</v>
      </c>
      <c r="G99" s="76" t="s">
        <v>101</v>
      </c>
      <c r="H99" s="77"/>
      <c r="I99" s="79" t="s">
        <v>58</v>
      </c>
      <c r="J99" s="78"/>
      <c r="K99" s="139">
        <v>46239.0</v>
      </c>
      <c r="L99" s="82" t="s">
        <v>22</v>
      </c>
      <c r="M99" s="178"/>
      <c r="N99" s="86"/>
      <c r="O99" s="86"/>
      <c r="P99" s="86"/>
      <c r="Q99" s="86"/>
      <c r="R99" s="86"/>
      <c r="S99" s="86"/>
      <c r="T99" s="86"/>
    </row>
    <row r="100" ht="123.75" customHeight="1" outlineLevel="1">
      <c r="A100" s="70" t="str">
        <f t="shared" si="16"/>
        <v>TC_Team_76</v>
      </c>
      <c r="B100" s="72" t="s">
        <v>1133</v>
      </c>
      <c r="C100" s="73"/>
      <c r="D100" s="72"/>
      <c r="E100" s="176" t="s">
        <v>1134</v>
      </c>
      <c r="F100" s="76" t="s">
        <v>109</v>
      </c>
      <c r="G100" s="76" t="s">
        <v>101</v>
      </c>
      <c r="H100" s="77"/>
      <c r="I100" s="79" t="s">
        <v>58</v>
      </c>
      <c r="J100" s="78"/>
      <c r="K100" s="139">
        <v>46239.0</v>
      </c>
      <c r="L100" s="82" t="s">
        <v>32</v>
      </c>
      <c r="M100" s="181" t="s">
        <v>1135</v>
      </c>
      <c r="N100" s="86"/>
      <c r="O100" s="86"/>
      <c r="P100" s="86"/>
      <c r="Q100" s="86"/>
      <c r="R100" s="86"/>
      <c r="S100" s="86"/>
      <c r="T100" s="86"/>
    </row>
    <row r="101" ht="42.0" customHeight="1">
      <c r="A101" s="55" t="s">
        <v>1136</v>
      </c>
      <c r="B101" s="10"/>
      <c r="C101" s="57"/>
      <c r="D101" s="58"/>
      <c r="E101" s="58"/>
      <c r="F101" s="58"/>
      <c r="G101" s="60"/>
      <c r="H101" s="60"/>
      <c r="I101" s="60"/>
      <c r="J101" s="60"/>
      <c r="K101" s="60"/>
      <c r="L101" s="60"/>
      <c r="M101" s="60"/>
      <c r="N101" s="49"/>
      <c r="O101" s="49"/>
      <c r="P101" s="49"/>
      <c r="Q101" s="49"/>
      <c r="R101" s="49"/>
      <c r="S101" s="49"/>
      <c r="T101" s="49"/>
    </row>
    <row r="102" ht="123.75" customHeight="1" outlineLevel="1">
      <c r="A102" s="70" t="str">
        <f t="shared" ref="A102:A108" si="17">"TC_Team_"&amp;(ROW()-ROW($A$11)+1-15)</f>
        <v>TC_Team_77</v>
      </c>
      <c r="B102" s="72" t="s">
        <v>1137</v>
      </c>
      <c r="C102" s="73"/>
      <c r="D102" s="72"/>
      <c r="E102" s="144" t="s">
        <v>1138</v>
      </c>
      <c r="F102" s="76" t="s">
        <v>56</v>
      </c>
      <c r="G102" s="76" t="s">
        <v>57</v>
      </c>
      <c r="H102" s="77"/>
      <c r="I102" s="77"/>
      <c r="J102" s="78"/>
      <c r="K102" s="80"/>
      <c r="L102" s="82" t="s">
        <v>12</v>
      </c>
      <c r="M102" s="84"/>
      <c r="N102" s="86"/>
      <c r="O102" s="86"/>
      <c r="P102" s="86"/>
      <c r="Q102" s="86"/>
      <c r="R102" s="86"/>
      <c r="S102" s="86"/>
      <c r="T102" s="86"/>
    </row>
    <row r="103" ht="123.75" customHeight="1" outlineLevel="1">
      <c r="A103" s="70" t="str">
        <f t="shared" si="17"/>
        <v>TC_Team_78</v>
      </c>
      <c r="B103" s="72" t="s">
        <v>1139</v>
      </c>
      <c r="C103" s="73"/>
      <c r="D103" s="72"/>
      <c r="E103" s="144" t="s">
        <v>1140</v>
      </c>
      <c r="F103" s="76" t="s">
        <v>56</v>
      </c>
      <c r="G103" s="76" t="s">
        <v>57</v>
      </c>
      <c r="H103" s="77"/>
      <c r="I103" s="77"/>
      <c r="J103" s="78"/>
      <c r="K103" s="80"/>
      <c r="L103" s="82" t="s">
        <v>12</v>
      </c>
      <c r="M103" s="84"/>
      <c r="N103" s="86"/>
      <c r="O103" s="86"/>
      <c r="P103" s="86"/>
      <c r="Q103" s="86"/>
      <c r="R103" s="86"/>
      <c r="S103" s="86"/>
      <c r="T103" s="86"/>
    </row>
    <row r="104" ht="123.75" customHeight="1" outlineLevel="1">
      <c r="A104" s="70" t="str">
        <f t="shared" si="17"/>
        <v>TC_Team_79</v>
      </c>
      <c r="B104" s="72" t="s">
        <v>1141</v>
      </c>
      <c r="C104" s="73"/>
      <c r="D104" s="72"/>
      <c r="E104" s="144" t="s">
        <v>1142</v>
      </c>
      <c r="F104" s="76" t="s">
        <v>56</v>
      </c>
      <c r="G104" s="76" t="s">
        <v>101</v>
      </c>
      <c r="H104" s="77"/>
      <c r="I104" s="77"/>
      <c r="J104" s="78"/>
      <c r="K104" s="80"/>
      <c r="L104" s="82" t="s">
        <v>12</v>
      </c>
      <c r="M104" s="84"/>
      <c r="N104" s="86"/>
      <c r="O104" s="86"/>
      <c r="P104" s="86"/>
      <c r="Q104" s="86"/>
      <c r="R104" s="86"/>
      <c r="S104" s="86"/>
      <c r="T104" s="86"/>
    </row>
    <row r="105" ht="123.75" customHeight="1" outlineLevel="1">
      <c r="A105" s="70" t="str">
        <f t="shared" si="17"/>
        <v>TC_Team_80</v>
      </c>
      <c r="B105" s="72" t="s">
        <v>1143</v>
      </c>
      <c r="C105" s="73"/>
      <c r="D105" s="72"/>
      <c r="E105" s="144" t="s">
        <v>1144</v>
      </c>
      <c r="F105" s="76" t="s">
        <v>109</v>
      </c>
      <c r="G105" s="76" t="s">
        <v>57</v>
      </c>
      <c r="H105" s="77"/>
      <c r="I105" s="77"/>
      <c r="J105" s="78"/>
      <c r="K105" s="80"/>
      <c r="L105" s="82" t="s">
        <v>12</v>
      </c>
      <c r="M105" s="84"/>
      <c r="N105" s="86"/>
      <c r="O105" s="86"/>
      <c r="P105" s="86"/>
      <c r="Q105" s="86"/>
      <c r="R105" s="86"/>
      <c r="S105" s="86"/>
      <c r="T105" s="86"/>
    </row>
    <row r="106" ht="123.75" customHeight="1" outlineLevel="1">
      <c r="A106" s="70" t="str">
        <f t="shared" si="17"/>
        <v>TC_Team_81</v>
      </c>
      <c r="B106" s="72" t="s">
        <v>1145</v>
      </c>
      <c r="C106" s="73"/>
      <c r="D106" s="72"/>
      <c r="E106" s="144" t="s">
        <v>1146</v>
      </c>
      <c r="F106" s="76" t="s">
        <v>109</v>
      </c>
      <c r="G106" s="76" t="s">
        <v>101</v>
      </c>
      <c r="H106" s="77"/>
      <c r="I106" s="77"/>
      <c r="J106" s="78"/>
      <c r="K106" s="80"/>
      <c r="L106" s="82" t="s">
        <v>12</v>
      </c>
      <c r="M106" s="84"/>
      <c r="N106" s="86"/>
      <c r="O106" s="86"/>
      <c r="P106" s="86"/>
      <c r="Q106" s="86"/>
      <c r="R106" s="86"/>
      <c r="S106" s="86"/>
      <c r="T106" s="86"/>
    </row>
    <row r="107" ht="123.75" customHeight="1" outlineLevel="1">
      <c r="A107" s="70" t="str">
        <f t="shared" si="17"/>
        <v>TC_Team_82</v>
      </c>
      <c r="B107" s="72" t="s">
        <v>1147</v>
      </c>
      <c r="C107" s="73"/>
      <c r="D107" s="72"/>
      <c r="E107" s="144" t="s">
        <v>1148</v>
      </c>
      <c r="F107" s="76" t="s">
        <v>109</v>
      </c>
      <c r="G107" s="76" t="s">
        <v>57</v>
      </c>
      <c r="H107" s="77"/>
      <c r="I107" s="77"/>
      <c r="J107" s="78"/>
      <c r="K107" s="80"/>
      <c r="L107" s="82" t="s">
        <v>12</v>
      </c>
      <c r="M107" s="84"/>
      <c r="N107" s="86"/>
      <c r="O107" s="86"/>
      <c r="P107" s="86"/>
      <c r="Q107" s="86"/>
      <c r="R107" s="86"/>
      <c r="S107" s="86"/>
      <c r="T107" s="86"/>
    </row>
    <row r="108" ht="123.75" customHeight="1" outlineLevel="1">
      <c r="A108" s="70" t="str">
        <f t="shared" si="17"/>
        <v>TC_Team_83</v>
      </c>
      <c r="B108" s="72" t="s">
        <v>1149</v>
      </c>
      <c r="C108" s="73"/>
      <c r="D108" s="72"/>
      <c r="E108" s="144" t="s">
        <v>1150</v>
      </c>
      <c r="F108" s="76" t="s">
        <v>109</v>
      </c>
      <c r="G108" s="76" t="s">
        <v>57</v>
      </c>
      <c r="H108" s="77"/>
      <c r="I108" s="77"/>
      <c r="J108" s="78"/>
      <c r="K108" s="80"/>
      <c r="L108" s="82" t="s">
        <v>12</v>
      </c>
      <c r="M108" s="84"/>
      <c r="N108" s="86"/>
      <c r="O108" s="86"/>
      <c r="P108" s="86"/>
      <c r="Q108" s="86"/>
      <c r="R108" s="86"/>
      <c r="S108" s="86"/>
      <c r="T108" s="86"/>
    </row>
    <row r="109" ht="42.0" customHeight="1">
      <c r="A109" s="55" t="s">
        <v>1151</v>
      </c>
      <c r="B109" s="10"/>
      <c r="C109" s="57"/>
      <c r="D109" s="58"/>
      <c r="E109" s="58"/>
      <c r="F109" s="58"/>
      <c r="G109" s="60"/>
      <c r="H109" s="60"/>
      <c r="I109" s="60"/>
      <c r="J109" s="60"/>
      <c r="K109" s="60"/>
      <c r="L109" s="60"/>
      <c r="M109" s="60"/>
      <c r="N109" s="49"/>
      <c r="O109" s="49"/>
      <c r="P109" s="49"/>
      <c r="Q109" s="49"/>
      <c r="R109" s="49"/>
      <c r="S109" s="49"/>
      <c r="T109" s="49"/>
    </row>
    <row r="110" ht="123.75" customHeight="1" outlineLevel="1">
      <c r="A110" s="70" t="str">
        <f>"TC_Team_"&amp;(ROW()-ROW($A$11)+1-16)</f>
        <v>TC_Team_84</v>
      </c>
      <c r="B110" s="72" t="s">
        <v>1152</v>
      </c>
      <c r="C110" s="73"/>
      <c r="D110" s="72"/>
      <c r="E110" s="144" t="s">
        <v>1153</v>
      </c>
      <c r="F110" s="76" t="s">
        <v>56</v>
      </c>
      <c r="G110" s="76" t="s">
        <v>57</v>
      </c>
      <c r="H110" s="77"/>
      <c r="I110" s="77"/>
      <c r="J110" s="78"/>
      <c r="K110" s="80"/>
      <c r="L110" s="82" t="s">
        <v>22</v>
      </c>
      <c r="M110" s="84"/>
      <c r="N110" s="86"/>
      <c r="O110" s="86"/>
      <c r="P110" s="86"/>
      <c r="Q110" s="86"/>
      <c r="R110" s="86"/>
      <c r="S110" s="86"/>
      <c r="T110" s="86"/>
    </row>
    <row r="111" ht="15.75" customHeight="1">
      <c r="I111" s="117"/>
      <c r="K111" s="117"/>
      <c r="L111" s="118"/>
    </row>
    <row r="112" ht="15.75" customHeight="1">
      <c r="I112" s="117"/>
      <c r="K112" s="117"/>
      <c r="L112" s="118"/>
    </row>
    <row r="113" ht="15.75" customHeight="1">
      <c r="I113" s="117"/>
      <c r="K113" s="117"/>
      <c r="L113" s="118"/>
    </row>
    <row r="114" ht="15.75" customHeight="1">
      <c r="I114" s="117"/>
      <c r="K114" s="117"/>
      <c r="L114" s="118"/>
    </row>
    <row r="115" ht="15.75" customHeight="1">
      <c r="I115" s="117"/>
      <c r="K115" s="117"/>
      <c r="L115" s="118"/>
    </row>
    <row r="116" ht="15.75" customHeight="1">
      <c r="I116" s="117"/>
      <c r="K116" s="117"/>
      <c r="L116" s="118"/>
    </row>
    <row r="117" ht="15.75" customHeight="1">
      <c r="I117" s="117"/>
      <c r="K117" s="117"/>
      <c r="L117" s="118"/>
    </row>
    <row r="118" ht="15.75" customHeight="1">
      <c r="I118" s="117"/>
      <c r="K118" s="117"/>
      <c r="L118" s="118"/>
    </row>
    <row r="119" ht="15.75" customHeight="1">
      <c r="I119" s="117"/>
      <c r="K119" s="117"/>
      <c r="L119" s="118"/>
    </row>
    <row r="120" ht="15.75" customHeight="1">
      <c r="I120" s="117"/>
      <c r="K120" s="117"/>
      <c r="L120" s="118"/>
    </row>
    <row r="121" ht="15.75" customHeight="1">
      <c r="I121" s="117"/>
      <c r="K121" s="117"/>
      <c r="L121" s="118"/>
    </row>
    <row r="122" ht="15.75" customHeight="1">
      <c r="I122" s="117"/>
      <c r="K122" s="117"/>
      <c r="L122" s="118"/>
    </row>
    <row r="123" ht="15.75" customHeight="1">
      <c r="A123" s="182" t="s">
        <v>1154</v>
      </c>
      <c r="I123" s="117"/>
      <c r="K123" s="117"/>
      <c r="L123" s="118"/>
    </row>
    <row r="124" ht="15.75" customHeight="1">
      <c r="A124" s="183" t="s">
        <v>1155</v>
      </c>
      <c r="I124" s="117"/>
      <c r="K124" s="117"/>
      <c r="L124" s="118"/>
    </row>
    <row r="125" ht="15.75" customHeight="1">
      <c r="A125" s="184" t="s">
        <v>1156</v>
      </c>
      <c r="I125" s="117"/>
      <c r="K125" s="117"/>
      <c r="L125" s="118"/>
    </row>
    <row r="126" ht="15.75" customHeight="1">
      <c r="A126" s="185" t="s">
        <v>1157</v>
      </c>
      <c r="I126" s="117"/>
      <c r="K126" s="117"/>
      <c r="L126" s="118"/>
    </row>
    <row r="127" ht="15.75" customHeight="1">
      <c r="A127" s="186" t="s">
        <v>1158</v>
      </c>
      <c r="I127" s="117"/>
      <c r="K127" s="117"/>
      <c r="L127" s="118"/>
    </row>
    <row r="128" ht="15.75" customHeight="1">
      <c r="A128" s="186" t="s">
        <v>1159</v>
      </c>
      <c r="I128" s="117"/>
      <c r="K128" s="117"/>
      <c r="L128" s="118"/>
    </row>
    <row r="129" ht="15.75" customHeight="1">
      <c r="A129" s="187" t="s">
        <v>1160</v>
      </c>
      <c r="I129" s="117"/>
      <c r="K129" s="117"/>
      <c r="L129" s="118"/>
    </row>
    <row r="130" ht="15.75" customHeight="1">
      <c r="A130" s="188" t="s">
        <v>1161</v>
      </c>
      <c r="B130" s="188" t="s">
        <v>1162</v>
      </c>
      <c r="C130" s="189"/>
      <c r="D130" s="189"/>
      <c r="E130" s="189"/>
      <c r="I130" s="117"/>
      <c r="K130" s="117"/>
      <c r="L130" s="118"/>
    </row>
    <row r="131" ht="15.75" customHeight="1">
      <c r="A131" s="189"/>
      <c r="B131" s="188" t="s">
        <v>1163</v>
      </c>
      <c r="C131" s="189"/>
      <c r="D131" s="189"/>
      <c r="E131" s="189"/>
      <c r="I131" s="117"/>
      <c r="K131" s="117"/>
      <c r="L131" s="118"/>
    </row>
    <row r="132" ht="15.75" customHeight="1">
      <c r="A132" s="189"/>
      <c r="B132" s="188" t="s">
        <v>1164</v>
      </c>
      <c r="C132" s="189"/>
      <c r="D132" s="189"/>
      <c r="E132" s="188" t="s">
        <v>1165</v>
      </c>
      <c r="I132" s="117"/>
      <c r="K132" s="117"/>
      <c r="L132" s="118"/>
    </row>
    <row r="133" ht="15.75" customHeight="1">
      <c r="A133" s="189"/>
      <c r="B133" s="189"/>
      <c r="C133" s="189"/>
      <c r="D133" s="189"/>
      <c r="E133" s="188" t="s">
        <v>1166</v>
      </c>
      <c r="I133" s="117"/>
      <c r="K133" s="117"/>
      <c r="L133" s="118"/>
    </row>
    <row r="134" ht="15.75" customHeight="1">
      <c r="A134" s="189"/>
      <c r="B134" s="189"/>
      <c r="C134" s="189"/>
      <c r="D134" s="189"/>
      <c r="E134" s="188" t="s">
        <v>1167</v>
      </c>
      <c r="I134" s="117"/>
      <c r="K134" s="117"/>
      <c r="L134" s="118"/>
    </row>
    <row r="135" ht="15.75" customHeight="1">
      <c r="A135" s="189"/>
      <c r="B135" s="189"/>
      <c r="C135" s="189"/>
      <c r="D135" s="189"/>
      <c r="E135" s="188" t="s">
        <v>1168</v>
      </c>
      <c r="I135" s="117"/>
      <c r="K135" s="117"/>
      <c r="L135" s="118"/>
    </row>
    <row r="136" ht="15.75" customHeight="1">
      <c r="A136" s="189"/>
      <c r="B136" s="189"/>
      <c r="C136" s="189"/>
      <c r="D136" s="189"/>
      <c r="E136" s="188" t="s">
        <v>1169</v>
      </c>
      <c r="I136" s="117"/>
      <c r="K136" s="117"/>
      <c r="L136" s="118"/>
    </row>
    <row r="137" ht="15.75" customHeight="1">
      <c r="A137" s="189"/>
      <c r="B137" s="189"/>
      <c r="C137" s="189"/>
      <c r="D137" s="189"/>
      <c r="E137" s="188" t="s">
        <v>1170</v>
      </c>
      <c r="I137" s="117"/>
      <c r="K137" s="117"/>
      <c r="L137" s="118"/>
    </row>
    <row r="138" ht="15.75" customHeight="1">
      <c r="A138" s="189"/>
      <c r="B138" s="189"/>
      <c r="C138" s="189"/>
      <c r="D138" s="189"/>
      <c r="E138" s="188" t="s">
        <v>1171</v>
      </c>
      <c r="I138" s="117"/>
      <c r="K138" s="117"/>
      <c r="L138" s="118"/>
    </row>
    <row r="139" ht="15.75" customHeight="1">
      <c r="A139" s="189"/>
      <c r="B139" s="188" t="s">
        <v>1172</v>
      </c>
      <c r="C139" s="189"/>
      <c r="D139" s="189"/>
      <c r="E139" s="189"/>
      <c r="I139" s="117"/>
      <c r="K139" s="117"/>
      <c r="L139" s="118"/>
    </row>
    <row r="140" ht="15.75" customHeight="1">
      <c r="I140" s="117"/>
      <c r="K140" s="117"/>
      <c r="L140" s="118"/>
    </row>
    <row r="141" ht="15.75" customHeight="1">
      <c r="I141" s="117"/>
      <c r="K141" s="117"/>
      <c r="L141" s="118"/>
    </row>
    <row r="142" ht="15.75" customHeight="1">
      <c r="I142" s="117"/>
      <c r="K142" s="117"/>
      <c r="L142" s="118"/>
    </row>
    <row r="143" ht="15.75" customHeight="1">
      <c r="I143" s="117"/>
      <c r="K143" s="117"/>
      <c r="L143" s="118"/>
    </row>
    <row r="144" ht="15.75" customHeight="1">
      <c r="I144" s="117"/>
      <c r="K144" s="117"/>
      <c r="L144" s="118"/>
    </row>
    <row r="145" ht="15.75" customHeight="1">
      <c r="I145" s="117"/>
      <c r="K145" s="117"/>
      <c r="L145" s="118"/>
    </row>
    <row r="146" ht="15.75" customHeight="1">
      <c r="I146" s="117"/>
      <c r="K146" s="117"/>
      <c r="L146" s="118"/>
    </row>
    <row r="147" ht="15.75" customHeight="1">
      <c r="I147" s="117"/>
      <c r="K147" s="117"/>
      <c r="L147" s="118"/>
    </row>
    <row r="148" ht="15.75" customHeight="1">
      <c r="I148" s="117"/>
      <c r="K148" s="117"/>
      <c r="L148" s="118"/>
    </row>
    <row r="149" ht="15.75" customHeight="1">
      <c r="I149" s="117"/>
      <c r="K149" s="117"/>
      <c r="L149" s="118"/>
    </row>
    <row r="150" ht="15.75" customHeight="1">
      <c r="I150" s="117"/>
      <c r="K150" s="117"/>
      <c r="L150" s="118"/>
    </row>
    <row r="151" ht="15.75" customHeight="1">
      <c r="I151" s="117"/>
      <c r="K151" s="117"/>
      <c r="L151" s="118"/>
    </row>
    <row r="152" ht="15.75" customHeight="1">
      <c r="I152" s="117"/>
      <c r="K152" s="117"/>
      <c r="L152" s="118"/>
    </row>
    <row r="153" ht="15.75" customHeight="1">
      <c r="I153" s="117"/>
      <c r="K153" s="117"/>
      <c r="L153" s="118"/>
    </row>
    <row r="154" ht="15.75" customHeight="1">
      <c r="I154" s="117"/>
      <c r="K154" s="117"/>
      <c r="L154" s="118"/>
    </row>
    <row r="155" ht="15.75" customHeight="1">
      <c r="I155" s="117"/>
      <c r="K155" s="117"/>
      <c r="L155" s="118"/>
    </row>
    <row r="156" ht="15.75" customHeight="1">
      <c r="I156" s="117"/>
      <c r="K156" s="117"/>
      <c r="L156" s="118"/>
    </row>
    <row r="157" ht="15.75" customHeight="1">
      <c r="I157" s="117"/>
      <c r="K157" s="117"/>
      <c r="L157" s="118"/>
    </row>
    <row r="158" ht="15.75" customHeight="1">
      <c r="I158" s="117"/>
      <c r="K158" s="117"/>
      <c r="L158" s="118"/>
    </row>
    <row r="159" ht="15.75" customHeight="1">
      <c r="I159" s="117"/>
      <c r="K159" s="117"/>
      <c r="L159" s="118"/>
    </row>
    <row r="160" ht="15.75" customHeight="1">
      <c r="I160" s="117"/>
      <c r="K160" s="117"/>
      <c r="L160" s="118"/>
    </row>
    <row r="161" ht="15.75" customHeight="1">
      <c r="I161" s="117"/>
      <c r="K161" s="117"/>
      <c r="L161" s="118"/>
    </row>
    <row r="162" ht="15.75" customHeight="1">
      <c r="I162" s="117"/>
      <c r="K162" s="117"/>
      <c r="L162" s="118"/>
    </row>
    <row r="163" ht="15.75" customHeight="1">
      <c r="I163" s="117"/>
      <c r="K163" s="117"/>
      <c r="L163" s="118"/>
    </row>
    <row r="164" ht="15.75" customHeight="1">
      <c r="E164" s="124" t="s">
        <v>462</v>
      </c>
      <c r="F164" s="125">
        <f>COUNTIF(L11,"Pass")</f>
        <v>1</v>
      </c>
      <c r="G164" s="126">
        <f>(F164/F170)*100</f>
        <v>100</v>
      </c>
      <c r="H164" s="127" t="s">
        <v>465</v>
      </c>
      <c r="I164" s="117"/>
      <c r="K164" s="117"/>
      <c r="L164" s="118"/>
    </row>
    <row r="165" ht="15.75" customHeight="1">
      <c r="E165" s="124" t="s">
        <v>467</v>
      </c>
      <c r="F165" s="125">
        <f>COUNTIF(L11,"Fail")</f>
        <v>0</v>
      </c>
      <c r="G165" s="126">
        <f>(F165/F170)*100</f>
        <v>0</v>
      </c>
      <c r="H165" s="127" t="s">
        <v>465</v>
      </c>
      <c r="I165" s="117"/>
      <c r="K165" s="117"/>
      <c r="L165" s="118"/>
    </row>
    <row r="166" ht="15.75" customHeight="1">
      <c r="E166" s="124" t="s">
        <v>12</v>
      </c>
      <c r="F166" s="125">
        <f>COUNTIF(L11,"Not Start")</f>
        <v>0</v>
      </c>
      <c r="G166" s="126">
        <f>(F166/F170)*100</f>
        <v>0</v>
      </c>
      <c r="H166" s="127" t="s">
        <v>465</v>
      </c>
      <c r="I166" s="117"/>
      <c r="K166" s="117"/>
      <c r="L166" s="118"/>
    </row>
    <row r="167" ht="15.75" customHeight="1">
      <c r="E167" s="124" t="s">
        <v>474</v>
      </c>
      <c r="F167" s="125">
        <f>COUNTIF(L11,"Pending")</f>
        <v>0</v>
      </c>
      <c r="G167" s="126">
        <f>(F167/F170)*100</f>
        <v>0</v>
      </c>
      <c r="H167" s="127" t="s">
        <v>465</v>
      </c>
      <c r="I167" s="117"/>
      <c r="K167" s="117"/>
      <c r="L167" s="118"/>
    </row>
    <row r="168" ht="15.75" customHeight="1">
      <c r="E168" s="124" t="s">
        <v>44</v>
      </c>
      <c r="F168" s="125">
        <f>COUNTIF(L11,"Deferred")</f>
        <v>0</v>
      </c>
      <c r="G168" s="126">
        <f>(F168/F170)*100</f>
        <v>0</v>
      </c>
      <c r="H168" s="127" t="s">
        <v>465</v>
      </c>
      <c r="I168" s="117"/>
      <c r="K168" s="117"/>
      <c r="L168" s="118"/>
    </row>
    <row r="169" ht="15.75" customHeight="1">
      <c r="E169" s="124" t="s">
        <v>479</v>
      </c>
      <c r="F169" s="125">
        <f>COUNTIF(L11,"Not Applicable")</f>
        <v>0</v>
      </c>
      <c r="G169" s="126">
        <f>(F169/F170)*100</f>
        <v>0</v>
      </c>
      <c r="H169" s="127" t="s">
        <v>465</v>
      </c>
      <c r="I169" s="117"/>
      <c r="K169" s="117"/>
      <c r="L169" s="118"/>
    </row>
    <row r="170" ht="15.75" customHeight="1">
      <c r="E170" s="128" t="s">
        <v>49</v>
      </c>
      <c r="F170" s="129">
        <f t="shared" ref="F170:G170" si="18">SUM(F164:F169)</f>
        <v>1</v>
      </c>
      <c r="G170" s="130">
        <f t="shared" si="18"/>
        <v>100</v>
      </c>
      <c r="H170" s="131" t="s">
        <v>465</v>
      </c>
      <c r="I170" s="117"/>
      <c r="K170" s="117"/>
      <c r="L170" s="118"/>
    </row>
    <row r="171" ht="15.75" customHeight="1">
      <c r="E171" s="132" t="s">
        <v>484</v>
      </c>
      <c r="F171" s="133"/>
      <c r="G171" s="134">
        <f>G164+G165+G167+G169</f>
        <v>100</v>
      </c>
      <c r="H171" s="135"/>
      <c r="I171" s="117"/>
      <c r="K171" s="117"/>
      <c r="L171" s="118"/>
    </row>
    <row r="172" ht="15.75" customHeight="1">
      <c r="E172" s="132" t="s">
        <v>485</v>
      </c>
      <c r="F172" s="36"/>
      <c r="G172" s="136">
        <f>F164/(F170-F169-F167)</f>
        <v>1</v>
      </c>
      <c r="H172" s="137"/>
      <c r="I172" s="117"/>
      <c r="K172" s="117"/>
      <c r="L172" s="118"/>
    </row>
    <row r="173" ht="15.75" customHeight="1">
      <c r="I173" s="117"/>
      <c r="K173" s="117"/>
      <c r="L173" s="118"/>
    </row>
    <row r="174" ht="15.75" customHeight="1">
      <c r="I174" s="117"/>
      <c r="K174" s="117"/>
      <c r="L174" s="118"/>
    </row>
    <row r="175" ht="15.75" customHeight="1">
      <c r="I175" s="117"/>
      <c r="K175" s="117"/>
      <c r="L175" s="118"/>
    </row>
    <row r="176" ht="15.75" customHeight="1">
      <c r="I176" s="117"/>
      <c r="K176" s="117"/>
      <c r="L176" s="118"/>
    </row>
    <row r="177" ht="15.75" customHeight="1">
      <c r="I177" s="117"/>
      <c r="K177" s="117"/>
      <c r="L177" s="118"/>
    </row>
    <row r="178" ht="15.75" customHeight="1">
      <c r="I178" s="117"/>
      <c r="K178" s="117"/>
      <c r="L178" s="118"/>
    </row>
    <row r="179" ht="15.75" customHeight="1">
      <c r="I179" s="117"/>
      <c r="K179" s="117"/>
      <c r="L179" s="118"/>
    </row>
    <row r="180" ht="15.75" customHeight="1">
      <c r="I180" s="117"/>
      <c r="K180" s="117"/>
      <c r="L180" s="118"/>
    </row>
    <row r="181" ht="15.75" customHeight="1">
      <c r="I181" s="117"/>
      <c r="K181" s="117"/>
      <c r="L181" s="118"/>
    </row>
    <row r="182" ht="15.75" customHeight="1">
      <c r="I182" s="117"/>
      <c r="K182" s="117"/>
      <c r="L182" s="118"/>
    </row>
    <row r="183" ht="15.75" customHeight="1">
      <c r="I183" s="117"/>
      <c r="K183" s="117"/>
      <c r="L183" s="118"/>
    </row>
    <row r="184" ht="15.75" customHeight="1">
      <c r="I184" s="117"/>
      <c r="K184" s="117"/>
      <c r="L184" s="118"/>
    </row>
    <row r="185" ht="15.75" customHeight="1">
      <c r="I185" s="117"/>
      <c r="K185" s="117"/>
      <c r="L185" s="118"/>
    </row>
    <row r="186" ht="15.75" customHeight="1">
      <c r="I186" s="117"/>
      <c r="K186" s="117"/>
      <c r="L186" s="118"/>
    </row>
    <row r="187" ht="15.75" customHeight="1">
      <c r="I187" s="117"/>
      <c r="K187" s="117"/>
      <c r="L187" s="118"/>
    </row>
    <row r="188" ht="15.75" customHeight="1">
      <c r="I188" s="117"/>
      <c r="K188" s="117"/>
      <c r="L188" s="118"/>
    </row>
    <row r="189" ht="15.75" customHeight="1">
      <c r="I189" s="117"/>
      <c r="K189" s="117"/>
      <c r="L189" s="118"/>
    </row>
    <row r="190" ht="15.75" customHeight="1">
      <c r="I190" s="117"/>
      <c r="K190" s="117"/>
      <c r="L190" s="118"/>
    </row>
    <row r="191" ht="15.75" customHeight="1">
      <c r="I191" s="117"/>
      <c r="K191" s="117"/>
      <c r="L191" s="118"/>
    </row>
    <row r="192" ht="15.75" customHeight="1">
      <c r="I192" s="117"/>
      <c r="K192" s="117"/>
      <c r="L192" s="118"/>
    </row>
    <row r="193" ht="15.75" customHeight="1">
      <c r="I193" s="117"/>
      <c r="K193" s="117"/>
      <c r="L193" s="118"/>
    </row>
    <row r="194" ht="15.75" customHeight="1">
      <c r="I194" s="117"/>
      <c r="K194" s="117"/>
      <c r="L194" s="118"/>
    </row>
    <row r="195" ht="15.75" customHeight="1">
      <c r="I195" s="117"/>
      <c r="K195" s="117"/>
      <c r="L195" s="118"/>
    </row>
    <row r="196" ht="15.75" customHeight="1">
      <c r="I196" s="117"/>
      <c r="K196" s="117"/>
      <c r="L196" s="118"/>
    </row>
    <row r="197" ht="15.75" customHeight="1">
      <c r="I197" s="117"/>
      <c r="K197" s="117"/>
      <c r="L197" s="118"/>
    </row>
    <row r="198" ht="15.75" customHeight="1">
      <c r="I198" s="117"/>
      <c r="K198" s="117"/>
      <c r="L198" s="118"/>
    </row>
    <row r="199" ht="15.75" customHeight="1">
      <c r="I199" s="117"/>
      <c r="K199" s="117"/>
      <c r="L199" s="118"/>
    </row>
    <row r="200" ht="15.75" customHeight="1">
      <c r="I200" s="117"/>
      <c r="K200" s="117"/>
      <c r="L200" s="118"/>
    </row>
    <row r="201" ht="15.75" customHeight="1">
      <c r="I201" s="117"/>
      <c r="K201" s="117"/>
      <c r="L201" s="118"/>
    </row>
    <row r="202" ht="15.75" customHeight="1">
      <c r="I202" s="117"/>
      <c r="K202" s="117"/>
      <c r="L202" s="118"/>
    </row>
    <row r="203" ht="15.75" customHeight="1">
      <c r="I203" s="117"/>
      <c r="K203" s="117"/>
      <c r="L203" s="118"/>
    </row>
    <row r="204" ht="15.75" customHeight="1">
      <c r="I204" s="117"/>
      <c r="K204" s="117"/>
      <c r="L204" s="118"/>
    </row>
    <row r="205" ht="15.75" customHeight="1">
      <c r="I205" s="117"/>
      <c r="K205" s="117"/>
      <c r="L205" s="118"/>
    </row>
    <row r="206" ht="15.75" customHeight="1">
      <c r="I206" s="117"/>
      <c r="K206" s="117"/>
      <c r="L206" s="118"/>
    </row>
    <row r="207" ht="15.75" customHeight="1">
      <c r="I207" s="117"/>
      <c r="K207" s="117"/>
      <c r="L207" s="118"/>
    </row>
    <row r="208" ht="15.75" customHeight="1">
      <c r="I208" s="117"/>
      <c r="K208" s="117"/>
      <c r="L208" s="118"/>
    </row>
    <row r="209" ht="15.75" customHeight="1">
      <c r="I209" s="117"/>
      <c r="K209" s="117"/>
      <c r="L209" s="118"/>
    </row>
    <row r="210" ht="15.75" customHeight="1">
      <c r="I210" s="117"/>
      <c r="K210" s="117"/>
      <c r="L210" s="118"/>
    </row>
    <row r="211" ht="15.75" customHeight="1">
      <c r="I211" s="117"/>
      <c r="K211" s="117"/>
      <c r="L211" s="118"/>
    </row>
    <row r="212" ht="15.75" customHeight="1">
      <c r="I212" s="117"/>
      <c r="K212" s="117"/>
      <c r="L212" s="118"/>
    </row>
    <row r="213" ht="15.75" customHeight="1">
      <c r="I213" s="117"/>
      <c r="K213" s="117"/>
      <c r="L213" s="118"/>
    </row>
    <row r="214" ht="15.75" customHeight="1">
      <c r="I214" s="117"/>
      <c r="K214" s="117"/>
      <c r="L214" s="118"/>
    </row>
    <row r="215" ht="15.75" customHeight="1">
      <c r="I215" s="117"/>
      <c r="K215" s="117"/>
      <c r="L215" s="118"/>
    </row>
    <row r="216" ht="15.75" customHeight="1">
      <c r="I216" s="117"/>
      <c r="K216" s="117"/>
      <c r="L216" s="118"/>
    </row>
    <row r="217" ht="15.75" customHeight="1">
      <c r="I217" s="117"/>
      <c r="K217" s="117"/>
      <c r="L217" s="118"/>
    </row>
    <row r="218" ht="15.75" customHeight="1">
      <c r="I218" s="117"/>
      <c r="K218" s="117"/>
      <c r="L218" s="118"/>
    </row>
    <row r="219" ht="15.75" customHeight="1">
      <c r="I219" s="117"/>
      <c r="K219" s="117"/>
      <c r="L219" s="118"/>
    </row>
    <row r="220" ht="15.75" customHeight="1">
      <c r="I220" s="117"/>
      <c r="K220" s="117"/>
      <c r="L220" s="118"/>
    </row>
    <row r="221" ht="15.75" customHeight="1">
      <c r="I221" s="117"/>
      <c r="K221" s="117"/>
      <c r="L221" s="118"/>
    </row>
    <row r="222" ht="15.75" customHeight="1">
      <c r="I222" s="117"/>
      <c r="K222" s="117"/>
      <c r="L222" s="118"/>
    </row>
    <row r="223" ht="15.75" customHeight="1">
      <c r="I223" s="117"/>
      <c r="K223" s="117"/>
      <c r="L223" s="118"/>
    </row>
    <row r="224" ht="15.75" customHeight="1">
      <c r="I224" s="117"/>
      <c r="K224" s="117"/>
      <c r="L224" s="118"/>
    </row>
    <row r="225" ht="15.75" customHeight="1">
      <c r="I225" s="117"/>
      <c r="K225" s="117"/>
      <c r="L225" s="118"/>
    </row>
    <row r="226" ht="15.75" customHeight="1">
      <c r="I226" s="117"/>
      <c r="K226" s="117"/>
      <c r="L226" s="118"/>
    </row>
    <row r="227" ht="15.75" customHeight="1">
      <c r="I227" s="117"/>
      <c r="K227" s="117"/>
      <c r="L227" s="118"/>
    </row>
    <row r="228" ht="15.75" customHeight="1">
      <c r="I228" s="117"/>
      <c r="K228" s="117"/>
      <c r="L228" s="118"/>
    </row>
    <row r="229" ht="15.75" customHeight="1">
      <c r="I229" s="117"/>
      <c r="K229" s="117"/>
      <c r="L229" s="118"/>
    </row>
    <row r="230" ht="15.75" customHeight="1">
      <c r="I230" s="117"/>
      <c r="K230" s="117"/>
      <c r="L230" s="118"/>
    </row>
    <row r="231" ht="15.75" customHeight="1">
      <c r="I231" s="117"/>
      <c r="K231" s="117"/>
      <c r="L231" s="118"/>
    </row>
    <row r="232" ht="15.75" customHeight="1">
      <c r="I232" s="117"/>
      <c r="K232" s="117"/>
      <c r="L232" s="118"/>
    </row>
    <row r="233" ht="15.75" customHeight="1">
      <c r="I233" s="117"/>
      <c r="K233" s="117"/>
      <c r="L233" s="118"/>
    </row>
    <row r="234" ht="15.75" customHeight="1">
      <c r="I234" s="117"/>
      <c r="K234" s="117"/>
      <c r="L234" s="118"/>
    </row>
    <row r="235" ht="15.75" customHeight="1">
      <c r="I235" s="117"/>
      <c r="K235" s="117"/>
      <c r="L235" s="118"/>
    </row>
    <row r="236" ht="15.75" customHeight="1">
      <c r="I236" s="117"/>
      <c r="K236" s="117"/>
      <c r="L236" s="118"/>
    </row>
    <row r="237" ht="15.75" customHeight="1">
      <c r="I237" s="117"/>
      <c r="K237" s="117"/>
      <c r="L237" s="118"/>
    </row>
    <row r="238" ht="15.75" customHeight="1">
      <c r="I238" s="117"/>
      <c r="K238" s="117"/>
      <c r="L238" s="118"/>
    </row>
    <row r="239" ht="15.75" customHeight="1">
      <c r="I239" s="117"/>
      <c r="K239" s="117"/>
      <c r="L239" s="118"/>
    </row>
    <row r="240" ht="15.75" customHeight="1">
      <c r="I240" s="117"/>
      <c r="K240" s="117"/>
      <c r="L240" s="118"/>
    </row>
    <row r="241" ht="15.75" customHeight="1">
      <c r="I241" s="117"/>
      <c r="K241" s="117"/>
      <c r="L241" s="118"/>
    </row>
    <row r="242" ht="15.75" customHeight="1">
      <c r="I242" s="117"/>
      <c r="K242" s="117"/>
      <c r="L242" s="118"/>
    </row>
    <row r="243" ht="15.75" customHeight="1">
      <c r="I243" s="117"/>
      <c r="K243" s="117"/>
      <c r="L243" s="118"/>
    </row>
    <row r="244" ht="15.75" customHeight="1">
      <c r="I244" s="117"/>
      <c r="K244" s="117"/>
      <c r="L244" s="118"/>
    </row>
    <row r="245" ht="15.75" customHeight="1">
      <c r="I245" s="117"/>
      <c r="K245" s="117"/>
      <c r="L245" s="118"/>
    </row>
    <row r="246" ht="15.75" customHeight="1">
      <c r="I246" s="117"/>
      <c r="K246" s="117"/>
      <c r="L246" s="118"/>
    </row>
    <row r="247" ht="15.75" customHeight="1">
      <c r="I247" s="117"/>
      <c r="K247" s="117"/>
      <c r="L247" s="118"/>
    </row>
    <row r="248" ht="15.75" customHeight="1">
      <c r="I248" s="117"/>
      <c r="K248" s="117"/>
      <c r="L248" s="118"/>
    </row>
    <row r="249" ht="15.75" customHeight="1">
      <c r="I249" s="117"/>
      <c r="K249" s="117"/>
      <c r="L249" s="118"/>
    </row>
    <row r="250" ht="15.75" customHeight="1">
      <c r="I250" s="117"/>
      <c r="K250" s="117"/>
      <c r="L250" s="118"/>
    </row>
    <row r="251" ht="15.75" customHeight="1">
      <c r="I251" s="117"/>
      <c r="K251" s="117"/>
      <c r="L251" s="118"/>
    </row>
    <row r="252" ht="15.75" customHeight="1">
      <c r="I252" s="117"/>
      <c r="K252" s="117"/>
      <c r="L252" s="118"/>
    </row>
    <row r="253" ht="15.75" customHeight="1">
      <c r="I253" s="117"/>
      <c r="K253" s="117"/>
      <c r="L253" s="118"/>
    </row>
    <row r="254" ht="15.75" customHeight="1">
      <c r="I254" s="117"/>
      <c r="K254" s="117"/>
      <c r="L254" s="118"/>
    </row>
    <row r="255" ht="15.75" customHeight="1">
      <c r="I255" s="117"/>
      <c r="K255" s="117"/>
      <c r="L255" s="118"/>
    </row>
    <row r="256" ht="15.75" customHeight="1">
      <c r="I256" s="117"/>
      <c r="K256" s="117"/>
      <c r="L256" s="118"/>
    </row>
    <row r="257" ht="15.75" customHeight="1">
      <c r="I257" s="117"/>
      <c r="K257" s="117"/>
      <c r="L257" s="118"/>
    </row>
    <row r="258" ht="15.75" customHeight="1">
      <c r="I258" s="117"/>
      <c r="K258" s="117"/>
      <c r="L258" s="118"/>
    </row>
    <row r="259" ht="15.75" customHeight="1">
      <c r="I259" s="117"/>
      <c r="K259" s="117"/>
      <c r="L259" s="118"/>
    </row>
    <row r="260" ht="15.75" customHeight="1">
      <c r="I260" s="117"/>
      <c r="K260" s="117"/>
      <c r="L260" s="118"/>
    </row>
    <row r="261" ht="15.75" customHeight="1">
      <c r="I261" s="117"/>
      <c r="K261" s="117"/>
      <c r="L261" s="118"/>
    </row>
    <row r="262" ht="15.75" customHeight="1">
      <c r="I262" s="117"/>
      <c r="K262" s="117"/>
      <c r="L262" s="118"/>
    </row>
    <row r="263" ht="15.75" customHeight="1">
      <c r="I263" s="117"/>
      <c r="K263" s="117"/>
      <c r="L263" s="118"/>
    </row>
    <row r="264" ht="15.75" customHeight="1">
      <c r="I264" s="117"/>
      <c r="K264" s="117"/>
      <c r="L264" s="118"/>
    </row>
    <row r="265" ht="15.75" customHeight="1">
      <c r="I265" s="117"/>
      <c r="K265" s="117"/>
      <c r="L265" s="118"/>
    </row>
    <row r="266" ht="15.75" customHeight="1">
      <c r="I266" s="117"/>
      <c r="K266" s="117"/>
      <c r="L266" s="118"/>
    </row>
    <row r="267" ht="15.75" customHeight="1">
      <c r="I267" s="117"/>
      <c r="K267" s="117"/>
      <c r="L267" s="118"/>
    </row>
    <row r="268" ht="15.75" customHeight="1">
      <c r="I268" s="117"/>
      <c r="K268" s="117"/>
      <c r="L268" s="118"/>
    </row>
    <row r="269" ht="15.75" customHeight="1">
      <c r="I269" s="117"/>
      <c r="K269" s="117"/>
      <c r="L269" s="118"/>
    </row>
    <row r="270" ht="15.75" customHeight="1">
      <c r="I270" s="117"/>
      <c r="K270" s="117"/>
      <c r="L270" s="118"/>
    </row>
    <row r="271" ht="15.75" customHeight="1">
      <c r="I271" s="117"/>
      <c r="K271" s="117"/>
      <c r="L271" s="118"/>
    </row>
    <row r="272" ht="15.75" customHeight="1">
      <c r="I272" s="117"/>
      <c r="K272" s="117"/>
      <c r="L272" s="118"/>
    </row>
    <row r="273" ht="15.75" customHeight="1">
      <c r="I273" s="117"/>
      <c r="K273" s="117"/>
      <c r="L273" s="118"/>
    </row>
    <row r="274" ht="15.75" customHeight="1">
      <c r="I274" s="117"/>
      <c r="K274" s="117"/>
      <c r="L274" s="118"/>
    </row>
    <row r="275" ht="15.75" customHeight="1">
      <c r="I275" s="117"/>
      <c r="K275" s="117"/>
      <c r="L275" s="118"/>
    </row>
    <row r="276" ht="15.75" customHeight="1">
      <c r="I276" s="117"/>
      <c r="K276" s="117"/>
      <c r="L276" s="118"/>
    </row>
    <row r="277" ht="15.75" customHeight="1">
      <c r="I277" s="117"/>
      <c r="K277" s="117"/>
      <c r="L277" s="118"/>
    </row>
    <row r="278" ht="15.75" customHeight="1">
      <c r="I278" s="117"/>
      <c r="K278" s="117"/>
      <c r="L278" s="118"/>
    </row>
    <row r="279" ht="15.75" customHeight="1">
      <c r="I279" s="117"/>
      <c r="K279" s="117"/>
      <c r="L279" s="118"/>
    </row>
    <row r="280" ht="15.75" customHeight="1">
      <c r="I280" s="117"/>
      <c r="K280" s="117"/>
      <c r="L280" s="118"/>
    </row>
    <row r="281" ht="15.75" customHeight="1">
      <c r="I281" s="117"/>
      <c r="K281" s="117"/>
      <c r="L281" s="118"/>
    </row>
    <row r="282" ht="15.75" customHeight="1">
      <c r="I282" s="117"/>
      <c r="K282" s="117"/>
      <c r="L282" s="118"/>
    </row>
    <row r="283" ht="15.75" customHeight="1">
      <c r="I283" s="117"/>
      <c r="K283" s="117"/>
      <c r="L283" s="118"/>
    </row>
    <row r="284" ht="15.75" customHeight="1">
      <c r="I284" s="117"/>
      <c r="K284" s="117"/>
      <c r="L284" s="118"/>
    </row>
    <row r="285" ht="15.75" customHeight="1">
      <c r="I285" s="117"/>
      <c r="K285" s="117"/>
      <c r="L285" s="118"/>
    </row>
    <row r="286" ht="15.75" customHeight="1">
      <c r="I286" s="117"/>
      <c r="K286" s="117"/>
      <c r="L286" s="118"/>
    </row>
    <row r="287" ht="15.75" customHeight="1">
      <c r="I287" s="117"/>
      <c r="K287" s="117"/>
      <c r="L287" s="118"/>
    </row>
    <row r="288" ht="15.75" customHeight="1">
      <c r="I288" s="117"/>
      <c r="K288" s="117"/>
      <c r="L288" s="118"/>
    </row>
    <row r="289" ht="15.75" customHeight="1">
      <c r="I289" s="117"/>
      <c r="K289" s="117"/>
      <c r="L289" s="118"/>
    </row>
    <row r="290" ht="15.75" customHeight="1">
      <c r="I290" s="117"/>
      <c r="K290" s="117"/>
      <c r="L290" s="118"/>
    </row>
    <row r="291" ht="15.75" customHeight="1">
      <c r="I291" s="117"/>
      <c r="K291" s="117"/>
      <c r="L291" s="118"/>
    </row>
    <row r="292" ht="15.75" customHeight="1">
      <c r="I292" s="117"/>
      <c r="K292" s="117"/>
      <c r="L292" s="118"/>
    </row>
    <row r="293" ht="15.75" customHeight="1">
      <c r="I293" s="117"/>
      <c r="K293" s="117"/>
      <c r="L293" s="118"/>
    </row>
    <row r="294" ht="15.75" customHeight="1">
      <c r="I294" s="117"/>
      <c r="K294" s="117"/>
      <c r="L294" s="118"/>
    </row>
    <row r="295" ht="15.75" customHeight="1">
      <c r="I295" s="117"/>
      <c r="K295" s="117"/>
      <c r="L295" s="118"/>
    </row>
    <row r="296" ht="15.75" customHeight="1">
      <c r="I296" s="117"/>
      <c r="K296" s="117"/>
      <c r="L296" s="118"/>
    </row>
    <row r="297" ht="15.75" customHeight="1">
      <c r="I297" s="117"/>
      <c r="K297" s="117"/>
      <c r="L297" s="118"/>
    </row>
    <row r="298" ht="15.75" customHeight="1">
      <c r="I298" s="117"/>
      <c r="K298" s="117"/>
      <c r="L298" s="118"/>
    </row>
    <row r="299" ht="15.75" customHeight="1">
      <c r="I299" s="117"/>
      <c r="K299" s="117"/>
      <c r="L299" s="118"/>
    </row>
    <row r="300" ht="15.75" customHeight="1">
      <c r="I300" s="117"/>
      <c r="K300" s="117"/>
      <c r="L300" s="118"/>
    </row>
    <row r="301" ht="15.75" customHeight="1">
      <c r="I301" s="117"/>
      <c r="K301" s="117"/>
      <c r="L301" s="118"/>
    </row>
    <row r="302" ht="15.75" customHeight="1">
      <c r="I302" s="117"/>
      <c r="K302" s="117"/>
      <c r="L302" s="118"/>
    </row>
    <row r="303" ht="15.75" customHeight="1">
      <c r="I303" s="117"/>
      <c r="K303" s="117"/>
      <c r="L303" s="118"/>
    </row>
    <row r="304" ht="15.75" customHeight="1">
      <c r="I304" s="117"/>
      <c r="K304" s="117"/>
      <c r="L304" s="118"/>
    </row>
    <row r="305" ht="15.75" customHeight="1">
      <c r="I305" s="117"/>
      <c r="K305" s="117"/>
      <c r="L305" s="118"/>
    </row>
    <row r="306" ht="15.75" customHeight="1">
      <c r="I306" s="117"/>
      <c r="K306" s="117"/>
      <c r="L306" s="118"/>
    </row>
    <row r="307" ht="15.75" customHeight="1">
      <c r="I307" s="117"/>
      <c r="K307" s="117"/>
      <c r="L307" s="118"/>
    </row>
    <row r="308" ht="15.75" customHeight="1">
      <c r="I308" s="117"/>
      <c r="K308" s="117"/>
      <c r="L308" s="118"/>
    </row>
    <row r="309" ht="15.75" customHeight="1">
      <c r="I309" s="117"/>
      <c r="K309" s="117"/>
      <c r="L309" s="118"/>
    </row>
    <row r="310" ht="15.75" customHeight="1">
      <c r="I310" s="117"/>
      <c r="K310" s="117"/>
      <c r="L310" s="118"/>
    </row>
    <row r="311" ht="15.75" customHeight="1">
      <c r="I311" s="117"/>
      <c r="K311" s="117"/>
      <c r="L311" s="118"/>
    </row>
    <row r="312" ht="15.75" customHeight="1">
      <c r="I312" s="117"/>
      <c r="K312" s="117"/>
      <c r="L312" s="118"/>
    </row>
    <row r="313" ht="15.75" customHeight="1">
      <c r="I313" s="117"/>
      <c r="K313" s="117"/>
      <c r="L313" s="118"/>
    </row>
    <row r="314" ht="15.75" customHeight="1">
      <c r="I314" s="117"/>
      <c r="K314" s="117"/>
      <c r="L314" s="118"/>
    </row>
    <row r="315" ht="15.75" customHeight="1">
      <c r="I315" s="117"/>
      <c r="K315" s="117"/>
      <c r="L315" s="118"/>
    </row>
    <row r="316" ht="15.75" customHeight="1">
      <c r="I316" s="117"/>
      <c r="K316" s="117"/>
      <c r="L316" s="118"/>
    </row>
    <row r="317" ht="15.75" customHeight="1">
      <c r="I317" s="117"/>
      <c r="K317" s="117"/>
      <c r="L317" s="118"/>
    </row>
    <row r="318" ht="15.75" customHeight="1">
      <c r="I318" s="117"/>
      <c r="K318" s="117"/>
      <c r="L318" s="118"/>
    </row>
    <row r="319" ht="15.75" customHeight="1">
      <c r="I319" s="117"/>
      <c r="K319" s="117"/>
      <c r="L319" s="118"/>
    </row>
    <row r="320" ht="15.75" customHeight="1">
      <c r="I320" s="117"/>
      <c r="K320" s="117"/>
      <c r="L320" s="118"/>
    </row>
    <row r="321" ht="15.75" customHeight="1">
      <c r="I321" s="117"/>
      <c r="K321" s="117"/>
      <c r="L321" s="118"/>
    </row>
    <row r="322" ht="15.75" customHeight="1">
      <c r="I322" s="117"/>
      <c r="K322" s="117"/>
      <c r="L322" s="118"/>
    </row>
    <row r="323" ht="15.75" customHeight="1">
      <c r="I323" s="117"/>
      <c r="K323" s="117"/>
      <c r="L323" s="118"/>
    </row>
    <row r="324" ht="15.75" customHeight="1">
      <c r="I324" s="117"/>
      <c r="K324" s="117"/>
      <c r="L324" s="118"/>
    </row>
    <row r="325" ht="15.75" customHeight="1">
      <c r="I325" s="117"/>
      <c r="K325" s="117"/>
      <c r="L325" s="118"/>
    </row>
    <row r="326" ht="15.75" customHeight="1">
      <c r="I326" s="117"/>
      <c r="K326" s="117"/>
      <c r="L326" s="118"/>
    </row>
    <row r="327" ht="15.75" customHeight="1">
      <c r="I327" s="117"/>
      <c r="K327" s="117"/>
      <c r="L327" s="118"/>
    </row>
    <row r="328" ht="15.75" customHeight="1">
      <c r="I328" s="117"/>
      <c r="K328" s="117"/>
      <c r="L328" s="118"/>
    </row>
    <row r="329" ht="15.75" customHeight="1">
      <c r="I329" s="117"/>
      <c r="K329" s="117"/>
      <c r="L329" s="118"/>
    </row>
    <row r="330" ht="15.75" customHeight="1">
      <c r="I330" s="117"/>
      <c r="K330" s="117"/>
      <c r="L330" s="118"/>
    </row>
    <row r="331" ht="15.75" customHeight="1">
      <c r="I331" s="117"/>
      <c r="K331" s="117"/>
      <c r="L331" s="118"/>
    </row>
    <row r="332" ht="15.75" customHeight="1">
      <c r="I332" s="117"/>
      <c r="K332" s="117"/>
      <c r="L332" s="118"/>
    </row>
    <row r="333" ht="15.75" customHeight="1">
      <c r="I333" s="117"/>
      <c r="K333" s="117"/>
      <c r="L333" s="118"/>
    </row>
    <row r="334" ht="15.75" customHeight="1">
      <c r="I334" s="117"/>
      <c r="K334" s="117"/>
      <c r="L334" s="118"/>
    </row>
    <row r="335" ht="15.75" customHeight="1">
      <c r="I335" s="117"/>
      <c r="K335" s="117"/>
      <c r="L335" s="118"/>
    </row>
    <row r="336" ht="15.75" customHeight="1">
      <c r="I336" s="117"/>
      <c r="K336" s="117"/>
      <c r="L336" s="118"/>
    </row>
    <row r="337" ht="15.75" customHeight="1">
      <c r="I337" s="117"/>
      <c r="K337" s="117"/>
      <c r="L337" s="118"/>
    </row>
    <row r="338" ht="15.75" customHeight="1">
      <c r="I338" s="117"/>
      <c r="K338" s="117"/>
      <c r="L338" s="118"/>
    </row>
    <row r="339" ht="15.75" customHeight="1">
      <c r="I339" s="117"/>
      <c r="K339" s="117"/>
      <c r="L339" s="118"/>
    </row>
    <row r="340" ht="15.75" customHeight="1">
      <c r="I340" s="117"/>
      <c r="K340" s="117"/>
      <c r="L340" s="118"/>
    </row>
    <row r="341" ht="15.75" customHeight="1">
      <c r="I341" s="117"/>
      <c r="K341" s="117"/>
      <c r="L341" s="118"/>
    </row>
    <row r="342" ht="15.75" customHeight="1">
      <c r="I342" s="117"/>
      <c r="K342" s="117"/>
      <c r="L342" s="118"/>
    </row>
    <row r="343" ht="15.75" customHeight="1">
      <c r="I343" s="117"/>
      <c r="K343" s="117"/>
      <c r="L343" s="118"/>
    </row>
    <row r="344" ht="15.75" customHeight="1">
      <c r="I344" s="117"/>
      <c r="K344" s="117"/>
      <c r="L344" s="118"/>
    </row>
    <row r="345" ht="15.75" customHeight="1">
      <c r="I345" s="117"/>
      <c r="K345" s="117"/>
      <c r="L345" s="118"/>
    </row>
    <row r="346" ht="15.75" customHeight="1">
      <c r="I346" s="117"/>
      <c r="K346" s="117"/>
      <c r="L346" s="118"/>
    </row>
    <row r="347" ht="15.75" customHeight="1">
      <c r="I347" s="117"/>
      <c r="K347" s="117"/>
      <c r="L347" s="118"/>
    </row>
    <row r="348" ht="15.75" customHeight="1">
      <c r="I348" s="117"/>
      <c r="K348" s="117"/>
      <c r="L348" s="118"/>
    </row>
    <row r="349" ht="15.75" customHeight="1">
      <c r="I349" s="117"/>
      <c r="K349" s="117"/>
      <c r="L349" s="118"/>
    </row>
    <row r="350" ht="15.75" customHeight="1">
      <c r="I350" s="117"/>
      <c r="K350" s="117"/>
      <c r="L350" s="118"/>
    </row>
    <row r="351" ht="15.75" customHeight="1">
      <c r="I351" s="117"/>
      <c r="K351" s="117"/>
      <c r="L351" s="118"/>
    </row>
    <row r="352" ht="15.75" customHeight="1">
      <c r="I352" s="117"/>
      <c r="K352" s="117"/>
      <c r="L352" s="118"/>
    </row>
    <row r="353" ht="15.75" customHeight="1">
      <c r="I353" s="117"/>
      <c r="K353" s="117"/>
      <c r="L353" s="118"/>
    </row>
    <row r="354" ht="15.75" customHeight="1">
      <c r="I354" s="117"/>
      <c r="K354" s="117"/>
      <c r="L354" s="118"/>
    </row>
    <row r="355" ht="15.75" customHeight="1">
      <c r="I355" s="117"/>
      <c r="K355" s="117"/>
      <c r="L355" s="118"/>
    </row>
    <row r="356" ht="15.75" customHeight="1">
      <c r="I356" s="117"/>
      <c r="K356" s="117"/>
      <c r="L356" s="118"/>
    </row>
    <row r="357" ht="15.75" customHeight="1">
      <c r="I357" s="117"/>
      <c r="K357" s="117"/>
      <c r="L357" s="118"/>
    </row>
    <row r="358" ht="15.75" customHeight="1">
      <c r="I358" s="117"/>
      <c r="K358" s="117"/>
      <c r="L358" s="118"/>
    </row>
    <row r="359" ht="15.75" customHeight="1">
      <c r="I359" s="117"/>
      <c r="K359" s="117"/>
      <c r="L359" s="118"/>
    </row>
    <row r="360" ht="15.75" customHeight="1">
      <c r="I360" s="117"/>
      <c r="K360" s="117"/>
      <c r="L360" s="118"/>
    </row>
    <row r="361" ht="15.75" customHeight="1">
      <c r="I361" s="117"/>
      <c r="K361" s="117"/>
      <c r="L361" s="118"/>
    </row>
    <row r="362" ht="15.75" customHeight="1">
      <c r="I362" s="117"/>
      <c r="K362" s="117"/>
      <c r="L362" s="118"/>
    </row>
    <row r="363" ht="15.75" customHeight="1">
      <c r="I363" s="117"/>
      <c r="K363" s="117"/>
      <c r="L363" s="118"/>
    </row>
    <row r="364" ht="15.75" customHeight="1">
      <c r="I364" s="117"/>
      <c r="K364" s="117"/>
      <c r="L364" s="118"/>
    </row>
    <row r="365" ht="15.75" customHeight="1">
      <c r="I365" s="117"/>
      <c r="K365" s="117"/>
      <c r="L365" s="118"/>
    </row>
    <row r="366" ht="15.75" customHeight="1">
      <c r="I366" s="117"/>
      <c r="K366" s="117"/>
      <c r="L366" s="118"/>
    </row>
    <row r="367" ht="15.75" customHeight="1">
      <c r="I367" s="117"/>
      <c r="K367" s="117"/>
      <c r="L367" s="118"/>
    </row>
    <row r="368" ht="15.75" customHeight="1">
      <c r="I368" s="117"/>
      <c r="K368" s="117"/>
      <c r="L368" s="118"/>
    </row>
    <row r="369" ht="15.75" customHeight="1">
      <c r="I369" s="117"/>
      <c r="K369" s="117"/>
      <c r="L369" s="118"/>
    </row>
    <row r="370" ht="15.75" customHeight="1">
      <c r="I370" s="117"/>
      <c r="K370" s="117"/>
      <c r="L370" s="118"/>
    </row>
    <row r="371" ht="15.75" customHeight="1">
      <c r="I371" s="117"/>
      <c r="K371" s="117"/>
      <c r="L371" s="118"/>
    </row>
    <row r="372" ht="15.75" customHeight="1">
      <c r="I372" s="117"/>
      <c r="K372" s="117"/>
      <c r="L372" s="118"/>
    </row>
    <row r="373" ht="15.75" customHeight="1">
      <c r="I373" s="117"/>
      <c r="K373" s="117"/>
      <c r="L373" s="118"/>
    </row>
    <row r="374" ht="15.75" customHeight="1">
      <c r="I374" s="117"/>
      <c r="K374" s="117"/>
      <c r="L374" s="118"/>
    </row>
    <row r="375" ht="15.75" customHeight="1">
      <c r="I375" s="117"/>
      <c r="K375" s="117"/>
      <c r="L375" s="118"/>
    </row>
    <row r="376" ht="15.75" customHeight="1">
      <c r="I376" s="117"/>
      <c r="K376" s="117"/>
      <c r="L376" s="118"/>
    </row>
    <row r="377" ht="15.75" customHeight="1">
      <c r="I377" s="117"/>
      <c r="K377" s="117"/>
      <c r="L377" s="118"/>
    </row>
    <row r="378" ht="15.75" customHeight="1">
      <c r="I378" s="117"/>
      <c r="K378" s="117"/>
      <c r="L378" s="118"/>
    </row>
    <row r="379" ht="15.75" customHeight="1">
      <c r="I379" s="117"/>
      <c r="K379" s="117"/>
      <c r="L379" s="118"/>
    </row>
    <row r="380" ht="15.75" customHeight="1">
      <c r="I380" s="117"/>
      <c r="K380" s="117"/>
      <c r="L380" s="118"/>
    </row>
    <row r="381" ht="15.75" customHeight="1">
      <c r="I381" s="117"/>
      <c r="K381" s="117"/>
      <c r="L381" s="118"/>
    </row>
    <row r="382" ht="15.75" customHeight="1">
      <c r="I382" s="117"/>
      <c r="K382" s="117"/>
      <c r="L382" s="118"/>
    </row>
    <row r="383" ht="15.75" customHeight="1">
      <c r="I383" s="117"/>
      <c r="K383" s="117"/>
      <c r="L383" s="118"/>
    </row>
    <row r="384" ht="15.75" customHeight="1">
      <c r="I384" s="117"/>
      <c r="K384" s="117"/>
      <c r="L384" s="118"/>
    </row>
    <row r="385" ht="15.75" customHeight="1">
      <c r="I385" s="117"/>
      <c r="K385" s="117"/>
      <c r="L385" s="118"/>
    </row>
    <row r="386" ht="15.75" customHeight="1">
      <c r="I386" s="117"/>
      <c r="K386" s="117"/>
      <c r="L386" s="118"/>
    </row>
    <row r="387" ht="15.75" customHeight="1">
      <c r="I387" s="117"/>
      <c r="K387" s="117"/>
      <c r="L387" s="118"/>
    </row>
    <row r="388" ht="15.75" customHeight="1">
      <c r="I388" s="117"/>
      <c r="K388" s="117"/>
      <c r="L388" s="118"/>
    </row>
    <row r="389" ht="15.75" customHeight="1">
      <c r="I389" s="117"/>
      <c r="K389" s="117"/>
      <c r="L389" s="118"/>
    </row>
    <row r="390" ht="15.75" customHeight="1">
      <c r="I390" s="117"/>
      <c r="K390" s="117"/>
      <c r="L390" s="118"/>
    </row>
    <row r="391" ht="15.75" customHeight="1">
      <c r="I391" s="117"/>
      <c r="K391" s="117"/>
      <c r="L391" s="118"/>
    </row>
    <row r="392" ht="15.75" customHeight="1">
      <c r="I392" s="117"/>
      <c r="K392" s="117"/>
      <c r="L392" s="118"/>
    </row>
    <row r="393" ht="15.75" customHeight="1">
      <c r="I393" s="117"/>
      <c r="K393" s="117"/>
      <c r="L393" s="118"/>
    </row>
    <row r="394" ht="15.75" customHeight="1">
      <c r="I394" s="117"/>
      <c r="K394" s="117"/>
      <c r="L394" s="118"/>
    </row>
    <row r="395" ht="15.75" customHeight="1">
      <c r="I395" s="117"/>
      <c r="K395" s="117"/>
      <c r="L395" s="118"/>
    </row>
    <row r="396" ht="15.75" customHeight="1">
      <c r="I396" s="117"/>
      <c r="K396" s="117"/>
      <c r="L396" s="118"/>
    </row>
    <row r="397" ht="15.75" customHeight="1">
      <c r="I397" s="117"/>
      <c r="K397" s="117"/>
      <c r="L397" s="118"/>
    </row>
    <row r="398" ht="15.75" customHeight="1">
      <c r="I398" s="117"/>
      <c r="K398" s="117"/>
      <c r="L398" s="118"/>
    </row>
    <row r="399" ht="15.75" customHeight="1">
      <c r="I399" s="117"/>
      <c r="K399" s="117"/>
      <c r="L399" s="118"/>
    </row>
    <row r="400" ht="15.75" customHeight="1">
      <c r="I400" s="117"/>
      <c r="K400" s="117"/>
      <c r="L400" s="118"/>
    </row>
    <row r="401" ht="15.75" customHeight="1">
      <c r="I401" s="117"/>
      <c r="K401" s="117"/>
      <c r="L401" s="118"/>
    </row>
    <row r="402" ht="15.75" customHeight="1">
      <c r="I402" s="117"/>
      <c r="K402" s="117"/>
      <c r="L402" s="118"/>
    </row>
    <row r="403" ht="15.75" customHeight="1">
      <c r="I403" s="117"/>
      <c r="K403" s="117"/>
      <c r="L403" s="118"/>
    </row>
    <row r="404" ht="15.75" customHeight="1">
      <c r="I404" s="117"/>
      <c r="K404" s="117"/>
      <c r="L404" s="118"/>
    </row>
    <row r="405" ht="15.75" customHeight="1">
      <c r="I405" s="117"/>
      <c r="K405" s="117"/>
      <c r="L405" s="118"/>
    </row>
    <row r="406" ht="15.75" customHeight="1">
      <c r="I406" s="117"/>
      <c r="K406" s="117"/>
      <c r="L406" s="118"/>
    </row>
    <row r="407" ht="15.75" customHeight="1">
      <c r="I407" s="117"/>
      <c r="K407" s="117"/>
      <c r="L407" s="118"/>
    </row>
    <row r="408" ht="15.75" customHeight="1">
      <c r="I408" s="117"/>
      <c r="K408" s="117"/>
      <c r="L408" s="118"/>
    </row>
    <row r="409" ht="15.75" customHeight="1">
      <c r="I409" s="117"/>
      <c r="K409" s="117"/>
      <c r="L409" s="118"/>
    </row>
    <row r="410" ht="15.75" customHeight="1">
      <c r="I410" s="117"/>
      <c r="K410" s="117"/>
      <c r="L410" s="118"/>
    </row>
    <row r="411" ht="15.75" customHeight="1">
      <c r="I411" s="117"/>
      <c r="K411" s="117"/>
      <c r="L411" s="118"/>
    </row>
    <row r="412" ht="15.75" customHeight="1">
      <c r="I412" s="117"/>
      <c r="K412" s="117"/>
      <c r="L412" s="118"/>
    </row>
    <row r="413" ht="15.75" customHeight="1">
      <c r="I413" s="117"/>
      <c r="K413" s="117"/>
      <c r="L413" s="118"/>
    </row>
    <row r="414" ht="15.75" customHeight="1">
      <c r="I414" s="117"/>
      <c r="K414" s="117"/>
      <c r="L414" s="118"/>
    </row>
    <row r="415" ht="15.75" customHeight="1">
      <c r="I415" s="117"/>
      <c r="K415" s="117"/>
      <c r="L415" s="118"/>
    </row>
    <row r="416" ht="15.75" customHeight="1">
      <c r="I416" s="117"/>
      <c r="K416" s="117"/>
      <c r="L416" s="118"/>
    </row>
    <row r="417" ht="15.75" customHeight="1">
      <c r="I417" s="117"/>
      <c r="K417" s="117"/>
      <c r="L417" s="118"/>
    </row>
    <row r="418" ht="15.75" customHeight="1">
      <c r="I418" s="117"/>
      <c r="K418" s="117"/>
      <c r="L418" s="118"/>
    </row>
    <row r="419" ht="15.75" customHeight="1">
      <c r="I419" s="117"/>
      <c r="K419" s="117"/>
      <c r="L419" s="118"/>
    </row>
    <row r="420" ht="15.75" customHeight="1">
      <c r="I420" s="117"/>
      <c r="K420" s="117"/>
      <c r="L420" s="118"/>
    </row>
    <row r="421" ht="15.75" customHeight="1">
      <c r="I421" s="117"/>
      <c r="K421" s="117"/>
      <c r="L421" s="118"/>
    </row>
    <row r="422" ht="15.75" customHeight="1">
      <c r="I422" s="117"/>
      <c r="K422" s="117"/>
      <c r="L422" s="118"/>
    </row>
    <row r="423" ht="15.75" customHeight="1">
      <c r="I423" s="117"/>
      <c r="K423" s="117"/>
      <c r="L423" s="118"/>
    </row>
    <row r="424" ht="15.75" customHeight="1">
      <c r="I424" s="117"/>
      <c r="K424" s="117"/>
      <c r="L424" s="118"/>
    </row>
    <row r="425" ht="15.75" customHeight="1">
      <c r="I425" s="117"/>
      <c r="K425" s="117"/>
      <c r="L425" s="118"/>
    </row>
    <row r="426" ht="15.75" customHeight="1">
      <c r="I426" s="117"/>
      <c r="K426" s="117"/>
      <c r="L426" s="118"/>
    </row>
    <row r="427" ht="15.75" customHeight="1">
      <c r="I427" s="117"/>
      <c r="K427" s="117"/>
      <c r="L427" s="118"/>
    </row>
    <row r="428" ht="15.75" customHeight="1">
      <c r="I428" s="117"/>
      <c r="K428" s="117"/>
      <c r="L428" s="118"/>
    </row>
    <row r="429" ht="15.75" customHeight="1">
      <c r="I429" s="117"/>
      <c r="K429" s="117"/>
      <c r="L429" s="118"/>
    </row>
    <row r="430" ht="15.75" customHeight="1">
      <c r="I430" s="117"/>
      <c r="K430" s="117"/>
      <c r="L430" s="118"/>
    </row>
    <row r="431" ht="15.75" customHeight="1">
      <c r="I431" s="117"/>
      <c r="K431" s="117"/>
      <c r="L431" s="118"/>
    </row>
    <row r="432" ht="15.75" customHeight="1">
      <c r="I432" s="117"/>
      <c r="K432" s="117"/>
      <c r="L432" s="118"/>
    </row>
    <row r="433" ht="15.75" customHeight="1">
      <c r="I433" s="117"/>
      <c r="K433" s="117"/>
      <c r="L433" s="118"/>
    </row>
    <row r="434" ht="15.75" customHeight="1">
      <c r="I434" s="117"/>
      <c r="K434" s="117"/>
      <c r="L434" s="118"/>
    </row>
    <row r="435" ht="15.75" customHeight="1">
      <c r="I435" s="117"/>
      <c r="K435" s="117"/>
      <c r="L435" s="118"/>
    </row>
    <row r="436" ht="15.75" customHeight="1">
      <c r="I436" s="117"/>
      <c r="K436" s="117"/>
      <c r="L436" s="118"/>
    </row>
    <row r="437" ht="15.75" customHeight="1">
      <c r="I437" s="117"/>
      <c r="K437" s="117"/>
      <c r="L437" s="118"/>
    </row>
    <row r="438" ht="15.75" customHeight="1">
      <c r="I438" s="117"/>
      <c r="K438" s="117"/>
      <c r="L438" s="118"/>
    </row>
    <row r="439" ht="15.75" customHeight="1">
      <c r="I439" s="117"/>
      <c r="K439" s="117"/>
      <c r="L439" s="118"/>
    </row>
    <row r="440" ht="15.75" customHeight="1">
      <c r="I440" s="117"/>
      <c r="K440" s="117"/>
      <c r="L440" s="118"/>
    </row>
    <row r="441" ht="15.75" customHeight="1">
      <c r="I441" s="117"/>
      <c r="K441" s="117"/>
      <c r="L441" s="118"/>
    </row>
    <row r="442" ht="15.75" customHeight="1">
      <c r="I442" s="117"/>
      <c r="K442" s="117"/>
      <c r="L442" s="118"/>
    </row>
    <row r="443" ht="15.75" customHeight="1">
      <c r="I443" s="117"/>
      <c r="K443" s="117"/>
      <c r="L443" s="118"/>
    </row>
    <row r="444" ht="15.75" customHeight="1">
      <c r="I444" s="117"/>
      <c r="K444" s="117"/>
      <c r="L444" s="118"/>
    </row>
    <row r="445" ht="15.75" customHeight="1">
      <c r="I445" s="117"/>
      <c r="K445" s="117"/>
      <c r="L445" s="118"/>
    </row>
    <row r="446" ht="15.75" customHeight="1">
      <c r="I446" s="117"/>
      <c r="K446" s="117"/>
      <c r="L446" s="118"/>
    </row>
    <row r="447" ht="15.75" customHeight="1">
      <c r="I447" s="117"/>
      <c r="K447" s="117"/>
      <c r="L447" s="118"/>
    </row>
    <row r="448" ht="15.75" customHeight="1">
      <c r="I448" s="117"/>
      <c r="K448" s="117"/>
      <c r="L448" s="118"/>
    </row>
    <row r="449" ht="15.75" customHeight="1">
      <c r="I449" s="117"/>
      <c r="K449" s="117"/>
      <c r="L449" s="118"/>
    </row>
    <row r="450" ht="15.75" customHeight="1">
      <c r="I450" s="117"/>
      <c r="K450" s="117"/>
      <c r="L450" s="118"/>
    </row>
    <row r="451" ht="15.75" customHeight="1">
      <c r="I451" s="117"/>
      <c r="K451" s="117"/>
      <c r="L451" s="118"/>
    </row>
    <row r="452" ht="15.75" customHeight="1">
      <c r="I452" s="117"/>
      <c r="K452" s="117"/>
      <c r="L452" s="118"/>
    </row>
    <row r="453" ht="15.75" customHeight="1">
      <c r="I453" s="117"/>
      <c r="K453" s="117"/>
      <c r="L453" s="118"/>
    </row>
    <row r="454" ht="15.75" customHeight="1">
      <c r="I454" s="117"/>
      <c r="K454" s="117"/>
      <c r="L454" s="118"/>
    </row>
    <row r="455" ht="15.75" customHeight="1">
      <c r="I455" s="117"/>
      <c r="K455" s="117"/>
      <c r="L455" s="118"/>
    </row>
    <row r="456" ht="15.75" customHeight="1">
      <c r="I456" s="117"/>
      <c r="K456" s="117"/>
      <c r="L456" s="118"/>
    </row>
    <row r="457" ht="15.75" customHeight="1">
      <c r="I457" s="117"/>
      <c r="K457" s="117"/>
      <c r="L457" s="118"/>
    </row>
    <row r="458" ht="15.75" customHeight="1">
      <c r="I458" s="117"/>
      <c r="K458" s="117"/>
      <c r="L458" s="118"/>
    </row>
    <row r="459" ht="15.75" customHeight="1">
      <c r="I459" s="117"/>
      <c r="K459" s="117"/>
      <c r="L459" s="118"/>
    </row>
    <row r="460" ht="15.75" customHeight="1">
      <c r="I460" s="117"/>
      <c r="K460" s="117"/>
      <c r="L460" s="118"/>
    </row>
    <row r="461" ht="15.75" customHeight="1">
      <c r="I461" s="117"/>
      <c r="K461" s="117"/>
      <c r="L461" s="118"/>
    </row>
    <row r="462" ht="15.75" customHeight="1">
      <c r="I462" s="117"/>
      <c r="K462" s="117"/>
      <c r="L462" s="118"/>
    </row>
    <row r="463" ht="15.75" customHeight="1">
      <c r="I463" s="117"/>
      <c r="K463" s="117"/>
      <c r="L463" s="118"/>
    </row>
    <row r="464" ht="15.75" customHeight="1">
      <c r="I464" s="117"/>
      <c r="K464" s="117"/>
      <c r="L464" s="118"/>
    </row>
    <row r="465" ht="15.75" customHeight="1">
      <c r="I465" s="117"/>
      <c r="K465" s="117"/>
      <c r="L465" s="118"/>
    </row>
    <row r="466" ht="15.75" customHeight="1">
      <c r="I466" s="117"/>
      <c r="K466" s="117"/>
      <c r="L466" s="118"/>
    </row>
    <row r="467" ht="15.75" customHeight="1">
      <c r="I467" s="117"/>
      <c r="K467" s="117"/>
      <c r="L467" s="118"/>
    </row>
    <row r="468" ht="15.75" customHeight="1">
      <c r="I468" s="117"/>
      <c r="K468" s="117"/>
      <c r="L468" s="118"/>
    </row>
    <row r="469" ht="15.75" customHeight="1">
      <c r="I469" s="117"/>
      <c r="K469" s="117"/>
      <c r="L469" s="118"/>
    </row>
    <row r="470" ht="15.75" customHeight="1">
      <c r="I470" s="117"/>
      <c r="K470" s="117"/>
      <c r="L470" s="118"/>
    </row>
    <row r="471" ht="15.75" customHeight="1">
      <c r="I471" s="117"/>
      <c r="K471" s="117"/>
      <c r="L471" s="118"/>
    </row>
    <row r="472" ht="15.75" customHeight="1">
      <c r="I472" s="117"/>
      <c r="K472" s="117"/>
      <c r="L472" s="118"/>
    </row>
    <row r="473" ht="15.75" customHeight="1">
      <c r="I473" s="117"/>
      <c r="K473" s="117"/>
      <c r="L473" s="118"/>
    </row>
    <row r="474" ht="15.75" customHeight="1">
      <c r="I474" s="117"/>
      <c r="K474" s="117"/>
      <c r="L474" s="118"/>
    </row>
    <row r="475" ht="15.75" customHeight="1">
      <c r="I475" s="117"/>
      <c r="K475" s="117"/>
      <c r="L475" s="118"/>
    </row>
    <row r="476" ht="15.75" customHeight="1">
      <c r="I476" s="117"/>
      <c r="K476" s="117"/>
      <c r="L476" s="118"/>
    </row>
    <row r="477" ht="15.75" customHeight="1">
      <c r="I477" s="117"/>
      <c r="K477" s="117"/>
      <c r="L477" s="118"/>
    </row>
    <row r="478" ht="15.75" customHeight="1">
      <c r="I478" s="117"/>
      <c r="K478" s="117"/>
      <c r="L478" s="118"/>
    </row>
    <row r="479" ht="15.75" customHeight="1">
      <c r="I479" s="117"/>
      <c r="K479" s="117"/>
      <c r="L479" s="118"/>
    </row>
    <row r="480" ht="15.75" customHeight="1">
      <c r="I480" s="117"/>
      <c r="K480" s="117"/>
      <c r="L480" s="118"/>
    </row>
    <row r="481" ht="15.75" customHeight="1">
      <c r="I481" s="117"/>
      <c r="K481" s="117"/>
      <c r="L481" s="118"/>
    </row>
    <row r="482" ht="15.75" customHeight="1">
      <c r="I482" s="117"/>
      <c r="K482" s="117"/>
      <c r="L482" s="118"/>
    </row>
    <row r="483" ht="15.75" customHeight="1">
      <c r="I483" s="117"/>
      <c r="K483" s="117"/>
      <c r="L483" s="118"/>
    </row>
    <row r="484" ht="15.75" customHeight="1">
      <c r="I484" s="117"/>
      <c r="K484" s="117"/>
      <c r="L484" s="118"/>
    </row>
    <row r="485" ht="15.75" customHeight="1">
      <c r="I485" s="117"/>
      <c r="K485" s="117"/>
      <c r="L485" s="118"/>
    </row>
    <row r="486" ht="15.75" customHeight="1">
      <c r="I486" s="117"/>
      <c r="K486" s="117"/>
      <c r="L486" s="118"/>
    </row>
    <row r="487" ht="15.75" customHeight="1">
      <c r="I487" s="117"/>
      <c r="K487" s="117"/>
      <c r="L487" s="118"/>
    </row>
    <row r="488" ht="15.75" customHeight="1">
      <c r="I488" s="117"/>
      <c r="K488" s="117"/>
      <c r="L488" s="118"/>
    </row>
    <row r="489" ht="15.75" customHeight="1">
      <c r="I489" s="117"/>
      <c r="K489" s="117"/>
      <c r="L489" s="118"/>
    </row>
    <row r="490" ht="15.75" customHeight="1">
      <c r="I490" s="117"/>
      <c r="K490" s="117"/>
      <c r="L490" s="118"/>
    </row>
    <row r="491" ht="15.75" customHeight="1">
      <c r="I491" s="117"/>
      <c r="K491" s="117"/>
      <c r="L491" s="118"/>
    </row>
    <row r="492" ht="15.75" customHeight="1">
      <c r="I492" s="117"/>
      <c r="K492" s="117"/>
      <c r="L492" s="118"/>
    </row>
    <row r="493" ht="15.75" customHeight="1">
      <c r="I493" s="117"/>
      <c r="K493" s="117"/>
      <c r="L493" s="118"/>
    </row>
    <row r="494" ht="15.75" customHeight="1">
      <c r="I494" s="117"/>
      <c r="K494" s="117"/>
      <c r="L494" s="118"/>
    </row>
    <row r="495" ht="15.75" customHeight="1">
      <c r="I495" s="117"/>
      <c r="K495" s="117"/>
      <c r="L495" s="118"/>
    </row>
    <row r="496" ht="15.75" customHeight="1">
      <c r="I496" s="117"/>
      <c r="K496" s="117"/>
      <c r="L496" s="118"/>
    </row>
    <row r="497" ht="15.75" customHeight="1">
      <c r="I497" s="117"/>
      <c r="K497" s="117"/>
      <c r="L497" s="118"/>
    </row>
    <row r="498" ht="15.75" customHeight="1">
      <c r="I498" s="117"/>
      <c r="K498" s="117"/>
      <c r="L498" s="118"/>
    </row>
    <row r="499" ht="15.75" customHeight="1">
      <c r="I499" s="117"/>
      <c r="K499" s="117"/>
      <c r="L499" s="118"/>
    </row>
    <row r="500" ht="15.75" customHeight="1">
      <c r="I500" s="117"/>
      <c r="K500" s="117"/>
      <c r="L500" s="118"/>
    </row>
    <row r="501" ht="15.75" customHeight="1">
      <c r="I501" s="117"/>
      <c r="K501" s="117"/>
      <c r="L501" s="118"/>
    </row>
    <row r="502" ht="15.75" customHeight="1">
      <c r="I502" s="117"/>
      <c r="K502" s="117"/>
      <c r="L502" s="118"/>
    </row>
    <row r="503" ht="15.75" customHeight="1">
      <c r="I503" s="117"/>
      <c r="K503" s="117"/>
      <c r="L503" s="118"/>
    </row>
    <row r="504" ht="15.75" customHeight="1">
      <c r="I504" s="117"/>
      <c r="K504" s="117"/>
      <c r="L504" s="118"/>
    </row>
    <row r="505" ht="15.75" customHeight="1">
      <c r="I505" s="117"/>
      <c r="K505" s="117"/>
      <c r="L505" s="118"/>
    </row>
    <row r="506" ht="15.75" customHeight="1">
      <c r="I506" s="117"/>
      <c r="K506" s="117"/>
      <c r="L506" s="118"/>
    </row>
    <row r="507" ht="15.75" customHeight="1">
      <c r="I507" s="117"/>
      <c r="K507" s="117"/>
      <c r="L507" s="118"/>
    </row>
    <row r="508" ht="15.75" customHeight="1">
      <c r="I508" s="117"/>
      <c r="K508" s="117"/>
      <c r="L508" s="118"/>
    </row>
    <row r="509" ht="15.75" customHeight="1">
      <c r="I509" s="117"/>
      <c r="K509" s="117"/>
      <c r="L509" s="118"/>
    </row>
    <row r="510" ht="15.75" customHeight="1">
      <c r="I510" s="117"/>
      <c r="K510" s="117"/>
      <c r="L510" s="118"/>
    </row>
    <row r="511" ht="15.75" customHeight="1">
      <c r="I511" s="117"/>
      <c r="K511" s="117"/>
      <c r="L511" s="118"/>
    </row>
    <row r="512" ht="15.75" customHeight="1">
      <c r="I512" s="117"/>
      <c r="K512" s="117"/>
      <c r="L512" s="118"/>
    </row>
    <row r="513" ht="15.75" customHeight="1">
      <c r="I513" s="117"/>
      <c r="K513" s="117"/>
      <c r="L513" s="118"/>
    </row>
    <row r="514" ht="15.75" customHeight="1">
      <c r="I514" s="117"/>
      <c r="K514" s="117"/>
      <c r="L514" s="118"/>
    </row>
    <row r="515" ht="15.75" customHeight="1">
      <c r="I515" s="117"/>
      <c r="K515" s="117"/>
      <c r="L515" s="118"/>
    </row>
    <row r="516" ht="15.75" customHeight="1">
      <c r="I516" s="117"/>
      <c r="K516" s="117"/>
      <c r="L516" s="118"/>
    </row>
    <row r="517" ht="15.75" customHeight="1">
      <c r="I517" s="117"/>
      <c r="K517" s="117"/>
      <c r="L517" s="118"/>
    </row>
    <row r="518" ht="15.75" customHeight="1">
      <c r="I518" s="117"/>
      <c r="K518" s="117"/>
      <c r="L518" s="118"/>
    </row>
    <row r="519" ht="15.75" customHeight="1">
      <c r="I519" s="117"/>
      <c r="K519" s="117"/>
      <c r="L519" s="118"/>
    </row>
    <row r="520" ht="15.75" customHeight="1">
      <c r="I520" s="117"/>
      <c r="K520" s="117"/>
      <c r="L520" s="118"/>
    </row>
    <row r="521" ht="15.75" customHeight="1">
      <c r="I521" s="117"/>
      <c r="K521" s="117"/>
      <c r="L521" s="118"/>
    </row>
    <row r="522" ht="15.75" customHeight="1">
      <c r="I522" s="117"/>
      <c r="K522" s="117"/>
      <c r="L522" s="118"/>
    </row>
    <row r="523" ht="15.75" customHeight="1">
      <c r="I523" s="117"/>
      <c r="K523" s="117"/>
      <c r="L523" s="118"/>
    </row>
    <row r="524" ht="15.75" customHeight="1">
      <c r="I524" s="117"/>
      <c r="K524" s="117"/>
      <c r="L524" s="118"/>
    </row>
    <row r="525" ht="15.75" customHeight="1">
      <c r="I525" s="117"/>
      <c r="K525" s="117"/>
      <c r="L525" s="118"/>
    </row>
    <row r="526" ht="15.75" customHeight="1">
      <c r="I526" s="117"/>
      <c r="K526" s="117"/>
      <c r="L526" s="118"/>
    </row>
    <row r="527" ht="15.75" customHeight="1">
      <c r="I527" s="117"/>
      <c r="K527" s="117"/>
      <c r="L527" s="118"/>
    </row>
    <row r="528" ht="15.75" customHeight="1">
      <c r="I528" s="117"/>
      <c r="K528" s="117"/>
      <c r="L528" s="118"/>
    </row>
    <row r="529" ht="15.75" customHeight="1">
      <c r="I529" s="117"/>
      <c r="K529" s="117"/>
      <c r="L529" s="118"/>
    </row>
    <row r="530" ht="15.75" customHeight="1">
      <c r="I530" s="117"/>
      <c r="K530" s="117"/>
      <c r="L530" s="118"/>
    </row>
    <row r="531" ht="15.75" customHeight="1">
      <c r="I531" s="117"/>
      <c r="K531" s="117"/>
      <c r="L531" s="118"/>
    </row>
    <row r="532" ht="15.75" customHeight="1">
      <c r="I532" s="117"/>
      <c r="K532" s="117"/>
      <c r="L532" s="118"/>
    </row>
    <row r="533" ht="15.75" customHeight="1">
      <c r="I533" s="117"/>
      <c r="K533" s="117"/>
      <c r="L533" s="118"/>
    </row>
    <row r="534" ht="15.75" customHeight="1">
      <c r="I534" s="117"/>
      <c r="K534" s="117"/>
      <c r="L534" s="118"/>
    </row>
    <row r="535" ht="15.75" customHeight="1">
      <c r="I535" s="117"/>
      <c r="K535" s="117"/>
      <c r="L535" s="118"/>
    </row>
    <row r="536" ht="15.75" customHeight="1">
      <c r="I536" s="117"/>
      <c r="K536" s="117"/>
      <c r="L536" s="118"/>
    </row>
    <row r="537" ht="15.75" customHeight="1">
      <c r="I537" s="117"/>
      <c r="K537" s="117"/>
      <c r="L537" s="118"/>
    </row>
    <row r="538" ht="15.75" customHeight="1">
      <c r="I538" s="117"/>
      <c r="K538" s="117"/>
      <c r="L538" s="118"/>
    </row>
    <row r="539" ht="15.75" customHeight="1">
      <c r="I539" s="117"/>
      <c r="K539" s="117"/>
      <c r="L539" s="118"/>
    </row>
    <row r="540" ht="15.75" customHeight="1">
      <c r="I540" s="117"/>
      <c r="K540" s="117"/>
      <c r="L540" s="118"/>
    </row>
    <row r="541" ht="15.75" customHeight="1">
      <c r="I541" s="117"/>
      <c r="K541" s="117"/>
      <c r="L541" s="118"/>
    </row>
    <row r="542" ht="15.75" customHeight="1">
      <c r="I542" s="117"/>
      <c r="K542" s="117"/>
      <c r="L542" s="118"/>
    </row>
    <row r="543" ht="15.75" customHeight="1">
      <c r="I543" s="117"/>
      <c r="K543" s="117"/>
      <c r="L543" s="118"/>
    </row>
    <row r="544" ht="15.75" customHeight="1">
      <c r="I544" s="117"/>
      <c r="K544" s="117"/>
      <c r="L544" s="118"/>
    </row>
    <row r="545" ht="15.75" customHeight="1">
      <c r="I545" s="117"/>
      <c r="K545" s="117"/>
      <c r="L545" s="118"/>
    </row>
    <row r="546" ht="15.75" customHeight="1">
      <c r="I546" s="117"/>
      <c r="K546" s="117"/>
      <c r="L546" s="118"/>
    </row>
    <row r="547" ht="15.75" customHeight="1">
      <c r="I547" s="117"/>
      <c r="K547" s="117"/>
      <c r="L547" s="118"/>
    </row>
    <row r="548" ht="15.75" customHeight="1">
      <c r="I548" s="117"/>
      <c r="K548" s="117"/>
      <c r="L548" s="118"/>
    </row>
    <row r="549" ht="15.75" customHeight="1">
      <c r="I549" s="117"/>
      <c r="K549" s="117"/>
      <c r="L549" s="118"/>
    </row>
    <row r="550" ht="15.75" customHeight="1">
      <c r="I550" s="117"/>
      <c r="K550" s="117"/>
      <c r="L550" s="118"/>
    </row>
    <row r="551" ht="15.75" customHeight="1">
      <c r="I551" s="117"/>
      <c r="K551" s="117"/>
      <c r="L551" s="118"/>
    </row>
    <row r="552" ht="15.75" customHeight="1">
      <c r="I552" s="117"/>
      <c r="K552" s="117"/>
      <c r="L552" s="118"/>
    </row>
    <row r="553" ht="15.75" customHeight="1">
      <c r="I553" s="117"/>
      <c r="K553" s="117"/>
      <c r="L553" s="118"/>
    </row>
    <row r="554" ht="15.75" customHeight="1">
      <c r="I554" s="117"/>
      <c r="K554" s="117"/>
      <c r="L554" s="118"/>
    </row>
    <row r="555" ht="15.75" customHeight="1">
      <c r="I555" s="117"/>
      <c r="K555" s="117"/>
      <c r="L555" s="118"/>
    </row>
    <row r="556" ht="15.75" customHeight="1">
      <c r="I556" s="117"/>
      <c r="K556" s="117"/>
      <c r="L556" s="118"/>
    </row>
    <row r="557" ht="15.75" customHeight="1">
      <c r="I557" s="117"/>
      <c r="K557" s="117"/>
      <c r="L557" s="118"/>
    </row>
    <row r="558" ht="15.75" customHeight="1">
      <c r="I558" s="117"/>
      <c r="K558" s="117"/>
      <c r="L558" s="118"/>
    </row>
    <row r="559" ht="15.75" customHeight="1">
      <c r="I559" s="117"/>
      <c r="K559" s="117"/>
      <c r="L559" s="118"/>
    </row>
    <row r="560" ht="15.75" customHeight="1">
      <c r="I560" s="117"/>
      <c r="K560" s="117"/>
      <c r="L560" s="118"/>
    </row>
    <row r="561" ht="15.75" customHeight="1">
      <c r="I561" s="117"/>
      <c r="K561" s="117"/>
      <c r="L561" s="118"/>
    </row>
    <row r="562" ht="15.75" customHeight="1">
      <c r="I562" s="117"/>
      <c r="K562" s="117"/>
      <c r="L562" s="118"/>
    </row>
    <row r="563" ht="15.75" customHeight="1">
      <c r="I563" s="117"/>
      <c r="K563" s="117"/>
      <c r="L563" s="118"/>
    </row>
    <row r="564" ht="15.75" customHeight="1">
      <c r="I564" s="117"/>
      <c r="K564" s="117"/>
      <c r="L564" s="118"/>
    </row>
    <row r="565" ht="15.75" customHeight="1">
      <c r="I565" s="117"/>
      <c r="K565" s="117"/>
      <c r="L565" s="118"/>
    </row>
    <row r="566" ht="15.75" customHeight="1">
      <c r="I566" s="117"/>
      <c r="K566" s="117"/>
      <c r="L566" s="118"/>
    </row>
    <row r="567" ht="15.75" customHeight="1">
      <c r="I567" s="117"/>
      <c r="K567" s="117"/>
      <c r="L567" s="118"/>
    </row>
    <row r="568" ht="15.75" customHeight="1">
      <c r="I568" s="117"/>
      <c r="K568" s="117"/>
      <c r="L568" s="118"/>
    </row>
    <row r="569" ht="15.75" customHeight="1">
      <c r="I569" s="117"/>
      <c r="K569" s="117"/>
      <c r="L569" s="118"/>
    </row>
    <row r="570" ht="15.75" customHeight="1">
      <c r="I570" s="117"/>
      <c r="K570" s="117"/>
      <c r="L570" s="118"/>
    </row>
    <row r="571" ht="15.75" customHeight="1">
      <c r="I571" s="117"/>
      <c r="K571" s="117"/>
      <c r="L571" s="118"/>
    </row>
    <row r="572" ht="15.75" customHeight="1">
      <c r="I572" s="117"/>
      <c r="K572" s="117"/>
      <c r="L572" s="118"/>
    </row>
    <row r="573" ht="15.75" customHeight="1">
      <c r="I573" s="117"/>
      <c r="K573" s="117"/>
      <c r="L573" s="118"/>
    </row>
    <row r="574" ht="15.75" customHeight="1">
      <c r="I574" s="117"/>
      <c r="K574" s="117"/>
      <c r="L574" s="118"/>
    </row>
    <row r="575" ht="15.75" customHeight="1">
      <c r="I575" s="117"/>
      <c r="K575" s="117"/>
      <c r="L575" s="118"/>
    </row>
    <row r="576" ht="15.75" customHeight="1">
      <c r="I576" s="117"/>
      <c r="K576" s="117"/>
      <c r="L576" s="118"/>
    </row>
    <row r="577" ht="15.75" customHeight="1">
      <c r="I577" s="117"/>
      <c r="K577" s="117"/>
      <c r="L577" s="118"/>
    </row>
    <row r="578" ht="15.75" customHeight="1">
      <c r="I578" s="117"/>
      <c r="K578" s="117"/>
      <c r="L578" s="118"/>
    </row>
    <row r="579" ht="15.75" customHeight="1">
      <c r="I579" s="117"/>
      <c r="K579" s="117"/>
      <c r="L579" s="118"/>
    </row>
    <row r="580" ht="15.75" customHeight="1">
      <c r="I580" s="117"/>
      <c r="K580" s="117"/>
      <c r="L580" s="118"/>
    </row>
    <row r="581" ht="15.75" customHeight="1">
      <c r="I581" s="117"/>
      <c r="K581" s="117"/>
      <c r="L581" s="118"/>
    </row>
    <row r="582" ht="15.75" customHeight="1">
      <c r="I582" s="117"/>
      <c r="K582" s="117"/>
      <c r="L582" s="118"/>
    </row>
    <row r="583" ht="15.75" customHeight="1">
      <c r="I583" s="117"/>
      <c r="K583" s="117"/>
      <c r="L583" s="118"/>
    </row>
    <row r="584" ht="15.75" customHeight="1">
      <c r="I584" s="117"/>
      <c r="K584" s="117"/>
      <c r="L584" s="118"/>
    </row>
    <row r="585" ht="15.75" customHeight="1">
      <c r="I585" s="117"/>
      <c r="K585" s="117"/>
      <c r="L585" s="118"/>
    </row>
    <row r="586" ht="15.75" customHeight="1">
      <c r="I586" s="117"/>
      <c r="K586" s="117"/>
      <c r="L586" s="118"/>
    </row>
    <row r="587" ht="15.75" customHeight="1">
      <c r="I587" s="117"/>
      <c r="K587" s="117"/>
      <c r="L587" s="118"/>
    </row>
    <row r="588" ht="15.75" customHeight="1">
      <c r="I588" s="117"/>
      <c r="K588" s="117"/>
      <c r="L588" s="118"/>
    </row>
    <row r="589" ht="15.75" customHeight="1">
      <c r="I589" s="117"/>
      <c r="K589" s="117"/>
      <c r="L589" s="118"/>
    </row>
    <row r="590" ht="15.75" customHeight="1">
      <c r="I590" s="117"/>
      <c r="K590" s="117"/>
      <c r="L590" s="118"/>
    </row>
    <row r="591" ht="15.75" customHeight="1">
      <c r="I591" s="117"/>
      <c r="K591" s="117"/>
      <c r="L591" s="118"/>
    </row>
    <row r="592" ht="15.75" customHeight="1">
      <c r="I592" s="117"/>
      <c r="K592" s="117"/>
      <c r="L592" s="118"/>
    </row>
    <row r="593" ht="15.75" customHeight="1">
      <c r="I593" s="117"/>
      <c r="K593" s="117"/>
      <c r="L593" s="118"/>
    </row>
    <row r="594" ht="15.75" customHeight="1">
      <c r="I594" s="117"/>
      <c r="K594" s="117"/>
      <c r="L594" s="118"/>
    </row>
    <row r="595" ht="15.75" customHeight="1">
      <c r="I595" s="117"/>
      <c r="K595" s="117"/>
      <c r="L595" s="118"/>
    </row>
    <row r="596" ht="15.75" customHeight="1">
      <c r="I596" s="117"/>
      <c r="K596" s="117"/>
      <c r="L596" s="118"/>
    </row>
    <row r="597" ht="15.75" customHeight="1">
      <c r="I597" s="117"/>
      <c r="K597" s="117"/>
      <c r="L597" s="118"/>
    </row>
    <row r="598" ht="15.75" customHeight="1">
      <c r="I598" s="117"/>
      <c r="K598" s="117"/>
      <c r="L598" s="118"/>
    </row>
    <row r="599" ht="15.75" customHeight="1">
      <c r="I599" s="117"/>
      <c r="K599" s="117"/>
      <c r="L599" s="118"/>
    </row>
    <row r="600" ht="15.75" customHeight="1">
      <c r="I600" s="117"/>
      <c r="K600" s="117"/>
      <c r="L600" s="118"/>
    </row>
    <row r="601" ht="15.75" customHeight="1">
      <c r="I601" s="117"/>
      <c r="K601" s="117"/>
      <c r="L601" s="118"/>
    </row>
    <row r="602" ht="15.75" customHeight="1">
      <c r="I602" s="117"/>
      <c r="K602" s="117"/>
      <c r="L602" s="118"/>
    </row>
    <row r="603" ht="15.75" customHeight="1">
      <c r="I603" s="117"/>
      <c r="K603" s="117"/>
      <c r="L603" s="118"/>
    </row>
    <row r="604" ht="15.75" customHeight="1">
      <c r="I604" s="117"/>
      <c r="K604" s="117"/>
      <c r="L604" s="118"/>
    </row>
    <row r="605" ht="15.75" customHeight="1">
      <c r="I605" s="117"/>
      <c r="K605" s="117"/>
      <c r="L605" s="118"/>
    </row>
    <row r="606" ht="15.75" customHeight="1">
      <c r="I606" s="117"/>
      <c r="K606" s="117"/>
      <c r="L606" s="118"/>
    </row>
    <row r="607" ht="15.75" customHeight="1">
      <c r="I607" s="117"/>
      <c r="K607" s="117"/>
      <c r="L607" s="118"/>
    </row>
    <row r="608" ht="15.75" customHeight="1">
      <c r="I608" s="117"/>
      <c r="K608" s="117"/>
      <c r="L608" s="118"/>
    </row>
    <row r="609" ht="15.75" customHeight="1">
      <c r="I609" s="117"/>
      <c r="K609" s="117"/>
      <c r="L609" s="118"/>
    </row>
    <row r="610" ht="15.75" customHeight="1">
      <c r="I610" s="117"/>
      <c r="K610" s="117"/>
      <c r="L610" s="118"/>
    </row>
    <row r="611" ht="15.75" customHeight="1">
      <c r="I611" s="117"/>
      <c r="K611" s="117"/>
      <c r="L611" s="118"/>
    </row>
    <row r="612" ht="15.75" customHeight="1">
      <c r="I612" s="117"/>
      <c r="K612" s="117"/>
      <c r="L612" s="118"/>
    </row>
    <row r="613" ht="15.75" customHeight="1">
      <c r="I613" s="117"/>
      <c r="K613" s="117"/>
      <c r="L613" s="118"/>
    </row>
    <row r="614" ht="15.75" customHeight="1">
      <c r="I614" s="117"/>
      <c r="K614" s="117"/>
      <c r="L614" s="118"/>
    </row>
    <row r="615" ht="15.75" customHeight="1">
      <c r="I615" s="117"/>
      <c r="K615" s="117"/>
      <c r="L615" s="118"/>
    </row>
    <row r="616" ht="15.75" customHeight="1">
      <c r="I616" s="117"/>
      <c r="K616" s="117"/>
      <c r="L616" s="118"/>
    </row>
    <row r="617" ht="15.75" customHeight="1">
      <c r="I617" s="117"/>
      <c r="K617" s="117"/>
      <c r="L617" s="118"/>
    </row>
    <row r="618" ht="15.75" customHeight="1">
      <c r="I618" s="117"/>
      <c r="K618" s="117"/>
      <c r="L618" s="118"/>
    </row>
    <row r="619" ht="15.75" customHeight="1">
      <c r="I619" s="117"/>
      <c r="K619" s="117"/>
      <c r="L619" s="118"/>
    </row>
    <row r="620" ht="15.75" customHeight="1">
      <c r="I620" s="117"/>
      <c r="K620" s="117"/>
      <c r="L620" s="118"/>
    </row>
    <row r="621" ht="15.75" customHeight="1">
      <c r="I621" s="117"/>
      <c r="K621" s="117"/>
      <c r="L621" s="118"/>
    </row>
    <row r="622" ht="15.75" customHeight="1">
      <c r="I622" s="117"/>
      <c r="K622" s="117"/>
      <c r="L622" s="118"/>
    </row>
    <row r="623" ht="15.75" customHeight="1">
      <c r="I623" s="117"/>
      <c r="K623" s="117"/>
      <c r="L623" s="118"/>
    </row>
    <row r="624" ht="15.75" customHeight="1">
      <c r="I624" s="117"/>
      <c r="K624" s="117"/>
      <c r="L624" s="118"/>
    </row>
    <row r="625" ht="15.75" customHeight="1">
      <c r="I625" s="117"/>
      <c r="K625" s="117"/>
      <c r="L625" s="118"/>
    </row>
    <row r="626" ht="15.75" customHeight="1">
      <c r="I626" s="117"/>
      <c r="K626" s="117"/>
      <c r="L626" s="118"/>
    </row>
    <row r="627" ht="15.75" customHeight="1">
      <c r="I627" s="117"/>
      <c r="K627" s="117"/>
      <c r="L627" s="118"/>
    </row>
    <row r="628" ht="15.75" customHeight="1">
      <c r="I628" s="117"/>
      <c r="K628" s="117"/>
      <c r="L628" s="118"/>
    </row>
    <row r="629" ht="15.75" customHeight="1">
      <c r="I629" s="117"/>
      <c r="K629" s="117"/>
      <c r="L629" s="118"/>
    </row>
    <row r="630" ht="15.75" customHeight="1">
      <c r="I630" s="117"/>
      <c r="K630" s="117"/>
      <c r="L630" s="118"/>
    </row>
    <row r="631" ht="15.75" customHeight="1">
      <c r="I631" s="117"/>
      <c r="K631" s="117"/>
      <c r="L631" s="118"/>
    </row>
    <row r="632" ht="15.75" customHeight="1">
      <c r="I632" s="117"/>
      <c r="K632" s="117"/>
      <c r="L632" s="118"/>
    </row>
    <row r="633" ht="15.75" customHeight="1">
      <c r="I633" s="117"/>
      <c r="K633" s="117"/>
      <c r="L633" s="118"/>
    </row>
    <row r="634" ht="15.75" customHeight="1">
      <c r="I634" s="117"/>
      <c r="K634" s="117"/>
      <c r="L634" s="118"/>
    </row>
    <row r="635" ht="15.75" customHeight="1">
      <c r="I635" s="117"/>
      <c r="K635" s="117"/>
      <c r="L635" s="118"/>
    </row>
    <row r="636" ht="15.75" customHeight="1">
      <c r="I636" s="117"/>
      <c r="K636" s="117"/>
      <c r="L636" s="118"/>
    </row>
    <row r="637" ht="15.75" customHeight="1">
      <c r="I637" s="117"/>
      <c r="K637" s="117"/>
      <c r="L637" s="118"/>
    </row>
    <row r="638" ht="15.75" customHeight="1">
      <c r="I638" s="117"/>
      <c r="K638" s="117"/>
      <c r="L638" s="118"/>
    </row>
    <row r="639" ht="15.75" customHeight="1">
      <c r="I639" s="117"/>
      <c r="K639" s="117"/>
      <c r="L639" s="118"/>
    </row>
    <row r="640" ht="15.75" customHeight="1">
      <c r="I640" s="117"/>
      <c r="K640" s="117"/>
      <c r="L640" s="118"/>
    </row>
    <row r="641" ht="15.75" customHeight="1">
      <c r="I641" s="117"/>
      <c r="K641" s="117"/>
      <c r="L641" s="118"/>
    </row>
    <row r="642" ht="15.75" customHeight="1">
      <c r="I642" s="117"/>
      <c r="K642" s="117"/>
      <c r="L642" s="118"/>
    </row>
    <row r="643" ht="15.75" customHeight="1">
      <c r="I643" s="117"/>
      <c r="K643" s="117"/>
      <c r="L643" s="118"/>
    </row>
    <row r="644" ht="15.75" customHeight="1">
      <c r="I644" s="117"/>
      <c r="K644" s="117"/>
      <c r="L644" s="118"/>
    </row>
    <row r="645" ht="15.75" customHeight="1">
      <c r="I645" s="117"/>
      <c r="K645" s="117"/>
      <c r="L645" s="118"/>
    </row>
    <row r="646" ht="15.75" customHeight="1">
      <c r="I646" s="117"/>
      <c r="K646" s="117"/>
      <c r="L646" s="118"/>
    </row>
    <row r="647" ht="15.75" customHeight="1">
      <c r="I647" s="117"/>
      <c r="K647" s="117"/>
      <c r="L647" s="118"/>
    </row>
    <row r="648" ht="15.75" customHeight="1">
      <c r="I648" s="117"/>
      <c r="K648" s="117"/>
      <c r="L648" s="118"/>
    </row>
    <row r="649" ht="15.75" customHeight="1">
      <c r="I649" s="117"/>
      <c r="K649" s="117"/>
      <c r="L649" s="118"/>
    </row>
    <row r="650" ht="15.75" customHeight="1">
      <c r="I650" s="117"/>
      <c r="K650" s="117"/>
      <c r="L650" s="118"/>
    </row>
    <row r="651" ht="15.75" customHeight="1">
      <c r="I651" s="117"/>
      <c r="K651" s="117"/>
      <c r="L651" s="118"/>
    </row>
    <row r="652" ht="15.75" customHeight="1">
      <c r="I652" s="117"/>
      <c r="K652" s="117"/>
      <c r="L652" s="118"/>
    </row>
    <row r="653" ht="15.75" customHeight="1">
      <c r="I653" s="117"/>
      <c r="K653" s="117"/>
      <c r="L653" s="118"/>
    </row>
    <row r="654" ht="15.75" customHeight="1">
      <c r="I654" s="117"/>
      <c r="K654" s="117"/>
      <c r="L654" s="118"/>
    </row>
    <row r="655" ht="15.75" customHeight="1">
      <c r="I655" s="117"/>
      <c r="K655" s="117"/>
      <c r="L655" s="118"/>
    </row>
    <row r="656" ht="15.75" customHeight="1">
      <c r="I656" s="117"/>
      <c r="K656" s="117"/>
      <c r="L656" s="118"/>
    </row>
    <row r="657" ht="15.75" customHeight="1">
      <c r="I657" s="117"/>
      <c r="K657" s="117"/>
      <c r="L657" s="118"/>
    </row>
    <row r="658" ht="15.75" customHeight="1">
      <c r="I658" s="117"/>
      <c r="K658" s="117"/>
      <c r="L658" s="118"/>
    </row>
    <row r="659" ht="15.75" customHeight="1">
      <c r="I659" s="117"/>
      <c r="K659" s="117"/>
      <c r="L659" s="118"/>
    </row>
    <row r="660" ht="15.75" customHeight="1">
      <c r="I660" s="117"/>
      <c r="K660" s="117"/>
      <c r="L660" s="118"/>
    </row>
    <row r="661" ht="15.75" customHeight="1">
      <c r="I661" s="117"/>
      <c r="K661" s="117"/>
      <c r="L661" s="118"/>
    </row>
    <row r="662" ht="15.75" customHeight="1">
      <c r="I662" s="117"/>
      <c r="K662" s="117"/>
      <c r="L662" s="118"/>
    </row>
    <row r="663" ht="15.75" customHeight="1">
      <c r="I663" s="117"/>
      <c r="K663" s="117"/>
      <c r="L663" s="118"/>
    </row>
    <row r="664" ht="15.75" customHeight="1">
      <c r="I664" s="117"/>
      <c r="K664" s="117"/>
      <c r="L664" s="118"/>
    </row>
    <row r="665" ht="15.75" customHeight="1">
      <c r="I665" s="117"/>
      <c r="K665" s="117"/>
      <c r="L665" s="118"/>
    </row>
    <row r="666" ht="15.75" customHeight="1">
      <c r="I666" s="117"/>
      <c r="K666" s="117"/>
      <c r="L666" s="118"/>
    </row>
    <row r="667" ht="15.75" customHeight="1">
      <c r="I667" s="117"/>
      <c r="K667" s="117"/>
      <c r="L667" s="118"/>
    </row>
    <row r="668" ht="15.75" customHeight="1">
      <c r="I668" s="117"/>
      <c r="K668" s="117"/>
      <c r="L668" s="118"/>
    </row>
    <row r="669" ht="15.75" customHeight="1">
      <c r="I669" s="117"/>
      <c r="K669" s="117"/>
      <c r="L669" s="118"/>
    </row>
    <row r="670" ht="15.75" customHeight="1">
      <c r="I670" s="117"/>
      <c r="K670" s="117"/>
      <c r="L670" s="118"/>
    </row>
    <row r="671" ht="15.75" customHeight="1">
      <c r="I671" s="117"/>
      <c r="K671" s="117"/>
      <c r="L671" s="118"/>
    </row>
    <row r="672" ht="15.75" customHeight="1">
      <c r="I672" s="117"/>
      <c r="K672" s="117"/>
      <c r="L672" s="118"/>
    </row>
    <row r="673" ht="15.75" customHeight="1">
      <c r="I673" s="117"/>
      <c r="K673" s="117"/>
      <c r="L673" s="118"/>
    </row>
    <row r="674" ht="15.75" customHeight="1">
      <c r="I674" s="117"/>
      <c r="K674" s="117"/>
      <c r="L674" s="118"/>
    </row>
    <row r="675" ht="15.75" customHeight="1">
      <c r="I675" s="117"/>
      <c r="K675" s="117"/>
      <c r="L675" s="118"/>
    </row>
    <row r="676" ht="15.75" customHeight="1">
      <c r="I676" s="117"/>
      <c r="K676" s="117"/>
      <c r="L676" s="118"/>
    </row>
    <row r="677" ht="15.75" customHeight="1">
      <c r="I677" s="117"/>
      <c r="K677" s="117"/>
      <c r="L677" s="118"/>
    </row>
    <row r="678" ht="15.75" customHeight="1">
      <c r="I678" s="117"/>
      <c r="K678" s="117"/>
      <c r="L678" s="118"/>
    </row>
    <row r="679" ht="15.75" customHeight="1">
      <c r="I679" s="117"/>
      <c r="K679" s="117"/>
      <c r="L679" s="118"/>
    </row>
    <row r="680" ht="15.75" customHeight="1">
      <c r="I680" s="117"/>
      <c r="K680" s="117"/>
      <c r="L680" s="118"/>
    </row>
    <row r="681" ht="15.75" customHeight="1">
      <c r="I681" s="117"/>
      <c r="K681" s="117"/>
      <c r="L681" s="118"/>
    </row>
    <row r="682" ht="15.75" customHeight="1">
      <c r="I682" s="117"/>
      <c r="K682" s="117"/>
      <c r="L682" s="118"/>
    </row>
    <row r="683" ht="15.75" customHeight="1">
      <c r="I683" s="117"/>
      <c r="K683" s="117"/>
      <c r="L683" s="118"/>
    </row>
    <row r="684" ht="15.75" customHeight="1">
      <c r="I684" s="117"/>
      <c r="K684" s="117"/>
      <c r="L684" s="118"/>
    </row>
    <row r="685" ht="15.75" customHeight="1">
      <c r="I685" s="117"/>
      <c r="K685" s="117"/>
      <c r="L685" s="118"/>
    </row>
    <row r="686" ht="15.75" customHeight="1">
      <c r="I686" s="117"/>
      <c r="K686" s="117"/>
      <c r="L686" s="118"/>
    </row>
    <row r="687" ht="15.75" customHeight="1">
      <c r="I687" s="117"/>
      <c r="K687" s="117"/>
      <c r="L687" s="118"/>
    </row>
    <row r="688" ht="15.75" customHeight="1">
      <c r="I688" s="117"/>
      <c r="K688" s="117"/>
      <c r="L688" s="118"/>
    </row>
    <row r="689" ht="15.75" customHeight="1">
      <c r="I689" s="117"/>
      <c r="K689" s="117"/>
      <c r="L689" s="118"/>
    </row>
    <row r="690" ht="15.75" customHeight="1">
      <c r="I690" s="117"/>
      <c r="K690" s="117"/>
      <c r="L690" s="118"/>
    </row>
    <row r="691" ht="15.75" customHeight="1">
      <c r="I691" s="117"/>
      <c r="K691" s="117"/>
      <c r="L691" s="118"/>
    </row>
    <row r="692" ht="15.75" customHeight="1">
      <c r="I692" s="117"/>
      <c r="K692" s="117"/>
      <c r="L692" s="118"/>
    </row>
    <row r="693" ht="15.75" customHeight="1">
      <c r="I693" s="117"/>
      <c r="K693" s="117"/>
      <c r="L693" s="118"/>
    </row>
    <row r="694" ht="15.75" customHeight="1">
      <c r="I694" s="117"/>
      <c r="K694" s="117"/>
      <c r="L694" s="118"/>
    </row>
    <row r="695" ht="15.75" customHeight="1">
      <c r="I695" s="117"/>
      <c r="K695" s="117"/>
      <c r="L695" s="118"/>
    </row>
    <row r="696" ht="15.75" customHeight="1">
      <c r="I696" s="117"/>
      <c r="K696" s="117"/>
      <c r="L696" s="118"/>
    </row>
    <row r="697" ht="15.75" customHeight="1">
      <c r="I697" s="117"/>
      <c r="K697" s="117"/>
      <c r="L697" s="118"/>
    </row>
    <row r="698" ht="15.75" customHeight="1">
      <c r="I698" s="117"/>
      <c r="K698" s="117"/>
      <c r="L698" s="118"/>
    </row>
    <row r="699" ht="15.75" customHeight="1">
      <c r="I699" s="117"/>
      <c r="K699" s="117"/>
      <c r="L699" s="118"/>
    </row>
    <row r="700" ht="15.75" customHeight="1">
      <c r="I700" s="117"/>
      <c r="K700" s="117"/>
      <c r="L700" s="118"/>
    </row>
    <row r="701" ht="15.75" customHeight="1">
      <c r="I701" s="117"/>
      <c r="K701" s="117"/>
      <c r="L701" s="118"/>
    </row>
    <row r="702" ht="15.75" customHeight="1">
      <c r="I702" s="117"/>
      <c r="K702" s="117"/>
      <c r="L702" s="118"/>
    </row>
    <row r="703" ht="15.75" customHeight="1">
      <c r="I703" s="117"/>
      <c r="K703" s="117"/>
      <c r="L703" s="118"/>
    </row>
    <row r="704" ht="15.75" customHeight="1">
      <c r="I704" s="117"/>
      <c r="K704" s="117"/>
      <c r="L704" s="118"/>
    </row>
    <row r="705" ht="15.75" customHeight="1">
      <c r="I705" s="117"/>
      <c r="K705" s="117"/>
      <c r="L705" s="118"/>
    </row>
    <row r="706" ht="15.75" customHeight="1">
      <c r="I706" s="117"/>
      <c r="K706" s="117"/>
      <c r="L706" s="118"/>
    </row>
    <row r="707" ht="15.75" customHeight="1">
      <c r="I707" s="117"/>
      <c r="K707" s="117"/>
      <c r="L707" s="118"/>
    </row>
    <row r="708" ht="15.75" customHeight="1">
      <c r="I708" s="117"/>
      <c r="K708" s="117"/>
      <c r="L708" s="118"/>
    </row>
    <row r="709" ht="15.75" customHeight="1">
      <c r="I709" s="117"/>
      <c r="K709" s="117"/>
      <c r="L709" s="118"/>
    </row>
    <row r="710" ht="15.75" customHeight="1">
      <c r="I710" s="117"/>
      <c r="K710" s="117"/>
      <c r="L710" s="118"/>
    </row>
    <row r="711" ht="15.75" customHeight="1">
      <c r="I711" s="117"/>
      <c r="K711" s="117"/>
      <c r="L711" s="118"/>
    </row>
    <row r="712" ht="15.75" customHeight="1">
      <c r="I712" s="117"/>
      <c r="K712" s="117"/>
      <c r="L712" s="118"/>
    </row>
    <row r="713" ht="15.75" customHeight="1">
      <c r="I713" s="117"/>
      <c r="K713" s="117"/>
      <c r="L713" s="118"/>
    </row>
    <row r="714" ht="15.75" customHeight="1">
      <c r="I714" s="117"/>
      <c r="K714" s="117"/>
      <c r="L714" s="118"/>
    </row>
    <row r="715" ht="15.75" customHeight="1">
      <c r="I715" s="117"/>
      <c r="K715" s="117"/>
      <c r="L715" s="118"/>
    </row>
    <row r="716" ht="15.75" customHeight="1">
      <c r="I716" s="117"/>
      <c r="K716" s="117"/>
      <c r="L716" s="118"/>
    </row>
    <row r="717" ht="15.75" customHeight="1">
      <c r="I717" s="117"/>
      <c r="K717" s="117"/>
      <c r="L717" s="118"/>
    </row>
    <row r="718" ht="15.75" customHeight="1">
      <c r="I718" s="117"/>
      <c r="K718" s="117"/>
      <c r="L718" s="118"/>
    </row>
    <row r="719" ht="15.75" customHeight="1">
      <c r="I719" s="117"/>
      <c r="K719" s="117"/>
      <c r="L719" s="118"/>
    </row>
    <row r="720" ht="15.75" customHeight="1">
      <c r="I720" s="117"/>
      <c r="K720" s="117"/>
      <c r="L720" s="118"/>
    </row>
    <row r="721" ht="15.75" customHeight="1">
      <c r="I721" s="117"/>
      <c r="K721" s="117"/>
      <c r="L721" s="118"/>
    </row>
    <row r="722" ht="15.75" customHeight="1">
      <c r="I722" s="117"/>
      <c r="K722" s="117"/>
      <c r="L722" s="118"/>
    </row>
    <row r="723" ht="15.75" customHeight="1">
      <c r="I723" s="117"/>
      <c r="K723" s="117"/>
      <c r="L723" s="118"/>
    </row>
    <row r="724" ht="15.75" customHeight="1">
      <c r="I724" s="117"/>
      <c r="K724" s="117"/>
      <c r="L724" s="118"/>
    </row>
    <row r="725" ht="15.75" customHeight="1">
      <c r="I725" s="117"/>
      <c r="K725" s="117"/>
      <c r="L725" s="118"/>
    </row>
    <row r="726" ht="15.75" customHeight="1">
      <c r="I726" s="117"/>
      <c r="K726" s="117"/>
      <c r="L726" s="118"/>
    </row>
    <row r="727" ht="15.75" customHeight="1">
      <c r="I727" s="117"/>
      <c r="K727" s="117"/>
      <c r="L727" s="118"/>
    </row>
    <row r="728" ht="15.75" customHeight="1">
      <c r="I728" s="117"/>
      <c r="K728" s="117"/>
      <c r="L728" s="118"/>
    </row>
    <row r="729" ht="15.75" customHeight="1">
      <c r="I729" s="117"/>
      <c r="K729" s="117"/>
      <c r="L729" s="118"/>
    </row>
    <row r="730" ht="15.75" customHeight="1">
      <c r="I730" s="117"/>
      <c r="K730" s="117"/>
      <c r="L730" s="118"/>
    </row>
    <row r="731" ht="15.75" customHeight="1">
      <c r="I731" s="117"/>
      <c r="K731" s="117"/>
      <c r="L731" s="118"/>
    </row>
    <row r="732" ht="15.75" customHeight="1">
      <c r="I732" s="117"/>
      <c r="K732" s="117"/>
      <c r="L732" s="118"/>
    </row>
    <row r="733" ht="15.75" customHeight="1">
      <c r="I733" s="117"/>
      <c r="K733" s="117"/>
      <c r="L733" s="118"/>
    </row>
    <row r="734" ht="15.75" customHeight="1">
      <c r="I734" s="117"/>
      <c r="K734" s="117"/>
      <c r="L734" s="118"/>
    </row>
    <row r="735" ht="15.75" customHeight="1">
      <c r="I735" s="117"/>
      <c r="K735" s="117"/>
      <c r="L735" s="118"/>
    </row>
    <row r="736" ht="15.75" customHeight="1">
      <c r="I736" s="117"/>
      <c r="K736" s="117"/>
      <c r="L736" s="118"/>
    </row>
    <row r="737" ht="15.75" customHeight="1">
      <c r="I737" s="117"/>
      <c r="K737" s="117"/>
      <c r="L737" s="118"/>
    </row>
    <row r="738" ht="15.75" customHeight="1">
      <c r="I738" s="117"/>
      <c r="K738" s="117"/>
      <c r="L738" s="118"/>
    </row>
    <row r="739" ht="15.75" customHeight="1">
      <c r="I739" s="117"/>
      <c r="K739" s="117"/>
      <c r="L739" s="118"/>
    </row>
    <row r="740" ht="15.75" customHeight="1">
      <c r="I740" s="117"/>
      <c r="K740" s="117"/>
      <c r="L740" s="118"/>
    </row>
    <row r="741" ht="15.75" customHeight="1">
      <c r="I741" s="117"/>
      <c r="K741" s="117"/>
      <c r="L741" s="118"/>
    </row>
    <row r="742" ht="15.75" customHeight="1">
      <c r="I742" s="117"/>
      <c r="K742" s="117"/>
      <c r="L742" s="118"/>
    </row>
    <row r="743" ht="15.75" customHeight="1">
      <c r="I743" s="117"/>
      <c r="K743" s="117"/>
      <c r="L743" s="118"/>
    </row>
    <row r="744" ht="15.75" customHeight="1">
      <c r="I744" s="117"/>
      <c r="K744" s="117"/>
      <c r="L744" s="118"/>
    </row>
    <row r="745" ht="15.75" customHeight="1">
      <c r="I745" s="117"/>
      <c r="K745" s="117"/>
      <c r="L745" s="118"/>
    </row>
    <row r="746" ht="15.75" customHeight="1">
      <c r="I746" s="117"/>
      <c r="K746" s="117"/>
      <c r="L746" s="118"/>
    </row>
    <row r="747" ht="15.75" customHeight="1">
      <c r="I747" s="117"/>
      <c r="K747" s="117"/>
      <c r="L747" s="118"/>
    </row>
    <row r="748" ht="15.75" customHeight="1">
      <c r="I748" s="117"/>
      <c r="K748" s="117"/>
      <c r="L748" s="118"/>
    </row>
    <row r="749" ht="15.75" customHeight="1">
      <c r="I749" s="117"/>
      <c r="K749" s="117"/>
      <c r="L749" s="118"/>
    </row>
    <row r="750" ht="15.75" customHeight="1">
      <c r="I750" s="117"/>
      <c r="K750" s="117"/>
      <c r="L750" s="118"/>
    </row>
    <row r="751" ht="15.75" customHeight="1">
      <c r="I751" s="117"/>
      <c r="K751" s="117"/>
      <c r="L751" s="118"/>
    </row>
    <row r="752" ht="15.75" customHeight="1">
      <c r="I752" s="117"/>
      <c r="K752" s="117"/>
      <c r="L752" s="118"/>
    </row>
    <row r="753" ht="15.75" customHeight="1">
      <c r="I753" s="117"/>
      <c r="K753" s="117"/>
      <c r="L753" s="118"/>
    </row>
    <row r="754" ht="15.75" customHeight="1">
      <c r="I754" s="117"/>
      <c r="K754" s="117"/>
      <c r="L754" s="118"/>
    </row>
    <row r="755" ht="15.75" customHeight="1">
      <c r="I755" s="117"/>
      <c r="K755" s="117"/>
      <c r="L755" s="118"/>
    </row>
    <row r="756" ht="15.75" customHeight="1">
      <c r="I756" s="117"/>
      <c r="K756" s="117"/>
      <c r="L756" s="118"/>
    </row>
    <row r="757" ht="15.75" customHeight="1">
      <c r="I757" s="117"/>
      <c r="K757" s="117"/>
      <c r="L757" s="118"/>
    </row>
    <row r="758" ht="15.75" customHeight="1">
      <c r="I758" s="117"/>
      <c r="K758" s="117"/>
      <c r="L758" s="118"/>
    </row>
    <row r="759" ht="15.75" customHeight="1">
      <c r="I759" s="117"/>
      <c r="K759" s="117"/>
      <c r="L759" s="118"/>
    </row>
    <row r="760" ht="15.75" customHeight="1">
      <c r="I760" s="117"/>
      <c r="K760" s="117"/>
      <c r="L760" s="118"/>
    </row>
    <row r="761" ht="15.75" customHeight="1">
      <c r="I761" s="117"/>
      <c r="K761" s="117"/>
      <c r="L761" s="118"/>
    </row>
    <row r="762" ht="15.75" customHeight="1">
      <c r="I762" s="117"/>
      <c r="K762" s="117"/>
      <c r="L762" s="118"/>
    </row>
    <row r="763" ht="15.75" customHeight="1">
      <c r="I763" s="117"/>
      <c r="K763" s="117"/>
      <c r="L763" s="118"/>
    </row>
    <row r="764" ht="15.75" customHeight="1">
      <c r="I764" s="117"/>
      <c r="K764" s="117"/>
      <c r="L764" s="118"/>
    </row>
    <row r="765" ht="15.75" customHeight="1">
      <c r="I765" s="117"/>
      <c r="K765" s="117"/>
      <c r="L765" s="118"/>
    </row>
    <row r="766" ht="15.75" customHeight="1">
      <c r="I766" s="117"/>
      <c r="K766" s="117"/>
      <c r="L766" s="118"/>
    </row>
    <row r="767" ht="15.75" customHeight="1">
      <c r="I767" s="117"/>
      <c r="K767" s="117"/>
      <c r="L767" s="118"/>
    </row>
    <row r="768" ht="15.75" customHeight="1">
      <c r="I768" s="117"/>
      <c r="K768" s="117"/>
      <c r="L768" s="118"/>
    </row>
    <row r="769" ht="15.75" customHeight="1">
      <c r="I769" s="117"/>
      <c r="K769" s="117"/>
      <c r="L769" s="118"/>
    </row>
    <row r="770" ht="15.75" customHeight="1">
      <c r="I770" s="117"/>
      <c r="K770" s="117"/>
      <c r="L770" s="118"/>
    </row>
    <row r="771" ht="15.75" customHeight="1">
      <c r="I771" s="117"/>
      <c r="K771" s="117"/>
      <c r="L771" s="118"/>
    </row>
    <row r="772" ht="15.75" customHeight="1">
      <c r="I772" s="117"/>
      <c r="K772" s="117"/>
      <c r="L772" s="118"/>
    </row>
    <row r="773" ht="15.75" customHeight="1">
      <c r="I773" s="117"/>
      <c r="K773" s="117"/>
      <c r="L773" s="118"/>
    </row>
    <row r="774" ht="15.75" customHeight="1">
      <c r="I774" s="117"/>
      <c r="K774" s="117"/>
      <c r="L774" s="118"/>
    </row>
    <row r="775" ht="15.75" customHeight="1">
      <c r="I775" s="117"/>
      <c r="K775" s="117"/>
      <c r="L775" s="118"/>
    </row>
    <row r="776" ht="15.75" customHeight="1">
      <c r="I776" s="117"/>
      <c r="K776" s="117"/>
      <c r="L776" s="118"/>
    </row>
    <row r="777" ht="15.75" customHeight="1">
      <c r="I777" s="117"/>
      <c r="K777" s="117"/>
      <c r="L777" s="118"/>
    </row>
    <row r="778" ht="15.75" customHeight="1">
      <c r="I778" s="117"/>
      <c r="K778" s="117"/>
      <c r="L778" s="118"/>
    </row>
    <row r="779" ht="15.75" customHeight="1">
      <c r="I779" s="117"/>
      <c r="K779" s="117"/>
      <c r="L779" s="118"/>
    </row>
    <row r="780" ht="15.75" customHeight="1">
      <c r="I780" s="117"/>
      <c r="K780" s="117"/>
      <c r="L780" s="118"/>
    </row>
    <row r="781" ht="15.75" customHeight="1">
      <c r="I781" s="117"/>
      <c r="K781" s="117"/>
      <c r="L781" s="118"/>
    </row>
    <row r="782" ht="15.75" customHeight="1">
      <c r="I782" s="117"/>
      <c r="K782" s="117"/>
      <c r="L782" s="118"/>
    </row>
    <row r="783" ht="15.75" customHeight="1">
      <c r="I783" s="117"/>
      <c r="K783" s="117"/>
      <c r="L783" s="118"/>
    </row>
    <row r="784" ht="15.75" customHeight="1">
      <c r="I784" s="117"/>
      <c r="K784" s="117"/>
      <c r="L784" s="118"/>
    </row>
    <row r="785" ht="15.75" customHeight="1">
      <c r="I785" s="117"/>
      <c r="K785" s="117"/>
      <c r="L785" s="118"/>
    </row>
    <row r="786" ht="15.75" customHeight="1">
      <c r="I786" s="117"/>
      <c r="K786" s="117"/>
      <c r="L786" s="118"/>
    </row>
    <row r="787" ht="15.75" customHeight="1">
      <c r="I787" s="117"/>
      <c r="K787" s="117"/>
      <c r="L787" s="118"/>
    </row>
    <row r="788" ht="15.75" customHeight="1">
      <c r="I788" s="117"/>
      <c r="K788" s="117"/>
      <c r="L788" s="118"/>
    </row>
    <row r="789" ht="15.75" customHeight="1">
      <c r="I789" s="117"/>
      <c r="K789" s="117"/>
      <c r="L789" s="118"/>
    </row>
    <row r="790" ht="15.75" customHeight="1">
      <c r="I790" s="117"/>
      <c r="K790" s="117"/>
      <c r="L790" s="118"/>
    </row>
    <row r="791" ht="15.75" customHeight="1">
      <c r="I791" s="117"/>
      <c r="K791" s="117"/>
      <c r="L791" s="118"/>
    </row>
    <row r="792" ht="15.75" customHeight="1">
      <c r="I792" s="117"/>
      <c r="K792" s="117"/>
      <c r="L792" s="118"/>
    </row>
    <row r="793" ht="15.75" customHeight="1">
      <c r="I793" s="117"/>
      <c r="K793" s="117"/>
      <c r="L793" s="118"/>
    </row>
    <row r="794" ht="15.75" customHeight="1">
      <c r="I794" s="117"/>
      <c r="K794" s="117"/>
      <c r="L794" s="118"/>
    </row>
    <row r="795" ht="15.75" customHeight="1">
      <c r="I795" s="117"/>
      <c r="K795" s="117"/>
      <c r="L795" s="118"/>
    </row>
    <row r="796" ht="15.75" customHeight="1">
      <c r="I796" s="117"/>
      <c r="K796" s="117"/>
      <c r="L796" s="118"/>
    </row>
    <row r="797" ht="15.75" customHeight="1">
      <c r="I797" s="117"/>
      <c r="K797" s="117"/>
      <c r="L797" s="118"/>
    </row>
    <row r="798" ht="15.75" customHeight="1">
      <c r="I798" s="117"/>
      <c r="K798" s="117"/>
      <c r="L798" s="118"/>
    </row>
    <row r="799" ht="15.75" customHeight="1">
      <c r="I799" s="117"/>
      <c r="K799" s="117"/>
      <c r="L799" s="118"/>
    </row>
    <row r="800" ht="15.75" customHeight="1">
      <c r="I800" s="117"/>
      <c r="K800" s="117"/>
      <c r="L800" s="118"/>
    </row>
    <row r="801" ht="15.75" customHeight="1">
      <c r="I801" s="117"/>
      <c r="K801" s="117"/>
      <c r="L801" s="118"/>
    </row>
    <row r="802" ht="15.75" customHeight="1">
      <c r="I802" s="117"/>
      <c r="K802" s="117"/>
      <c r="L802" s="118"/>
    </row>
    <row r="803" ht="15.75" customHeight="1">
      <c r="I803" s="117"/>
      <c r="K803" s="117"/>
      <c r="L803" s="118"/>
    </row>
    <row r="804" ht="15.75" customHeight="1">
      <c r="I804" s="117"/>
      <c r="K804" s="117"/>
      <c r="L804" s="118"/>
    </row>
    <row r="805" ht="15.75" customHeight="1">
      <c r="I805" s="117"/>
      <c r="K805" s="117"/>
      <c r="L805" s="118"/>
    </row>
    <row r="806" ht="15.75" customHeight="1">
      <c r="I806" s="117"/>
      <c r="K806" s="117"/>
      <c r="L806" s="118"/>
    </row>
    <row r="807" ht="15.75" customHeight="1">
      <c r="I807" s="117"/>
      <c r="K807" s="117"/>
      <c r="L807" s="118"/>
    </row>
    <row r="808" ht="15.75" customHeight="1">
      <c r="I808" s="117"/>
      <c r="K808" s="117"/>
      <c r="L808" s="118"/>
    </row>
    <row r="809" ht="15.75" customHeight="1">
      <c r="I809" s="117"/>
      <c r="K809" s="117"/>
      <c r="L809" s="118"/>
    </row>
    <row r="810" ht="15.75" customHeight="1">
      <c r="I810" s="117"/>
      <c r="K810" s="117"/>
      <c r="L810" s="118"/>
    </row>
    <row r="811" ht="15.75" customHeight="1">
      <c r="I811" s="117"/>
      <c r="K811" s="117"/>
      <c r="L811" s="118"/>
    </row>
    <row r="812" ht="15.75" customHeight="1">
      <c r="I812" s="117"/>
      <c r="K812" s="117"/>
      <c r="L812" s="118"/>
    </row>
    <row r="813" ht="15.75" customHeight="1">
      <c r="I813" s="117"/>
      <c r="K813" s="117"/>
      <c r="L813" s="118"/>
    </row>
    <row r="814" ht="15.75" customHeight="1">
      <c r="I814" s="117"/>
      <c r="K814" s="117"/>
      <c r="L814" s="118"/>
    </row>
    <row r="815" ht="15.75" customHeight="1">
      <c r="I815" s="117"/>
      <c r="K815" s="117"/>
      <c r="L815" s="118"/>
    </row>
    <row r="816" ht="15.75" customHeight="1">
      <c r="I816" s="117"/>
      <c r="K816" s="117"/>
      <c r="L816" s="118"/>
    </row>
    <row r="817" ht="15.75" customHeight="1">
      <c r="I817" s="117"/>
      <c r="K817" s="117"/>
      <c r="L817" s="118"/>
    </row>
    <row r="818" ht="15.75" customHeight="1">
      <c r="I818" s="117"/>
      <c r="K818" s="117"/>
      <c r="L818" s="118"/>
    </row>
    <row r="819" ht="15.75" customHeight="1">
      <c r="I819" s="117"/>
      <c r="K819" s="117"/>
      <c r="L819" s="118"/>
    </row>
    <row r="820" ht="15.75" customHeight="1">
      <c r="I820" s="117"/>
      <c r="K820" s="117"/>
      <c r="L820" s="118"/>
    </row>
    <row r="821" ht="15.75" customHeight="1">
      <c r="I821" s="117"/>
      <c r="K821" s="117"/>
      <c r="L821" s="118"/>
    </row>
    <row r="822" ht="15.75" customHeight="1">
      <c r="I822" s="117"/>
      <c r="K822" s="117"/>
      <c r="L822" s="118"/>
    </row>
    <row r="823" ht="15.75" customHeight="1">
      <c r="I823" s="117"/>
      <c r="K823" s="117"/>
      <c r="L823" s="118"/>
    </row>
    <row r="824" ht="15.75" customHeight="1">
      <c r="I824" s="117"/>
      <c r="K824" s="117"/>
      <c r="L824" s="118"/>
    </row>
    <row r="825" ht="15.75" customHeight="1">
      <c r="I825" s="117"/>
      <c r="K825" s="117"/>
      <c r="L825" s="118"/>
    </row>
    <row r="826" ht="15.75" customHeight="1">
      <c r="I826" s="117"/>
      <c r="K826" s="117"/>
      <c r="L826" s="118"/>
    </row>
    <row r="827" ht="15.75" customHeight="1">
      <c r="I827" s="117"/>
      <c r="K827" s="117"/>
      <c r="L827" s="118"/>
    </row>
    <row r="828" ht="15.75" customHeight="1">
      <c r="I828" s="117"/>
      <c r="K828" s="117"/>
      <c r="L828" s="118"/>
    </row>
    <row r="829" ht="15.75" customHeight="1">
      <c r="I829" s="117"/>
      <c r="K829" s="117"/>
      <c r="L829" s="118"/>
    </row>
    <row r="830" ht="15.75" customHeight="1">
      <c r="I830" s="117"/>
      <c r="K830" s="117"/>
      <c r="L830" s="118"/>
    </row>
    <row r="831" ht="15.75" customHeight="1">
      <c r="I831" s="117"/>
      <c r="K831" s="117"/>
      <c r="L831" s="118"/>
    </row>
    <row r="832" ht="15.75" customHeight="1">
      <c r="I832" s="117"/>
      <c r="K832" s="117"/>
      <c r="L832" s="118"/>
    </row>
    <row r="833" ht="15.75" customHeight="1">
      <c r="I833" s="117"/>
      <c r="K833" s="117"/>
      <c r="L833" s="118"/>
    </row>
    <row r="834" ht="15.75" customHeight="1">
      <c r="I834" s="117"/>
      <c r="K834" s="117"/>
      <c r="L834" s="118"/>
    </row>
    <row r="835" ht="15.75" customHeight="1">
      <c r="I835" s="117"/>
      <c r="K835" s="117"/>
      <c r="L835" s="118"/>
    </row>
    <row r="836" ht="15.75" customHeight="1">
      <c r="I836" s="117"/>
      <c r="K836" s="117"/>
      <c r="L836" s="118"/>
    </row>
    <row r="837" ht="15.75" customHeight="1">
      <c r="I837" s="117"/>
      <c r="K837" s="117"/>
      <c r="L837" s="118"/>
    </row>
    <row r="838" ht="15.75" customHeight="1">
      <c r="I838" s="117"/>
      <c r="K838" s="117"/>
      <c r="L838" s="118"/>
    </row>
    <row r="839" ht="15.75" customHeight="1">
      <c r="I839" s="117"/>
      <c r="K839" s="117"/>
      <c r="L839" s="118"/>
    </row>
    <row r="840" ht="15.75" customHeight="1">
      <c r="I840" s="117"/>
      <c r="K840" s="117"/>
      <c r="L840" s="118"/>
    </row>
    <row r="841" ht="15.75" customHeight="1">
      <c r="I841" s="117"/>
      <c r="K841" s="117"/>
      <c r="L841" s="118"/>
    </row>
    <row r="842" ht="15.75" customHeight="1">
      <c r="I842" s="117"/>
      <c r="K842" s="117"/>
      <c r="L842" s="118"/>
    </row>
    <row r="843" ht="15.75" customHeight="1">
      <c r="I843" s="117"/>
      <c r="K843" s="117"/>
      <c r="L843" s="118"/>
    </row>
    <row r="844" ht="15.75" customHeight="1">
      <c r="I844" s="117"/>
      <c r="K844" s="117"/>
      <c r="L844" s="118"/>
    </row>
    <row r="845" ht="15.75" customHeight="1">
      <c r="I845" s="117"/>
      <c r="K845" s="117"/>
      <c r="L845" s="118"/>
    </row>
    <row r="846" ht="15.75" customHeight="1">
      <c r="I846" s="117"/>
      <c r="K846" s="117"/>
      <c r="L846" s="118"/>
    </row>
    <row r="847" ht="15.75" customHeight="1">
      <c r="I847" s="117"/>
      <c r="K847" s="117"/>
      <c r="L847" s="118"/>
    </row>
    <row r="848" ht="15.75" customHeight="1">
      <c r="I848" s="117"/>
      <c r="K848" s="117"/>
      <c r="L848" s="118"/>
    </row>
    <row r="849" ht="15.75" customHeight="1">
      <c r="I849" s="117"/>
      <c r="K849" s="117"/>
      <c r="L849" s="118"/>
    </row>
    <row r="850" ht="15.75" customHeight="1">
      <c r="I850" s="117"/>
      <c r="K850" s="117"/>
      <c r="L850" s="118"/>
    </row>
    <row r="851" ht="15.75" customHeight="1">
      <c r="I851" s="117"/>
      <c r="K851" s="117"/>
      <c r="L851" s="118"/>
    </row>
    <row r="852" ht="15.75" customHeight="1">
      <c r="I852" s="117"/>
      <c r="K852" s="117"/>
      <c r="L852" s="118"/>
    </row>
    <row r="853" ht="15.75" customHeight="1">
      <c r="I853" s="117"/>
      <c r="K853" s="117"/>
      <c r="L853" s="118"/>
    </row>
    <row r="854" ht="15.75" customHeight="1">
      <c r="I854" s="117"/>
      <c r="K854" s="117"/>
      <c r="L854" s="118"/>
    </row>
    <row r="855" ht="15.75" customHeight="1">
      <c r="I855" s="117"/>
      <c r="K855" s="117"/>
      <c r="L855" s="118"/>
    </row>
    <row r="856" ht="15.75" customHeight="1">
      <c r="I856" s="117"/>
      <c r="K856" s="117"/>
      <c r="L856" s="118"/>
    </row>
    <row r="857" ht="15.75" customHeight="1">
      <c r="I857" s="117"/>
      <c r="K857" s="117"/>
      <c r="L857" s="118"/>
    </row>
    <row r="858" ht="15.75" customHeight="1">
      <c r="I858" s="117"/>
      <c r="K858" s="117"/>
      <c r="L858" s="118"/>
    </row>
    <row r="859" ht="15.75" customHeight="1">
      <c r="I859" s="117"/>
      <c r="K859" s="117"/>
      <c r="L859" s="118"/>
    </row>
    <row r="860" ht="15.75" customHeight="1">
      <c r="I860" s="117"/>
      <c r="K860" s="117"/>
      <c r="L860" s="118"/>
    </row>
    <row r="861" ht="15.75" customHeight="1">
      <c r="I861" s="117"/>
      <c r="K861" s="117"/>
      <c r="L861" s="118"/>
    </row>
    <row r="862" ht="15.75" customHeight="1">
      <c r="I862" s="117"/>
      <c r="K862" s="117"/>
      <c r="L862" s="118"/>
    </row>
    <row r="863" ht="15.75" customHeight="1">
      <c r="I863" s="117"/>
      <c r="K863" s="117"/>
      <c r="L863" s="118"/>
    </row>
    <row r="864" ht="15.75" customHeight="1">
      <c r="I864" s="117"/>
      <c r="K864" s="117"/>
      <c r="L864" s="118"/>
    </row>
    <row r="865" ht="15.75" customHeight="1">
      <c r="I865" s="117"/>
      <c r="K865" s="117"/>
      <c r="L865" s="118"/>
    </row>
    <row r="866" ht="15.75" customHeight="1">
      <c r="I866" s="117"/>
      <c r="K866" s="117"/>
      <c r="L866" s="118"/>
    </row>
    <row r="867" ht="15.75" customHeight="1">
      <c r="I867" s="117"/>
      <c r="K867" s="117"/>
      <c r="L867" s="118"/>
    </row>
    <row r="868" ht="15.75" customHeight="1">
      <c r="I868" s="117"/>
      <c r="K868" s="117"/>
      <c r="L868" s="118"/>
    </row>
    <row r="869" ht="15.75" customHeight="1">
      <c r="I869" s="117"/>
      <c r="K869" s="117"/>
      <c r="L869" s="118"/>
    </row>
    <row r="870" ht="15.75" customHeight="1">
      <c r="I870" s="117"/>
      <c r="K870" s="117"/>
      <c r="L870" s="118"/>
    </row>
    <row r="871" ht="15.75" customHeight="1">
      <c r="I871" s="117"/>
      <c r="K871" s="117"/>
      <c r="L871" s="118"/>
    </row>
    <row r="872" ht="15.75" customHeight="1">
      <c r="I872" s="117"/>
      <c r="K872" s="117"/>
      <c r="L872" s="118"/>
    </row>
    <row r="873" ht="15.75" customHeight="1">
      <c r="I873" s="117"/>
      <c r="K873" s="117"/>
      <c r="L873" s="118"/>
    </row>
    <row r="874" ht="15.75" customHeight="1">
      <c r="I874" s="117"/>
      <c r="K874" s="117"/>
      <c r="L874" s="118"/>
    </row>
    <row r="875" ht="15.75" customHeight="1">
      <c r="I875" s="117"/>
      <c r="K875" s="117"/>
      <c r="L875" s="118"/>
    </row>
    <row r="876" ht="15.75" customHeight="1">
      <c r="I876" s="117"/>
      <c r="K876" s="117"/>
      <c r="L876" s="118"/>
    </row>
    <row r="877" ht="15.75" customHeight="1">
      <c r="I877" s="117"/>
      <c r="K877" s="117"/>
      <c r="L877" s="118"/>
    </row>
    <row r="878" ht="15.75" customHeight="1">
      <c r="I878" s="117"/>
      <c r="K878" s="117"/>
      <c r="L878" s="118"/>
    </row>
    <row r="879" ht="15.75" customHeight="1">
      <c r="I879" s="117"/>
      <c r="K879" s="117"/>
      <c r="L879" s="118"/>
    </row>
    <row r="880" ht="15.75" customHeight="1">
      <c r="I880" s="117"/>
      <c r="K880" s="117"/>
      <c r="L880" s="118"/>
    </row>
    <row r="881" ht="15.75" customHeight="1">
      <c r="I881" s="117"/>
      <c r="K881" s="117"/>
      <c r="L881" s="118"/>
    </row>
    <row r="882" ht="15.75" customHeight="1">
      <c r="I882" s="117"/>
      <c r="K882" s="117"/>
      <c r="L882" s="118"/>
    </row>
    <row r="883" ht="15.75" customHeight="1">
      <c r="I883" s="117"/>
      <c r="K883" s="117"/>
      <c r="L883" s="118"/>
    </row>
    <row r="884" ht="15.75" customHeight="1">
      <c r="I884" s="117"/>
      <c r="K884" s="117"/>
      <c r="L884" s="118"/>
    </row>
    <row r="885" ht="15.75" customHeight="1">
      <c r="I885" s="117"/>
      <c r="K885" s="117"/>
      <c r="L885" s="118"/>
    </row>
    <row r="886" ht="15.75" customHeight="1">
      <c r="I886" s="117"/>
      <c r="K886" s="117"/>
      <c r="L886" s="118"/>
    </row>
    <row r="887" ht="15.75" customHeight="1">
      <c r="I887" s="117"/>
      <c r="K887" s="117"/>
      <c r="L887" s="118"/>
    </row>
    <row r="888" ht="15.75" customHeight="1">
      <c r="I888" s="117"/>
      <c r="K888" s="117"/>
      <c r="L888" s="118"/>
    </row>
    <row r="889" ht="15.75" customHeight="1">
      <c r="I889" s="117"/>
      <c r="K889" s="117"/>
      <c r="L889" s="118"/>
    </row>
    <row r="890" ht="15.75" customHeight="1">
      <c r="I890" s="117"/>
      <c r="K890" s="117"/>
      <c r="L890" s="118"/>
    </row>
    <row r="891" ht="15.75" customHeight="1">
      <c r="I891" s="117"/>
      <c r="K891" s="117"/>
      <c r="L891" s="118"/>
    </row>
    <row r="892" ht="15.75" customHeight="1">
      <c r="I892" s="117"/>
      <c r="K892" s="117"/>
      <c r="L892" s="118"/>
    </row>
    <row r="893" ht="15.75" customHeight="1">
      <c r="I893" s="117"/>
      <c r="K893" s="117"/>
      <c r="L893" s="118"/>
    </row>
    <row r="894" ht="15.75" customHeight="1">
      <c r="I894" s="117"/>
      <c r="K894" s="117"/>
      <c r="L894" s="118"/>
    </row>
    <row r="895" ht="15.75" customHeight="1">
      <c r="I895" s="117"/>
      <c r="K895" s="117"/>
      <c r="L895" s="118"/>
    </row>
    <row r="896" ht="15.75" customHeight="1">
      <c r="I896" s="117"/>
      <c r="K896" s="117"/>
      <c r="L896" s="118"/>
    </row>
    <row r="897" ht="15.75" customHeight="1">
      <c r="I897" s="117"/>
      <c r="K897" s="117"/>
      <c r="L897" s="118"/>
    </row>
    <row r="898" ht="15.75" customHeight="1">
      <c r="I898" s="117"/>
      <c r="K898" s="117"/>
      <c r="L898" s="118"/>
    </row>
    <row r="899" ht="15.75" customHeight="1">
      <c r="I899" s="117"/>
      <c r="K899" s="117"/>
      <c r="L899" s="118"/>
    </row>
    <row r="900" ht="15.75" customHeight="1">
      <c r="I900" s="117"/>
      <c r="K900" s="117"/>
      <c r="L900" s="118"/>
    </row>
    <row r="901" ht="15.75" customHeight="1">
      <c r="I901" s="117"/>
      <c r="K901" s="117"/>
      <c r="L901" s="118"/>
    </row>
    <row r="902" ht="15.75" customHeight="1">
      <c r="I902" s="117"/>
      <c r="K902" s="117"/>
      <c r="L902" s="118"/>
    </row>
    <row r="903" ht="15.75" customHeight="1">
      <c r="I903" s="117"/>
      <c r="K903" s="117"/>
      <c r="L903" s="118"/>
    </row>
    <row r="904" ht="15.75" customHeight="1">
      <c r="I904" s="117"/>
      <c r="K904" s="117"/>
      <c r="L904" s="118"/>
    </row>
    <row r="905" ht="15.75" customHeight="1">
      <c r="I905" s="117"/>
      <c r="K905" s="117"/>
      <c r="L905" s="118"/>
    </row>
    <row r="906" ht="15.75" customHeight="1">
      <c r="I906" s="117"/>
      <c r="K906" s="117"/>
      <c r="L906" s="118"/>
    </row>
    <row r="907" ht="15.75" customHeight="1">
      <c r="I907" s="117"/>
      <c r="K907" s="117"/>
      <c r="L907" s="118"/>
    </row>
    <row r="908" ht="15.75" customHeight="1">
      <c r="I908" s="117"/>
      <c r="K908" s="117"/>
      <c r="L908" s="118"/>
    </row>
    <row r="909" ht="15.75" customHeight="1">
      <c r="I909" s="117"/>
      <c r="K909" s="117"/>
      <c r="L909" s="118"/>
    </row>
    <row r="910" ht="15.75" customHeight="1">
      <c r="I910" s="117"/>
      <c r="K910" s="117"/>
      <c r="L910" s="118"/>
    </row>
    <row r="911" ht="15.75" customHeight="1">
      <c r="I911" s="117"/>
      <c r="K911" s="117"/>
      <c r="L911" s="118"/>
    </row>
    <row r="912" ht="15.75" customHeight="1">
      <c r="I912" s="117"/>
      <c r="K912" s="117"/>
      <c r="L912" s="118"/>
    </row>
    <row r="913" ht="15.75" customHeight="1">
      <c r="I913" s="117"/>
      <c r="K913" s="117"/>
      <c r="L913" s="118"/>
    </row>
    <row r="914" ht="15.75" customHeight="1">
      <c r="I914" s="117"/>
      <c r="K914" s="117"/>
      <c r="L914" s="118"/>
    </row>
    <row r="915" ht="15.75" customHeight="1">
      <c r="I915" s="117"/>
      <c r="K915" s="117"/>
      <c r="L915" s="118"/>
    </row>
    <row r="916" ht="15.75" customHeight="1">
      <c r="I916" s="117"/>
      <c r="K916" s="117"/>
      <c r="L916" s="118"/>
    </row>
    <row r="917" ht="15.75" customHeight="1">
      <c r="I917" s="117"/>
      <c r="K917" s="117"/>
      <c r="L917" s="118"/>
    </row>
    <row r="918" ht="15.75" customHeight="1">
      <c r="I918" s="117"/>
      <c r="K918" s="117"/>
      <c r="L918" s="118"/>
    </row>
    <row r="919" ht="15.75" customHeight="1">
      <c r="I919" s="117"/>
      <c r="K919" s="117"/>
      <c r="L919" s="118"/>
    </row>
    <row r="920" ht="15.75" customHeight="1">
      <c r="I920" s="117"/>
      <c r="K920" s="117"/>
      <c r="L920" s="118"/>
    </row>
    <row r="921" ht="15.75" customHeight="1">
      <c r="I921" s="117"/>
      <c r="K921" s="117"/>
      <c r="L921" s="118"/>
    </row>
    <row r="922" ht="15.75" customHeight="1">
      <c r="I922" s="117"/>
      <c r="K922" s="117"/>
      <c r="L922" s="118"/>
    </row>
    <row r="923" ht="15.75" customHeight="1">
      <c r="I923" s="117"/>
      <c r="K923" s="117"/>
      <c r="L923" s="118"/>
    </row>
    <row r="924" ht="15.75" customHeight="1">
      <c r="I924" s="117"/>
      <c r="K924" s="117"/>
      <c r="L924" s="118"/>
    </row>
    <row r="925" ht="15.75" customHeight="1">
      <c r="I925" s="117"/>
      <c r="K925" s="117"/>
      <c r="L925" s="118"/>
    </row>
    <row r="926" ht="15.75" customHeight="1">
      <c r="I926" s="117"/>
      <c r="K926" s="117"/>
      <c r="L926" s="118"/>
    </row>
    <row r="927" ht="15.75" customHeight="1">
      <c r="I927" s="117"/>
      <c r="K927" s="117"/>
      <c r="L927" s="118"/>
    </row>
    <row r="928" ht="15.75" customHeight="1">
      <c r="I928" s="117"/>
      <c r="K928" s="117"/>
      <c r="L928" s="118"/>
    </row>
    <row r="929" ht="15.75" customHeight="1">
      <c r="I929" s="117"/>
      <c r="K929" s="117"/>
      <c r="L929" s="118"/>
    </row>
    <row r="930" ht="15.75" customHeight="1">
      <c r="I930" s="117"/>
      <c r="K930" s="117"/>
      <c r="L930" s="118"/>
    </row>
    <row r="931" ht="15.75" customHeight="1">
      <c r="I931" s="117"/>
      <c r="K931" s="117"/>
      <c r="L931" s="118"/>
    </row>
    <row r="932" ht="15.75" customHeight="1">
      <c r="I932" s="117"/>
      <c r="K932" s="117"/>
      <c r="L932" s="118"/>
    </row>
    <row r="933" ht="15.75" customHeight="1">
      <c r="I933" s="117"/>
      <c r="K933" s="117"/>
      <c r="L933" s="118"/>
    </row>
    <row r="934" ht="15.75" customHeight="1">
      <c r="I934" s="117"/>
      <c r="K934" s="117"/>
      <c r="L934" s="118"/>
    </row>
    <row r="935" ht="15.75" customHeight="1">
      <c r="I935" s="117"/>
      <c r="K935" s="117"/>
      <c r="L935" s="118"/>
    </row>
    <row r="936" ht="15.75" customHeight="1">
      <c r="I936" s="117"/>
      <c r="K936" s="117"/>
      <c r="L936" s="118"/>
    </row>
    <row r="937" ht="15.75" customHeight="1">
      <c r="I937" s="117"/>
      <c r="K937" s="117"/>
      <c r="L937" s="118"/>
    </row>
    <row r="938" ht="15.75" customHeight="1">
      <c r="I938" s="117"/>
      <c r="K938" s="117"/>
      <c r="L938" s="118"/>
    </row>
    <row r="939" ht="15.75" customHeight="1">
      <c r="I939" s="117"/>
      <c r="K939" s="117"/>
      <c r="L939" s="118"/>
    </row>
    <row r="940" ht="15.75" customHeight="1">
      <c r="I940" s="117"/>
      <c r="K940" s="117"/>
      <c r="L940" s="118"/>
    </row>
    <row r="941" ht="15.75" customHeight="1">
      <c r="I941" s="117"/>
      <c r="K941" s="117"/>
      <c r="L941" s="118"/>
    </row>
    <row r="942" ht="15.75" customHeight="1">
      <c r="I942" s="117"/>
      <c r="K942" s="117"/>
      <c r="L942" s="118"/>
    </row>
    <row r="943" ht="15.75" customHeight="1">
      <c r="I943" s="117"/>
      <c r="K943" s="117"/>
      <c r="L943" s="118"/>
    </row>
    <row r="944" ht="15.75" customHeight="1">
      <c r="I944" s="117"/>
      <c r="K944" s="117"/>
      <c r="L944" s="118"/>
    </row>
    <row r="945" ht="15.75" customHeight="1">
      <c r="I945" s="117"/>
      <c r="K945" s="117"/>
      <c r="L945" s="118"/>
    </row>
    <row r="946" ht="15.75" customHeight="1">
      <c r="I946" s="117"/>
      <c r="K946" s="117"/>
      <c r="L946" s="118"/>
    </row>
    <row r="947" ht="15.75" customHeight="1">
      <c r="I947" s="117"/>
      <c r="K947" s="117"/>
      <c r="L947" s="118"/>
    </row>
    <row r="948" ht="15.75" customHeight="1">
      <c r="I948" s="117"/>
      <c r="K948" s="117"/>
      <c r="L948" s="118"/>
    </row>
    <row r="949" ht="15.75" customHeight="1">
      <c r="I949" s="117"/>
      <c r="K949" s="117"/>
      <c r="L949" s="118"/>
    </row>
    <row r="950" ht="15.75" customHeight="1">
      <c r="I950" s="117"/>
      <c r="K950" s="117"/>
      <c r="L950" s="118"/>
    </row>
    <row r="951" ht="15.75" customHeight="1">
      <c r="I951" s="117"/>
      <c r="K951" s="117"/>
      <c r="L951" s="118"/>
    </row>
    <row r="952" ht="15.75" customHeight="1">
      <c r="I952" s="117"/>
      <c r="K952" s="117"/>
      <c r="L952" s="118"/>
    </row>
    <row r="953" ht="15.75" customHeight="1">
      <c r="I953" s="117"/>
      <c r="K953" s="117"/>
      <c r="L953" s="118"/>
    </row>
    <row r="954" ht="15.75" customHeight="1">
      <c r="I954" s="117"/>
      <c r="K954" s="117"/>
      <c r="L954" s="118"/>
    </row>
    <row r="955" ht="15.75" customHeight="1">
      <c r="I955" s="117"/>
      <c r="K955" s="117"/>
      <c r="L955" s="118"/>
    </row>
    <row r="956" ht="15.75" customHeight="1">
      <c r="I956" s="117"/>
      <c r="K956" s="117"/>
      <c r="L956" s="118"/>
    </row>
    <row r="957" ht="15.75" customHeight="1">
      <c r="I957" s="117"/>
      <c r="K957" s="117"/>
      <c r="L957" s="118"/>
    </row>
    <row r="958" ht="15.75" customHeight="1">
      <c r="I958" s="117"/>
      <c r="K958" s="117"/>
      <c r="L958" s="118"/>
    </row>
    <row r="959" ht="15.75" customHeight="1">
      <c r="I959" s="117"/>
      <c r="K959" s="117"/>
      <c r="L959" s="118"/>
    </row>
    <row r="960" ht="15.75" customHeight="1">
      <c r="I960" s="117"/>
      <c r="K960" s="117"/>
      <c r="L960" s="118"/>
    </row>
    <row r="961" ht="15.75" customHeight="1">
      <c r="I961" s="117"/>
      <c r="K961" s="117"/>
      <c r="L961" s="118"/>
    </row>
    <row r="962" ht="15.75" customHeight="1">
      <c r="I962" s="117"/>
      <c r="K962" s="117"/>
      <c r="L962" s="118"/>
    </row>
    <row r="963" ht="15.75" customHeight="1">
      <c r="I963" s="117"/>
      <c r="K963" s="117"/>
      <c r="L963" s="118"/>
    </row>
    <row r="964" ht="15.75" customHeight="1">
      <c r="I964" s="117"/>
      <c r="K964" s="117"/>
      <c r="L964" s="118"/>
    </row>
    <row r="965" ht="15.75" customHeight="1">
      <c r="I965" s="117"/>
      <c r="K965" s="117"/>
      <c r="L965" s="118"/>
    </row>
    <row r="966" ht="15.75" customHeight="1">
      <c r="I966" s="117"/>
      <c r="K966" s="117"/>
      <c r="L966" s="118"/>
    </row>
    <row r="967" ht="15.75" customHeight="1">
      <c r="I967" s="117"/>
      <c r="K967" s="117"/>
      <c r="L967" s="118"/>
    </row>
    <row r="968" ht="15.75" customHeight="1">
      <c r="I968" s="117"/>
      <c r="K968" s="117"/>
      <c r="L968" s="118"/>
    </row>
    <row r="969" ht="15.75" customHeight="1">
      <c r="I969" s="117"/>
      <c r="K969" s="117"/>
      <c r="L969" s="118"/>
    </row>
    <row r="970" ht="15.75" customHeight="1">
      <c r="I970" s="117"/>
      <c r="K970" s="117"/>
      <c r="L970" s="118"/>
    </row>
    <row r="971" ht="15.75" customHeight="1">
      <c r="I971" s="117"/>
      <c r="K971" s="117"/>
      <c r="L971" s="118"/>
    </row>
    <row r="972" ht="15.75" customHeight="1">
      <c r="I972" s="117"/>
      <c r="K972" s="117"/>
      <c r="L972" s="118"/>
    </row>
    <row r="973" ht="15.75" customHeight="1">
      <c r="I973" s="117"/>
      <c r="K973" s="117"/>
      <c r="L973" s="118"/>
    </row>
    <row r="974" ht="15.75" customHeight="1">
      <c r="I974" s="117"/>
      <c r="K974" s="117"/>
      <c r="L974" s="118"/>
    </row>
    <row r="975" ht="15.75" customHeight="1">
      <c r="I975" s="117"/>
      <c r="K975" s="117"/>
      <c r="L975" s="118"/>
    </row>
    <row r="976" ht="15.75" customHeight="1">
      <c r="I976" s="117"/>
      <c r="K976" s="117"/>
      <c r="L976" s="118"/>
    </row>
    <row r="977" ht="15.75" customHeight="1">
      <c r="I977" s="117"/>
      <c r="K977" s="117"/>
      <c r="L977" s="118"/>
    </row>
    <row r="978" ht="15.75" customHeight="1">
      <c r="I978" s="117"/>
      <c r="K978" s="117"/>
      <c r="L978" s="118"/>
    </row>
    <row r="979" ht="15.75" customHeight="1">
      <c r="I979" s="117"/>
      <c r="K979" s="117"/>
      <c r="L979" s="118"/>
    </row>
    <row r="980" ht="15.75" customHeight="1">
      <c r="I980" s="117"/>
      <c r="K980" s="117"/>
      <c r="L980" s="118"/>
    </row>
    <row r="981" ht="15.75" customHeight="1">
      <c r="I981" s="117"/>
      <c r="K981" s="117"/>
      <c r="L981" s="118"/>
    </row>
    <row r="982" ht="15.75" customHeight="1">
      <c r="I982" s="117"/>
      <c r="K982" s="117"/>
      <c r="L982" s="118"/>
    </row>
    <row r="983" ht="15.75" customHeight="1">
      <c r="I983" s="117"/>
      <c r="K983" s="117"/>
      <c r="L983" s="118"/>
    </row>
    <row r="984" ht="15.75" customHeight="1">
      <c r="I984" s="117"/>
      <c r="K984" s="117"/>
      <c r="L984" s="118"/>
    </row>
    <row r="985" ht="15.75" customHeight="1">
      <c r="I985" s="117"/>
      <c r="K985" s="117"/>
      <c r="L985" s="118"/>
    </row>
    <row r="986" ht="15.75" customHeight="1">
      <c r="I986" s="117"/>
      <c r="K986" s="117"/>
      <c r="L986" s="118"/>
    </row>
    <row r="987" ht="15.75" customHeight="1">
      <c r="I987" s="117"/>
      <c r="K987" s="117"/>
      <c r="L987" s="118"/>
    </row>
  </sheetData>
  <mergeCells count="32">
    <mergeCell ref="H4:H9"/>
    <mergeCell ref="I4:I9"/>
    <mergeCell ref="J4:J9"/>
    <mergeCell ref="K4:K9"/>
    <mergeCell ref="L4:L9"/>
    <mergeCell ref="M4:M9"/>
    <mergeCell ref="A4:A9"/>
    <mergeCell ref="B4:B9"/>
    <mergeCell ref="C4:C9"/>
    <mergeCell ref="D4:D9"/>
    <mergeCell ref="E4:E9"/>
    <mergeCell ref="F4:F9"/>
    <mergeCell ref="G4:G9"/>
    <mergeCell ref="A10:B10"/>
    <mergeCell ref="A15:B15"/>
    <mergeCell ref="A19:B19"/>
    <mergeCell ref="A24:B24"/>
    <mergeCell ref="A33:B33"/>
    <mergeCell ref="A38:B38"/>
    <mergeCell ref="A42:B42"/>
    <mergeCell ref="A85:B85"/>
    <mergeCell ref="A88:B88"/>
    <mergeCell ref="A94:B94"/>
    <mergeCell ref="A101:B101"/>
    <mergeCell ref="A109:B109"/>
    <mergeCell ref="A47:B47"/>
    <mergeCell ref="A51:B51"/>
    <mergeCell ref="A59:B59"/>
    <mergeCell ref="A67:B67"/>
    <mergeCell ref="A74:B74"/>
    <mergeCell ref="A78:B78"/>
    <mergeCell ref="A82:B82"/>
  </mergeCells>
  <conditionalFormatting sqref="F11:F14 F16:F18 F20:F23 F25:F32 F34:F37 F39:F41 F43:F46 F48:F110">
    <cfRule type="cellIs" dxfId="8" priority="1" operator="equal">
      <formula>"Positive"</formula>
    </cfRule>
  </conditionalFormatting>
  <conditionalFormatting sqref="F11:F14 F16:F18 F20:F23 F25:F32 F34:F37 F39:F41 F43:F46 F48:F110">
    <cfRule type="containsText" dxfId="9" priority="2" operator="containsText" text="Negative">
      <formula>NOT(ISERROR(SEARCH(("Negative"),(F11))))</formula>
    </cfRule>
  </conditionalFormatting>
  <conditionalFormatting sqref="G10:M10 G15:M15 G19:M19 G24:M24 G33:M33 G38:M38 G42:M42 G47:M47 G51:M51 G59:M59 G67:M67 G74:M74 G78:M78 G82:M82 G85:M85 G88:M88 G94:M94 G101:M101 G109:M109">
    <cfRule type="cellIs" dxfId="4" priority="3" operator="equal">
      <formula>"Positive"</formula>
    </cfRule>
  </conditionalFormatting>
  <conditionalFormatting sqref="G10:M10 G15:M15 G19:M19 G24:M24 G33:M33 G38:M38 G42:M42 G47:M47 G51:M51 G59:M59 G67:M67 G74:M74 G78:M78 G82:M82 G85:M85 G88:M88 G94:M94 G101:M101 G109:M109">
    <cfRule type="containsText" dxfId="5" priority="4" operator="containsText" text="Negative">
      <formula>NOT(ISERROR(SEARCH(("Negative"),(G10))))</formula>
    </cfRule>
  </conditionalFormatting>
  <conditionalFormatting sqref="G11:G14 G16:G18 G20:G23 G25:G32 G34:G37 G39:G41 G43:G46 G48:G110">
    <cfRule type="containsText" dxfId="10" priority="5" operator="containsText" text="High">
      <formula>NOT(ISERROR(SEARCH(("High"),(G11))))</formula>
    </cfRule>
  </conditionalFormatting>
  <conditionalFormatting sqref="G11:G14 G16:G18 G20:G23 G25:G32 G34:G37 G39:G41 G43:G46 G48:G110">
    <cfRule type="cellIs" dxfId="11" priority="6" operator="equal">
      <formula>"Medium"</formula>
    </cfRule>
  </conditionalFormatting>
  <conditionalFormatting sqref="G11:G14 G16:G18 G20:G23 G25:G32 G34:G37 G39:G41 G43:G46 G48:G110">
    <cfRule type="containsText" dxfId="12" priority="7" operator="containsText" text="Low">
      <formula>NOT(ISERROR(SEARCH(("Low"),(G11))))</formula>
    </cfRule>
  </conditionalFormatting>
  <conditionalFormatting sqref="L1:L110">
    <cfRule type="containsText" dxfId="13" priority="8" operator="containsText" text="Deferred">
      <formula>NOT(ISERROR(SEARCH(("Deferred"),(L1))))</formula>
    </cfRule>
  </conditionalFormatting>
  <conditionalFormatting sqref="L1:L110">
    <cfRule type="containsText" dxfId="14" priority="9" operator="containsText" text="Not Start">
      <formula>NOT(ISERROR(SEARCH(("Not Start"),(L1))))</formula>
    </cfRule>
  </conditionalFormatting>
  <conditionalFormatting sqref="L1:L110">
    <cfRule type="containsText" dxfId="15" priority="10" operator="containsText" text="Blocked">
      <formula>NOT(ISERROR(SEARCH(("Blocked"),(L1))))</formula>
    </cfRule>
  </conditionalFormatting>
  <conditionalFormatting sqref="L1:L110">
    <cfRule type="containsText" dxfId="6" priority="11" operator="containsText" text="FAIL">
      <formula>NOT(ISERROR(SEARCH(("FAIL"),(L1))))</formula>
    </cfRule>
  </conditionalFormatting>
  <conditionalFormatting sqref="L1:L110">
    <cfRule type="cellIs" dxfId="7" priority="12" operator="equal">
      <formula>"PASS"</formula>
    </cfRule>
  </conditionalFormatting>
  <conditionalFormatting sqref="L11:L14 L16:L18 L20:L23 L25:L32 L34:L37 L39:L41 L43:L46 L48:L110">
    <cfRule type="cellIs" dxfId="16" priority="13" operator="equal">
      <formula>"N/A"</formula>
    </cfRule>
  </conditionalFormatting>
  <conditionalFormatting sqref="L11:L14 L16:L18 L20:L23 L25:L32 L34:L37 L39:L41 L43:L46 L48:L110">
    <cfRule type="containsText" dxfId="17" priority="14" operator="containsText" text="N/A">
      <formula>NOT(ISERROR(SEARCH(("N/A"),(L11))))</formula>
    </cfRule>
  </conditionalFormatting>
  <conditionalFormatting sqref="L11:L14 L16:L18 L20:L23 L25:L32 L34:L37 L39:L41 L43:L46 L48:L110">
    <cfRule type="containsText" dxfId="18" priority="15" operator="containsText" text="In Progress">
      <formula>NOT(ISERROR(SEARCH(("In Progress"),(L11))))</formula>
    </cfRule>
  </conditionalFormatting>
  <conditionalFormatting sqref="M10 M15 M19 M24 M33 M38 M42 M47 M51 M59 M67 M74 M78 M82 M85 M88 M94 M101 M109">
    <cfRule type="expression" dxfId="6" priority="16" stopIfTrue="1">
      <formula>NOT(ISERROR(SEARCH("Negative",M10)))</formula>
    </cfRule>
  </conditionalFormatting>
  <conditionalFormatting sqref="M10 M15 M19 M24 M33 M38 M42 M47 M51 M59 M67 M74 M78 M82 M85 M88 M94 M101 M109">
    <cfRule type="expression" dxfId="7" priority="17" stopIfTrue="1">
      <formula>NOT(ISERROR(SEARCH("Positive",M10)))</formula>
    </cfRule>
  </conditionalFormatting>
  <conditionalFormatting sqref="L1:L987">
    <cfRule type="cellIs" dxfId="19" priority="18" operator="equal">
      <formula>"In Progress"</formula>
    </cfRule>
  </conditionalFormatting>
  <conditionalFormatting sqref="G10:M10 G15:M15 G19:M19 G24:M24 G33:M33 G38:M38 G42:M42 G47:M47 G51:M51 G59:M59 G67:M67 G74:M74 G78:M78 G82:M82 G85:M85 G88:M88 G94:M94 G101:M101 G109:M109">
    <cfRule type="expression" dxfId="6" priority="19" stopIfTrue="1">
      <formula>NOT(ISERROR(SEARCH("Negative",G10)))</formula>
    </cfRule>
  </conditionalFormatting>
  <conditionalFormatting sqref="G10:M10 G15:M15 G19:M19 G24:M24 G33:M33 G38:M38 G42:M42 G47:M47 G51:M51 G59:M59 G67:M67 G74:M74 G78:M78 G82:M82 G85:M85 G88:M88 G94:M94 G101:M101 G109:M109">
    <cfRule type="expression" dxfId="7" priority="20" stopIfTrue="1">
      <formula>NOT(ISERROR(SEARCH("Positive",G10)))</formula>
    </cfRule>
  </conditionalFormatting>
  <dataValidations>
    <dataValidation type="list" allowBlank="1" sqref="L11:L14 L16:L18 L20:L23 L25:L32 L34:L37 L39:L41 L43:L46 L48:L50 L52:L58 L60:L66 L68:L73 L75:L77 L79:L81 L83:L84 L86:L87 L89:L93 L95:L100 L102:L108 L110">
      <formula1>"PASS,FAIL,In Progress,Blocked,Not Start,N/A,Deferred"</formula1>
    </dataValidation>
    <dataValidation type="list" allowBlank="1" showErrorMessage="1" sqref="F11:F14 F16:F18 F20:F23 F25:F32 F34:F37 F39:F41 F43:F46 F48:F50 F52:F58 F60:F66 F68:F73 F75:F77 F79:F81 F83:F84 F86:F87 F89:F93 F95:F100 F102:F108 F110">
      <formula1>"Positive,Negative"</formula1>
    </dataValidation>
    <dataValidation type="list" allowBlank="1" showErrorMessage="1" sqref="I11:I14 I16:I18 I20:I23 I25:I32 I34:I37 I39:I41 I43:I46 I48:I50 I52:I58 I60:I66 I68:I73 I75:I77 I79:I81 I83:I84 I86:I87 I89:I93 I95:I100 I102:I108 I110">
      <formula1>"James,Garfield"</formula1>
    </dataValidation>
    <dataValidation type="list" allowBlank="1" showErrorMessage="1" sqref="G11:G14 G16:G18 G20:G23 G25:G32 G34:G37 G39:G41 G43:G46 G48:G50 G52:G58 G60:G66 G68:G73 G75:G77 G79:G81 G83:G84 G86:G87 G89:G93 G95:G100 G102:G108 G110">
      <formula1>"High,Medium,Low"</formula1>
    </dataValidation>
  </dataValidations>
  <hyperlinks>
    <hyperlink r:id="rId1" ref="M13"/>
    <hyperlink r:id="rId2" ref="M14"/>
    <hyperlink r:id="rId3" ref="M21"/>
    <hyperlink r:id="rId4" ref="M31"/>
    <hyperlink r:id="rId5" ref="M60"/>
    <hyperlink r:id="rId6" ref="M61"/>
    <hyperlink r:id="rId7" ref="M62"/>
    <hyperlink r:id="rId8" ref="M63"/>
    <hyperlink r:id="rId9" ref="M64"/>
    <hyperlink r:id="rId10" ref="M65"/>
    <hyperlink r:id="rId11" ref="M75"/>
    <hyperlink r:id="rId12" ref="M79"/>
    <hyperlink r:id="rId13" ref="M81"/>
    <hyperlink r:id="rId14" ref="M84"/>
    <hyperlink r:id="rId15" ref="E95"/>
    <hyperlink r:id="rId16" ref="M95"/>
    <hyperlink r:id="rId17" ref="E96"/>
    <hyperlink r:id="rId18" ref="E98"/>
    <hyperlink r:id="rId19" ref="E99"/>
    <hyperlink r:id="rId20" ref="E100"/>
    <hyperlink r:id="rId21" ref="M100"/>
  </hyperlinks>
  <printOptions/>
  <pageMargins bottom="0.75" footer="0.0" header="0.0" left="0.7" right="0.7" top="0.75"/>
  <pageSetup orientation="landscape"/>
  <drawing r:id="rId2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7.0"/>
    <col customWidth="1" min="2" max="2" width="66.13"/>
    <col customWidth="1" hidden="1" min="3" max="3" width="47.38"/>
    <col customWidth="1" min="4" max="4" width="55.0"/>
    <col customWidth="1" min="5" max="5" width="66.0"/>
    <col customWidth="1" min="6" max="6" width="9.88"/>
    <col customWidth="1" min="7" max="7" width="10.88"/>
    <col customWidth="1" min="8" max="11" width="30.13"/>
    <col customWidth="1" min="12" max="12" width="31.25"/>
    <col customWidth="1" min="13" max="13" width="30.13"/>
    <col customWidth="1" min="14" max="20" width="8.63"/>
  </cols>
  <sheetData>
    <row r="1" ht="12.75" customHeight="1">
      <c r="B1" s="7" t="str">
        <f>HYPERLINK("#Document!A1", "Refer to sheet Document")</f>
        <v>Refer to sheet Document</v>
      </c>
      <c r="C1" s="9"/>
      <c r="D1" s="9"/>
      <c r="E1" s="9"/>
      <c r="F1" s="12"/>
      <c r="G1" s="13"/>
      <c r="H1" s="13"/>
      <c r="I1" s="13"/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</row>
    <row r="2">
      <c r="A2" s="17"/>
      <c r="B2" s="9"/>
      <c r="C2" s="19"/>
      <c r="D2" s="9"/>
      <c r="E2" s="9"/>
      <c r="F2" s="12"/>
      <c r="G2" s="13"/>
      <c r="H2" s="13"/>
      <c r="I2" s="13"/>
      <c r="J2" s="13"/>
      <c r="K2" s="13"/>
      <c r="L2" s="13"/>
      <c r="M2" s="16"/>
      <c r="N2" s="13"/>
      <c r="O2" s="13"/>
      <c r="P2" s="13"/>
      <c r="Q2" s="13"/>
      <c r="R2" s="13"/>
      <c r="S2" s="13"/>
      <c r="T2" s="13"/>
    </row>
    <row r="3">
      <c r="A3" s="23" t="s">
        <v>17</v>
      </c>
      <c r="B3" s="23">
        <f>COUNTIF(A12:A154,"TC_*")</f>
        <v>37</v>
      </c>
      <c r="C3" s="27"/>
      <c r="D3" s="27"/>
      <c r="E3" s="27"/>
      <c r="F3" s="28"/>
      <c r="G3" s="30"/>
      <c r="H3" s="30"/>
      <c r="I3" s="30"/>
      <c r="J3" s="30"/>
      <c r="K3" s="30"/>
      <c r="L3" s="30"/>
      <c r="M3" s="32"/>
      <c r="N3" s="13"/>
      <c r="O3" s="13"/>
      <c r="P3" s="13"/>
      <c r="Q3" s="13"/>
      <c r="R3" s="13"/>
      <c r="S3" s="13"/>
      <c r="T3" s="13"/>
    </row>
    <row r="4" ht="26.25" customHeight="1">
      <c r="A4" s="35" t="s">
        <v>26</v>
      </c>
      <c r="B4" s="35" t="s">
        <v>27</v>
      </c>
      <c r="C4" s="40" t="s">
        <v>28</v>
      </c>
      <c r="D4" s="35" t="s">
        <v>30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35" t="s">
        <v>38</v>
      </c>
      <c r="K4" s="35" t="s">
        <v>39</v>
      </c>
      <c r="L4" s="35" t="s">
        <v>40</v>
      </c>
      <c r="M4" s="35" t="s">
        <v>25</v>
      </c>
      <c r="N4" s="13"/>
      <c r="O4" s="13"/>
      <c r="P4" s="13"/>
      <c r="Q4" s="13"/>
      <c r="R4" s="13"/>
      <c r="S4" s="13"/>
      <c r="T4" s="13"/>
    </row>
    <row r="5" ht="39.0" customHeight="1">
      <c r="A5" s="46"/>
      <c r="B5" s="46"/>
      <c r="C5" s="48"/>
      <c r="D5" s="46"/>
      <c r="E5" s="46"/>
      <c r="F5" s="46"/>
      <c r="G5" s="46"/>
      <c r="H5" s="46"/>
      <c r="I5" s="46"/>
      <c r="J5" s="46"/>
      <c r="K5" s="46"/>
      <c r="L5" s="46"/>
      <c r="M5" s="46"/>
      <c r="N5" s="49"/>
      <c r="O5" s="49"/>
      <c r="P5" s="49"/>
      <c r="Q5" s="49"/>
      <c r="R5" s="49"/>
      <c r="S5" s="49"/>
      <c r="T5" s="49"/>
    </row>
    <row r="6" ht="42.0" customHeight="1">
      <c r="A6" s="46"/>
      <c r="B6" s="46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51"/>
      <c r="O6" s="51"/>
      <c r="P6" s="51"/>
      <c r="Q6" s="51"/>
      <c r="R6" s="51"/>
      <c r="S6" s="51"/>
      <c r="T6" s="51"/>
    </row>
    <row r="7" ht="58.5" customHeight="1">
      <c r="A7" s="46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51"/>
      <c r="O7" s="51"/>
      <c r="P7" s="51"/>
      <c r="Q7" s="51"/>
      <c r="R7" s="51"/>
      <c r="S7" s="51"/>
      <c r="T7" s="51"/>
    </row>
    <row r="8" ht="45.0" customHeight="1">
      <c r="A8" s="46"/>
      <c r="B8" s="46"/>
      <c r="C8" s="48"/>
      <c r="D8" s="46"/>
      <c r="E8" s="46"/>
      <c r="F8" s="46"/>
      <c r="G8" s="46"/>
      <c r="H8" s="46"/>
      <c r="I8" s="46"/>
      <c r="J8" s="46"/>
      <c r="K8" s="46"/>
      <c r="L8" s="46"/>
      <c r="M8" s="46"/>
      <c r="N8" s="51"/>
      <c r="O8" s="51"/>
      <c r="P8" s="51"/>
      <c r="Q8" s="51"/>
      <c r="R8" s="51"/>
      <c r="S8" s="51"/>
      <c r="T8" s="51"/>
    </row>
    <row r="9" ht="84.0" customHeight="1">
      <c r="A9" s="38"/>
      <c r="B9" s="38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1"/>
      <c r="O9" s="51"/>
      <c r="P9" s="51"/>
      <c r="Q9" s="51"/>
      <c r="R9" s="51"/>
      <c r="S9" s="51"/>
      <c r="T9" s="51"/>
    </row>
    <row r="10" ht="42.0" customHeight="1">
      <c r="A10" s="55" t="s">
        <v>1173</v>
      </c>
      <c r="B10" s="10"/>
      <c r="C10" s="57"/>
      <c r="D10" s="58"/>
      <c r="E10" s="58"/>
      <c r="F10" s="58"/>
      <c r="G10" s="60"/>
      <c r="H10" s="60"/>
      <c r="I10" s="60"/>
      <c r="J10" s="60"/>
      <c r="K10" s="60"/>
      <c r="L10" s="60"/>
      <c r="M10" s="60"/>
      <c r="N10" s="49"/>
      <c r="O10" s="49"/>
      <c r="P10" s="49"/>
      <c r="Q10" s="49"/>
      <c r="R10" s="49"/>
      <c r="S10" s="49"/>
      <c r="T10" s="49"/>
    </row>
    <row r="11" ht="123.75" hidden="1" customHeight="1" outlineLevel="1">
      <c r="A11" s="70" t="str">
        <f t="shared" ref="A11:A15" si="1">"TC_Content_Mockup_"&amp;(ROW()-ROW($A$11)+1)</f>
        <v>TC_Content_Mockup_1</v>
      </c>
      <c r="B11" s="72" t="s">
        <v>1174</v>
      </c>
      <c r="C11" s="73"/>
      <c r="D11" s="72"/>
      <c r="E11" s="92" t="s">
        <v>1175</v>
      </c>
      <c r="F11" s="75" t="s">
        <v>56</v>
      </c>
      <c r="G11" s="76" t="s">
        <v>57</v>
      </c>
      <c r="H11" s="77"/>
      <c r="I11" s="77"/>
      <c r="J11" s="78"/>
      <c r="K11" s="80"/>
      <c r="L11" s="82" t="s">
        <v>12</v>
      </c>
      <c r="M11" s="84"/>
      <c r="N11" s="86"/>
      <c r="O11" s="86"/>
      <c r="P11" s="86"/>
      <c r="Q11" s="86"/>
      <c r="R11" s="86"/>
      <c r="S11" s="86"/>
      <c r="T11" s="86"/>
    </row>
    <row r="12" ht="123.75" hidden="1" customHeight="1" outlineLevel="1">
      <c r="A12" s="70" t="str">
        <f t="shared" si="1"/>
        <v>TC_Content_Mockup_2</v>
      </c>
      <c r="B12" s="72" t="s">
        <v>1176</v>
      </c>
      <c r="C12" s="73"/>
      <c r="D12" s="72"/>
      <c r="E12" s="92" t="s">
        <v>1177</v>
      </c>
      <c r="F12" s="75" t="s">
        <v>56</v>
      </c>
      <c r="G12" s="76" t="s">
        <v>57</v>
      </c>
      <c r="H12" s="77"/>
      <c r="I12" s="77"/>
      <c r="J12" s="78"/>
      <c r="K12" s="80"/>
      <c r="L12" s="82" t="s">
        <v>12</v>
      </c>
      <c r="M12" s="84"/>
      <c r="N12" s="86"/>
      <c r="O12" s="86"/>
      <c r="P12" s="86"/>
      <c r="Q12" s="86"/>
      <c r="R12" s="86"/>
      <c r="S12" s="86"/>
      <c r="T12" s="86"/>
    </row>
    <row r="13" ht="123.75" hidden="1" customHeight="1" outlineLevel="1">
      <c r="A13" s="70" t="str">
        <f t="shared" si="1"/>
        <v>TC_Content_Mockup_3</v>
      </c>
      <c r="B13" s="72" t="s">
        <v>1178</v>
      </c>
      <c r="C13" s="73"/>
      <c r="D13" s="72"/>
      <c r="E13" s="92" t="s">
        <v>1179</v>
      </c>
      <c r="F13" s="75" t="s">
        <v>56</v>
      </c>
      <c r="G13" s="76" t="s">
        <v>57</v>
      </c>
      <c r="H13" s="77"/>
      <c r="I13" s="77"/>
      <c r="J13" s="78"/>
      <c r="K13" s="80"/>
      <c r="L13" s="82" t="s">
        <v>12</v>
      </c>
      <c r="M13" s="84"/>
      <c r="N13" s="86"/>
      <c r="O13" s="86"/>
      <c r="P13" s="86"/>
      <c r="Q13" s="86"/>
      <c r="R13" s="86"/>
      <c r="S13" s="86"/>
      <c r="T13" s="86"/>
    </row>
    <row r="14" ht="123.75" hidden="1" customHeight="1" outlineLevel="1">
      <c r="A14" s="70" t="str">
        <f t="shared" si="1"/>
        <v>TC_Content_Mockup_4</v>
      </c>
      <c r="B14" s="72" t="s">
        <v>1180</v>
      </c>
      <c r="C14" s="73"/>
      <c r="D14" s="72"/>
      <c r="E14" s="92" t="s">
        <v>1181</v>
      </c>
      <c r="F14" s="75" t="s">
        <v>56</v>
      </c>
      <c r="G14" s="76" t="s">
        <v>57</v>
      </c>
      <c r="H14" s="77"/>
      <c r="I14" s="77"/>
      <c r="J14" s="78"/>
      <c r="K14" s="80"/>
      <c r="L14" s="82" t="s">
        <v>12</v>
      </c>
      <c r="M14" s="84"/>
      <c r="N14" s="86"/>
      <c r="O14" s="86"/>
      <c r="P14" s="86"/>
      <c r="Q14" s="86"/>
      <c r="R14" s="86"/>
      <c r="S14" s="86"/>
      <c r="T14" s="86"/>
    </row>
    <row r="15" ht="123.75" hidden="1" customHeight="1" outlineLevel="1">
      <c r="A15" s="70" t="str">
        <f t="shared" si="1"/>
        <v>TC_Content_Mockup_5</v>
      </c>
      <c r="B15" s="72" t="s">
        <v>1182</v>
      </c>
      <c r="C15" s="73"/>
      <c r="D15" s="72"/>
      <c r="E15" s="92" t="s">
        <v>1183</v>
      </c>
      <c r="F15" s="75" t="s">
        <v>56</v>
      </c>
      <c r="G15" s="76" t="s">
        <v>57</v>
      </c>
      <c r="H15" s="77"/>
      <c r="I15" s="77"/>
      <c r="J15" s="78"/>
      <c r="K15" s="80"/>
      <c r="L15" s="82" t="s">
        <v>12</v>
      </c>
      <c r="M15" s="84"/>
      <c r="N15" s="86"/>
      <c r="O15" s="86"/>
      <c r="P15" s="86"/>
      <c r="Q15" s="86"/>
      <c r="R15" s="86"/>
      <c r="S15" s="86"/>
      <c r="T15" s="86"/>
    </row>
    <row r="16" ht="42.0" customHeight="1" collapsed="1">
      <c r="A16" s="55" t="s">
        <v>1184</v>
      </c>
      <c r="B16" s="10"/>
      <c r="C16" s="57"/>
      <c r="D16" s="58"/>
      <c r="E16" s="58"/>
      <c r="F16" s="58"/>
      <c r="G16" s="60"/>
      <c r="H16" s="60"/>
      <c r="I16" s="60"/>
      <c r="J16" s="60"/>
      <c r="K16" s="60"/>
      <c r="L16" s="60"/>
      <c r="M16" s="60"/>
      <c r="N16" s="49"/>
      <c r="O16" s="49"/>
      <c r="P16" s="49"/>
      <c r="Q16" s="49"/>
      <c r="R16" s="49"/>
      <c r="S16" s="49"/>
      <c r="T16" s="49"/>
    </row>
    <row r="17" ht="123.75" hidden="1" customHeight="1" outlineLevel="1">
      <c r="A17" s="70" t="str">
        <f t="shared" ref="A17:A31" si="2">"TC_Content_Mockup_"&amp;(ROW()-ROW($A$11)+1-1)</f>
        <v>TC_Content_Mockup_6</v>
      </c>
      <c r="B17" s="72" t="s">
        <v>1185</v>
      </c>
      <c r="C17" s="73"/>
      <c r="D17" s="72"/>
      <c r="E17" s="92" t="s">
        <v>1186</v>
      </c>
      <c r="F17" s="75" t="s">
        <v>56</v>
      </c>
      <c r="G17" s="76" t="s">
        <v>57</v>
      </c>
      <c r="H17" s="77"/>
      <c r="I17" s="77"/>
      <c r="J17" s="78"/>
      <c r="K17" s="80"/>
      <c r="L17" s="82" t="s">
        <v>12</v>
      </c>
      <c r="M17" s="84"/>
      <c r="N17" s="86"/>
      <c r="O17" s="86"/>
      <c r="P17" s="86"/>
      <c r="Q17" s="86"/>
      <c r="R17" s="86"/>
      <c r="S17" s="86"/>
      <c r="T17" s="86"/>
    </row>
    <row r="18" ht="123.75" hidden="1" customHeight="1" outlineLevel="1">
      <c r="A18" s="70" t="str">
        <f t="shared" si="2"/>
        <v>TC_Content_Mockup_7</v>
      </c>
      <c r="B18" s="72" t="s">
        <v>1187</v>
      </c>
      <c r="C18" s="73"/>
      <c r="D18" s="72"/>
      <c r="E18" s="92" t="s">
        <v>1188</v>
      </c>
      <c r="F18" s="75" t="s">
        <v>56</v>
      </c>
      <c r="G18" s="76" t="s">
        <v>57</v>
      </c>
      <c r="H18" s="77"/>
      <c r="I18" s="77"/>
      <c r="J18" s="78"/>
      <c r="K18" s="80"/>
      <c r="L18" s="82" t="s">
        <v>12</v>
      </c>
      <c r="M18" s="84"/>
      <c r="N18" s="86"/>
      <c r="O18" s="86"/>
      <c r="P18" s="86"/>
      <c r="Q18" s="86"/>
      <c r="R18" s="86"/>
      <c r="S18" s="86"/>
      <c r="T18" s="86"/>
    </row>
    <row r="19" ht="123.75" hidden="1" customHeight="1" outlineLevel="1">
      <c r="A19" s="70" t="str">
        <f t="shared" si="2"/>
        <v>TC_Content_Mockup_8</v>
      </c>
      <c r="B19" s="72" t="s">
        <v>1189</v>
      </c>
      <c r="C19" s="73"/>
      <c r="D19" s="72"/>
      <c r="E19" s="92" t="s">
        <v>1190</v>
      </c>
      <c r="F19" s="75" t="s">
        <v>56</v>
      </c>
      <c r="G19" s="76" t="s">
        <v>57</v>
      </c>
      <c r="H19" s="77"/>
      <c r="I19" s="77"/>
      <c r="J19" s="78"/>
      <c r="K19" s="80"/>
      <c r="L19" s="82" t="s">
        <v>12</v>
      </c>
      <c r="M19" s="84"/>
      <c r="N19" s="86"/>
      <c r="O19" s="86"/>
      <c r="P19" s="86"/>
      <c r="Q19" s="86"/>
      <c r="R19" s="86"/>
      <c r="S19" s="86"/>
      <c r="T19" s="86"/>
    </row>
    <row r="20" ht="123.75" hidden="1" customHeight="1" outlineLevel="1">
      <c r="A20" s="70" t="str">
        <f t="shared" si="2"/>
        <v>TC_Content_Mockup_9</v>
      </c>
      <c r="B20" s="72" t="s">
        <v>1191</v>
      </c>
      <c r="C20" s="73"/>
      <c r="D20" s="72"/>
      <c r="E20" s="92" t="s">
        <v>1192</v>
      </c>
      <c r="F20" s="75" t="s">
        <v>56</v>
      </c>
      <c r="G20" s="76" t="s">
        <v>57</v>
      </c>
      <c r="H20" s="77"/>
      <c r="I20" s="77"/>
      <c r="J20" s="78"/>
      <c r="K20" s="80"/>
      <c r="L20" s="82" t="s">
        <v>12</v>
      </c>
      <c r="M20" s="84"/>
      <c r="N20" s="86"/>
      <c r="O20" s="86"/>
      <c r="P20" s="86"/>
      <c r="Q20" s="86"/>
      <c r="R20" s="86"/>
      <c r="S20" s="86"/>
      <c r="T20" s="86"/>
    </row>
    <row r="21" ht="123.75" hidden="1" customHeight="1" outlineLevel="1">
      <c r="A21" s="70" t="str">
        <f t="shared" si="2"/>
        <v>TC_Content_Mockup_10</v>
      </c>
      <c r="B21" s="72" t="s">
        <v>1193</v>
      </c>
      <c r="C21" s="73"/>
      <c r="D21" s="72"/>
      <c r="E21" s="92" t="s">
        <v>1194</v>
      </c>
      <c r="F21" s="75" t="s">
        <v>56</v>
      </c>
      <c r="G21" s="76" t="s">
        <v>57</v>
      </c>
      <c r="H21" s="77"/>
      <c r="I21" s="77"/>
      <c r="J21" s="78"/>
      <c r="K21" s="80"/>
      <c r="L21" s="82" t="s">
        <v>12</v>
      </c>
      <c r="M21" s="84"/>
      <c r="N21" s="86"/>
      <c r="O21" s="86"/>
      <c r="P21" s="86"/>
      <c r="Q21" s="86"/>
      <c r="R21" s="86"/>
      <c r="S21" s="86"/>
      <c r="T21" s="86"/>
    </row>
    <row r="22" ht="123.75" hidden="1" customHeight="1" outlineLevel="1">
      <c r="A22" s="70" t="str">
        <f t="shared" si="2"/>
        <v>TC_Content_Mockup_11</v>
      </c>
      <c r="B22" s="72" t="s">
        <v>1195</v>
      </c>
      <c r="C22" s="73"/>
      <c r="D22" s="72"/>
      <c r="E22" s="92" t="s">
        <v>1196</v>
      </c>
      <c r="F22" s="75" t="s">
        <v>56</v>
      </c>
      <c r="G22" s="76" t="s">
        <v>57</v>
      </c>
      <c r="H22" s="77"/>
      <c r="I22" s="77"/>
      <c r="J22" s="78"/>
      <c r="K22" s="80"/>
      <c r="L22" s="82" t="s">
        <v>12</v>
      </c>
      <c r="M22" s="84"/>
      <c r="N22" s="86"/>
      <c r="O22" s="86"/>
      <c r="P22" s="86"/>
      <c r="Q22" s="86"/>
      <c r="R22" s="86"/>
      <c r="S22" s="86"/>
      <c r="T22" s="86"/>
    </row>
    <row r="23" ht="123.75" hidden="1" customHeight="1" outlineLevel="1">
      <c r="A23" s="70" t="str">
        <f t="shared" si="2"/>
        <v>TC_Content_Mockup_12</v>
      </c>
      <c r="B23" s="72" t="s">
        <v>1197</v>
      </c>
      <c r="C23" s="73"/>
      <c r="D23" s="72"/>
      <c r="E23" s="92" t="s">
        <v>1198</v>
      </c>
      <c r="F23" s="75" t="s">
        <v>56</v>
      </c>
      <c r="G23" s="76" t="s">
        <v>57</v>
      </c>
      <c r="H23" s="77"/>
      <c r="I23" s="77"/>
      <c r="J23" s="78"/>
      <c r="K23" s="80"/>
      <c r="L23" s="82" t="s">
        <v>12</v>
      </c>
      <c r="M23" s="84"/>
      <c r="N23" s="86"/>
      <c r="O23" s="86"/>
      <c r="P23" s="86"/>
      <c r="Q23" s="86"/>
      <c r="R23" s="86"/>
      <c r="S23" s="86"/>
      <c r="T23" s="86"/>
    </row>
    <row r="24" ht="123.75" hidden="1" customHeight="1" outlineLevel="1">
      <c r="A24" s="70" t="str">
        <f t="shared" si="2"/>
        <v>TC_Content_Mockup_13</v>
      </c>
      <c r="B24" s="72" t="s">
        <v>1199</v>
      </c>
      <c r="C24" s="73"/>
      <c r="D24" s="72"/>
      <c r="E24" s="92" t="s">
        <v>1200</v>
      </c>
      <c r="F24" s="75" t="s">
        <v>56</v>
      </c>
      <c r="G24" s="76" t="s">
        <v>57</v>
      </c>
      <c r="H24" s="77"/>
      <c r="I24" s="77"/>
      <c r="J24" s="78"/>
      <c r="K24" s="80"/>
      <c r="L24" s="82" t="s">
        <v>12</v>
      </c>
      <c r="M24" s="84"/>
      <c r="N24" s="86"/>
      <c r="O24" s="86"/>
      <c r="P24" s="86"/>
      <c r="Q24" s="86"/>
      <c r="R24" s="86"/>
      <c r="S24" s="86"/>
      <c r="T24" s="86"/>
    </row>
    <row r="25" ht="123.75" hidden="1" customHeight="1" outlineLevel="1">
      <c r="A25" s="70" t="str">
        <f t="shared" si="2"/>
        <v>TC_Content_Mockup_14</v>
      </c>
      <c r="B25" s="72" t="s">
        <v>1201</v>
      </c>
      <c r="C25" s="73"/>
      <c r="D25" s="72"/>
      <c r="E25" s="92" t="s">
        <v>1202</v>
      </c>
      <c r="F25" s="75" t="s">
        <v>56</v>
      </c>
      <c r="G25" s="76" t="s">
        <v>57</v>
      </c>
      <c r="H25" s="77"/>
      <c r="I25" s="77"/>
      <c r="J25" s="78"/>
      <c r="K25" s="80"/>
      <c r="L25" s="82" t="s">
        <v>12</v>
      </c>
      <c r="M25" s="84"/>
      <c r="N25" s="86"/>
      <c r="O25" s="86"/>
      <c r="P25" s="86"/>
      <c r="Q25" s="86"/>
      <c r="R25" s="86"/>
      <c r="S25" s="86"/>
      <c r="T25" s="86"/>
    </row>
    <row r="26" ht="123.75" hidden="1" customHeight="1" outlineLevel="1">
      <c r="A26" s="70" t="str">
        <f t="shared" si="2"/>
        <v>TC_Content_Mockup_15</v>
      </c>
      <c r="B26" s="72" t="s">
        <v>1203</v>
      </c>
      <c r="C26" s="73"/>
      <c r="D26" s="72"/>
      <c r="E26" s="92" t="s">
        <v>1186</v>
      </c>
      <c r="F26" s="75" t="s">
        <v>56</v>
      </c>
      <c r="G26" s="76" t="s">
        <v>57</v>
      </c>
      <c r="H26" s="77"/>
      <c r="I26" s="77"/>
      <c r="J26" s="78"/>
      <c r="K26" s="80"/>
      <c r="L26" s="82" t="s">
        <v>12</v>
      </c>
      <c r="M26" s="84"/>
      <c r="N26" s="86"/>
      <c r="O26" s="86"/>
      <c r="P26" s="86"/>
      <c r="Q26" s="86"/>
      <c r="R26" s="86"/>
      <c r="S26" s="86"/>
      <c r="T26" s="86"/>
    </row>
    <row r="27" ht="123.75" hidden="1" customHeight="1" outlineLevel="1">
      <c r="A27" s="70" t="str">
        <f t="shared" si="2"/>
        <v>TC_Content_Mockup_16</v>
      </c>
      <c r="B27" s="72" t="s">
        <v>1204</v>
      </c>
      <c r="C27" s="73"/>
      <c r="D27" s="72"/>
      <c r="E27" s="92" t="s">
        <v>1205</v>
      </c>
      <c r="F27" s="75" t="s">
        <v>56</v>
      </c>
      <c r="G27" s="76" t="s">
        <v>57</v>
      </c>
      <c r="H27" s="77"/>
      <c r="I27" s="77"/>
      <c r="J27" s="78"/>
      <c r="K27" s="80"/>
      <c r="L27" s="82" t="s">
        <v>12</v>
      </c>
      <c r="M27" s="84"/>
      <c r="N27" s="86"/>
      <c r="O27" s="86"/>
      <c r="P27" s="86"/>
      <c r="Q27" s="86"/>
      <c r="R27" s="86"/>
      <c r="S27" s="86"/>
      <c r="T27" s="86"/>
    </row>
    <row r="28" ht="123.75" hidden="1" customHeight="1" outlineLevel="1">
      <c r="A28" s="70" t="str">
        <f t="shared" si="2"/>
        <v>TC_Content_Mockup_17</v>
      </c>
      <c r="B28" s="72" t="s">
        <v>1206</v>
      </c>
      <c r="C28" s="73"/>
      <c r="D28" s="72"/>
      <c r="E28" s="92" t="s">
        <v>1207</v>
      </c>
      <c r="F28" s="75" t="s">
        <v>56</v>
      </c>
      <c r="G28" s="76" t="s">
        <v>57</v>
      </c>
      <c r="H28" s="77"/>
      <c r="I28" s="77"/>
      <c r="J28" s="78"/>
      <c r="K28" s="80"/>
      <c r="L28" s="82" t="s">
        <v>12</v>
      </c>
      <c r="M28" s="84"/>
      <c r="N28" s="86"/>
      <c r="O28" s="86"/>
      <c r="P28" s="86"/>
      <c r="Q28" s="86"/>
      <c r="R28" s="86"/>
      <c r="S28" s="86"/>
      <c r="T28" s="86"/>
    </row>
    <row r="29" ht="123.75" hidden="1" customHeight="1" outlineLevel="1">
      <c r="A29" s="70" t="str">
        <f t="shared" si="2"/>
        <v>TC_Content_Mockup_18</v>
      </c>
      <c r="B29" s="72" t="s">
        <v>1208</v>
      </c>
      <c r="C29" s="73"/>
      <c r="D29" s="72"/>
      <c r="E29" s="92" t="s">
        <v>1209</v>
      </c>
      <c r="F29" s="75" t="s">
        <v>56</v>
      </c>
      <c r="G29" s="76" t="s">
        <v>57</v>
      </c>
      <c r="H29" s="77"/>
      <c r="I29" s="77"/>
      <c r="J29" s="78"/>
      <c r="K29" s="80"/>
      <c r="L29" s="82" t="s">
        <v>12</v>
      </c>
      <c r="M29" s="84"/>
      <c r="N29" s="86"/>
      <c r="O29" s="86"/>
      <c r="P29" s="86"/>
      <c r="Q29" s="86"/>
      <c r="R29" s="86"/>
      <c r="S29" s="86"/>
      <c r="T29" s="86"/>
    </row>
    <row r="30" ht="123.75" hidden="1" customHeight="1" outlineLevel="1">
      <c r="A30" s="70" t="str">
        <f t="shared" si="2"/>
        <v>TC_Content_Mockup_19</v>
      </c>
      <c r="B30" s="72" t="s">
        <v>1210</v>
      </c>
      <c r="C30" s="73"/>
      <c r="D30" s="72"/>
      <c r="E30" s="92" t="s">
        <v>1211</v>
      </c>
      <c r="F30" s="75" t="s">
        <v>56</v>
      </c>
      <c r="G30" s="76" t="s">
        <v>57</v>
      </c>
      <c r="H30" s="77"/>
      <c r="I30" s="77"/>
      <c r="J30" s="78"/>
      <c r="K30" s="80"/>
      <c r="L30" s="82" t="s">
        <v>12</v>
      </c>
      <c r="M30" s="84"/>
      <c r="N30" s="86"/>
      <c r="O30" s="86"/>
      <c r="P30" s="86"/>
      <c r="Q30" s="86"/>
      <c r="R30" s="86"/>
      <c r="S30" s="86"/>
      <c r="T30" s="86"/>
    </row>
    <row r="31" ht="123.75" hidden="1" customHeight="1" outlineLevel="1">
      <c r="A31" s="70" t="str">
        <f t="shared" si="2"/>
        <v>TC_Content_Mockup_20</v>
      </c>
      <c r="B31" s="72" t="s">
        <v>1212</v>
      </c>
      <c r="C31" s="73"/>
      <c r="D31" s="72"/>
      <c r="E31" s="92" t="s">
        <v>1213</v>
      </c>
      <c r="F31" s="75" t="s">
        <v>56</v>
      </c>
      <c r="G31" s="76" t="s">
        <v>57</v>
      </c>
      <c r="H31" s="77"/>
      <c r="I31" s="77"/>
      <c r="J31" s="78"/>
      <c r="K31" s="80"/>
      <c r="L31" s="82" t="s">
        <v>12</v>
      </c>
      <c r="M31" s="84"/>
      <c r="N31" s="86"/>
      <c r="O31" s="86"/>
      <c r="P31" s="86"/>
      <c r="Q31" s="86"/>
      <c r="R31" s="86"/>
      <c r="S31" s="86"/>
      <c r="T31" s="86"/>
    </row>
    <row r="32" ht="42.0" customHeight="1" collapsed="1">
      <c r="A32" s="55" t="s">
        <v>1214</v>
      </c>
      <c r="B32" s="10"/>
      <c r="C32" s="57"/>
      <c r="D32" s="58"/>
      <c r="E32" s="58"/>
      <c r="F32" s="58"/>
      <c r="G32" s="60"/>
      <c r="H32" s="60"/>
      <c r="I32" s="60"/>
      <c r="J32" s="60"/>
      <c r="K32" s="60"/>
      <c r="L32" s="60"/>
      <c r="M32" s="60"/>
      <c r="N32" s="49"/>
      <c r="O32" s="49"/>
      <c r="P32" s="49"/>
      <c r="Q32" s="49"/>
      <c r="R32" s="49"/>
      <c r="S32" s="49"/>
      <c r="T32" s="49"/>
    </row>
    <row r="33" ht="123.75" hidden="1" customHeight="1" outlineLevel="1">
      <c r="A33" s="70" t="str">
        <f t="shared" ref="A33:A41" si="3">"TC_Content_Mockup_"&amp;(ROW()-ROW($A$11)+1-2)</f>
        <v>TC_Content_Mockup_21</v>
      </c>
      <c r="B33" s="72" t="s">
        <v>1215</v>
      </c>
      <c r="C33" s="73"/>
      <c r="D33" s="72"/>
      <c r="E33" s="92" t="s">
        <v>1216</v>
      </c>
      <c r="F33" s="75" t="s">
        <v>56</v>
      </c>
      <c r="G33" s="76" t="s">
        <v>57</v>
      </c>
      <c r="H33" s="77"/>
      <c r="I33" s="77"/>
      <c r="J33" s="78"/>
      <c r="K33" s="80"/>
      <c r="L33" s="82" t="s">
        <v>12</v>
      </c>
      <c r="M33" s="84"/>
      <c r="N33" s="86"/>
      <c r="O33" s="86"/>
      <c r="P33" s="86"/>
      <c r="Q33" s="86"/>
      <c r="R33" s="86"/>
      <c r="S33" s="86"/>
      <c r="T33" s="86"/>
    </row>
    <row r="34" ht="123.75" hidden="1" customHeight="1" outlineLevel="1">
      <c r="A34" s="70" t="str">
        <f t="shared" si="3"/>
        <v>TC_Content_Mockup_22</v>
      </c>
      <c r="B34" s="72" t="s">
        <v>1217</v>
      </c>
      <c r="C34" s="73"/>
      <c r="D34" s="72"/>
      <c r="E34" s="92" t="s">
        <v>1218</v>
      </c>
      <c r="F34" s="75" t="s">
        <v>56</v>
      </c>
      <c r="G34" s="76" t="s">
        <v>57</v>
      </c>
      <c r="H34" s="77"/>
      <c r="I34" s="77"/>
      <c r="J34" s="78"/>
      <c r="K34" s="80"/>
      <c r="L34" s="82" t="s">
        <v>12</v>
      </c>
      <c r="M34" s="84"/>
      <c r="N34" s="86"/>
      <c r="O34" s="86"/>
      <c r="P34" s="86"/>
      <c r="Q34" s="86"/>
      <c r="R34" s="86"/>
      <c r="S34" s="86"/>
      <c r="T34" s="86"/>
    </row>
    <row r="35" ht="123.75" hidden="1" customHeight="1" outlineLevel="1">
      <c r="A35" s="70" t="str">
        <f t="shared" si="3"/>
        <v>TC_Content_Mockup_23</v>
      </c>
      <c r="B35" s="72" t="s">
        <v>1219</v>
      </c>
      <c r="C35" s="73"/>
      <c r="D35" s="72"/>
      <c r="E35" s="92" t="s">
        <v>1220</v>
      </c>
      <c r="F35" s="75" t="s">
        <v>56</v>
      </c>
      <c r="G35" s="76" t="s">
        <v>57</v>
      </c>
      <c r="H35" s="77"/>
      <c r="I35" s="77"/>
      <c r="J35" s="78"/>
      <c r="K35" s="80"/>
      <c r="L35" s="82" t="s">
        <v>12</v>
      </c>
      <c r="M35" s="84"/>
      <c r="N35" s="86"/>
      <c r="O35" s="86"/>
      <c r="P35" s="86"/>
      <c r="Q35" s="86"/>
      <c r="R35" s="86"/>
      <c r="S35" s="86"/>
      <c r="T35" s="86"/>
    </row>
    <row r="36" ht="123.75" hidden="1" customHeight="1" outlineLevel="1">
      <c r="A36" s="70" t="str">
        <f t="shared" si="3"/>
        <v>TC_Content_Mockup_24</v>
      </c>
      <c r="B36" s="72" t="s">
        <v>1221</v>
      </c>
      <c r="C36" s="73"/>
      <c r="D36" s="72"/>
      <c r="E36" s="92" t="s">
        <v>1222</v>
      </c>
      <c r="F36" s="75" t="s">
        <v>56</v>
      </c>
      <c r="G36" s="76" t="s">
        <v>57</v>
      </c>
      <c r="H36" s="77"/>
      <c r="I36" s="77"/>
      <c r="J36" s="78"/>
      <c r="K36" s="80"/>
      <c r="L36" s="82" t="s">
        <v>12</v>
      </c>
      <c r="M36" s="84"/>
      <c r="N36" s="86"/>
      <c r="O36" s="86"/>
      <c r="P36" s="86"/>
      <c r="Q36" s="86"/>
      <c r="R36" s="86"/>
      <c r="S36" s="86"/>
      <c r="T36" s="86"/>
    </row>
    <row r="37" ht="123.75" hidden="1" customHeight="1" outlineLevel="1">
      <c r="A37" s="70" t="str">
        <f t="shared" si="3"/>
        <v>TC_Content_Mockup_25</v>
      </c>
      <c r="B37" s="72" t="s">
        <v>1223</v>
      </c>
      <c r="C37" s="73"/>
      <c r="D37" s="72"/>
      <c r="E37" s="92" t="s">
        <v>1224</v>
      </c>
      <c r="F37" s="75" t="s">
        <v>56</v>
      </c>
      <c r="G37" s="76" t="s">
        <v>57</v>
      </c>
      <c r="H37" s="77"/>
      <c r="I37" s="77"/>
      <c r="J37" s="78"/>
      <c r="K37" s="80"/>
      <c r="L37" s="82" t="s">
        <v>12</v>
      </c>
      <c r="M37" s="84"/>
      <c r="N37" s="86"/>
      <c r="O37" s="86"/>
      <c r="P37" s="86"/>
      <c r="Q37" s="86"/>
      <c r="R37" s="86"/>
      <c r="S37" s="86"/>
      <c r="T37" s="86"/>
    </row>
    <row r="38" ht="123.75" hidden="1" customHeight="1" outlineLevel="1">
      <c r="A38" s="70" t="str">
        <f t="shared" si="3"/>
        <v>TC_Content_Mockup_26</v>
      </c>
      <c r="B38" s="72" t="s">
        <v>1225</v>
      </c>
      <c r="C38" s="73"/>
      <c r="D38" s="72"/>
      <c r="E38" s="92" t="s">
        <v>1226</v>
      </c>
      <c r="F38" s="75" t="s">
        <v>56</v>
      </c>
      <c r="G38" s="76" t="s">
        <v>57</v>
      </c>
      <c r="H38" s="77"/>
      <c r="I38" s="77"/>
      <c r="J38" s="78"/>
      <c r="K38" s="80"/>
      <c r="L38" s="82" t="s">
        <v>12</v>
      </c>
      <c r="M38" s="84"/>
      <c r="N38" s="86"/>
      <c r="O38" s="86"/>
      <c r="P38" s="86"/>
      <c r="Q38" s="86"/>
      <c r="R38" s="86"/>
      <c r="S38" s="86"/>
      <c r="T38" s="86"/>
    </row>
    <row r="39" ht="123.75" hidden="1" customHeight="1" outlineLevel="1">
      <c r="A39" s="70" t="str">
        <f t="shared" si="3"/>
        <v>TC_Content_Mockup_27</v>
      </c>
      <c r="B39" s="72" t="s">
        <v>1227</v>
      </c>
      <c r="C39" s="73"/>
      <c r="D39" s="72"/>
      <c r="E39" s="92" t="s">
        <v>1228</v>
      </c>
      <c r="F39" s="75" t="s">
        <v>56</v>
      </c>
      <c r="G39" s="76" t="s">
        <v>57</v>
      </c>
      <c r="H39" s="77"/>
      <c r="I39" s="77"/>
      <c r="J39" s="78"/>
      <c r="K39" s="80"/>
      <c r="L39" s="82" t="s">
        <v>12</v>
      </c>
      <c r="M39" s="84"/>
      <c r="N39" s="86"/>
      <c r="O39" s="86"/>
      <c r="P39" s="86"/>
      <c r="Q39" s="86"/>
      <c r="R39" s="86"/>
      <c r="S39" s="86"/>
      <c r="T39" s="86"/>
    </row>
    <row r="40" ht="123.75" hidden="1" customHeight="1" outlineLevel="1">
      <c r="A40" s="70" t="str">
        <f t="shared" si="3"/>
        <v>TC_Content_Mockup_28</v>
      </c>
      <c r="B40" s="72" t="s">
        <v>1230</v>
      </c>
      <c r="C40" s="73"/>
      <c r="D40" s="72"/>
      <c r="E40" s="92" t="s">
        <v>1231</v>
      </c>
      <c r="F40" s="75" t="s">
        <v>56</v>
      </c>
      <c r="G40" s="76" t="s">
        <v>57</v>
      </c>
      <c r="H40" s="77"/>
      <c r="I40" s="77"/>
      <c r="J40" s="78"/>
      <c r="K40" s="80"/>
      <c r="L40" s="82" t="s">
        <v>12</v>
      </c>
      <c r="M40" s="84"/>
      <c r="N40" s="86"/>
      <c r="O40" s="86"/>
      <c r="P40" s="86"/>
      <c r="Q40" s="86"/>
      <c r="R40" s="86"/>
      <c r="S40" s="86"/>
      <c r="T40" s="86"/>
    </row>
    <row r="41" ht="123.75" hidden="1" customHeight="1" outlineLevel="1">
      <c r="A41" s="70" t="str">
        <f t="shared" si="3"/>
        <v>TC_Content_Mockup_29</v>
      </c>
      <c r="B41" s="72" t="s">
        <v>1232</v>
      </c>
      <c r="C41" s="73"/>
      <c r="D41" s="72"/>
      <c r="E41" s="92" t="s">
        <v>1233</v>
      </c>
      <c r="F41" s="75" t="s">
        <v>56</v>
      </c>
      <c r="G41" s="76" t="s">
        <v>57</v>
      </c>
      <c r="H41" s="77"/>
      <c r="I41" s="77"/>
      <c r="J41" s="78"/>
      <c r="K41" s="80"/>
      <c r="L41" s="82" t="s">
        <v>12</v>
      </c>
      <c r="M41" s="84"/>
      <c r="N41" s="86"/>
      <c r="O41" s="86"/>
      <c r="P41" s="86"/>
      <c r="Q41" s="86"/>
      <c r="R41" s="86"/>
      <c r="S41" s="86"/>
      <c r="T41" s="86"/>
    </row>
    <row r="42" ht="42.0" customHeight="1" collapsed="1">
      <c r="A42" s="55" t="s">
        <v>1234</v>
      </c>
      <c r="B42" s="10"/>
      <c r="C42" s="57"/>
      <c r="D42" s="58"/>
      <c r="E42" s="58"/>
      <c r="F42" s="58"/>
      <c r="G42" s="60"/>
      <c r="H42" s="60"/>
      <c r="I42" s="60"/>
      <c r="J42" s="60"/>
      <c r="K42" s="60"/>
      <c r="L42" s="60"/>
      <c r="M42" s="60"/>
      <c r="N42" s="49"/>
      <c r="O42" s="49"/>
      <c r="P42" s="49"/>
      <c r="Q42" s="49"/>
      <c r="R42" s="49"/>
      <c r="S42" s="49"/>
      <c r="T42" s="49"/>
    </row>
    <row r="43" ht="123.75" hidden="1" customHeight="1" outlineLevel="1">
      <c r="A43" s="70" t="str">
        <f>"TC_Content_Mockup_"&amp;(ROW()-ROW($A$11)+1-3)</f>
        <v>TC_Content_Mockup_30</v>
      </c>
      <c r="B43" s="72" t="s">
        <v>1236</v>
      </c>
      <c r="C43" s="73"/>
      <c r="D43" s="72"/>
      <c r="E43" s="92" t="s">
        <v>1238</v>
      </c>
      <c r="F43" s="75" t="s">
        <v>56</v>
      </c>
      <c r="G43" s="76" t="s">
        <v>57</v>
      </c>
      <c r="H43" s="77"/>
      <c r="I43" s="77"/>
      <c r="J43" s="78"/>
      <c r="K43" s="80"/>
      <c r="L43" s="82" t="s">
        <v>12</v>
      </c>
      <c r="M43" s="84"/>
      <c r="N43" s="86"/>
      <c r="O43" s="86"/>
      <c r="P43" s="86"/>
      <c r="Q43" s="86"/>
      <c r="R43" s="86"/>
      <c r="S43" s="86"/>
      <c r="T43" s="86"/>
    </row>
    <row r="44" ht="42.0" customHeight="1" collapsed="1">
      <c r="A44" s="55" t="s">
        <v>1239</v>
      </c>
      <c r="B44" s="10"/>
      <c r="C44" s="57"/>
      <c r="D44" s="58"/>
      <c r="E44" s="58"/>
      <c r="F44" s="58"/>
      <c r="G44" s="60"/>
      <c r="H44" s="60"/>
      <c r="I44" s="60"/>
      <c r="J44" s="60"/>
      <c r="K44" s="60"/>
      <c r="L44" s="60"/>
      <c r="M44" s="60"/>
      <c r="N44" s="49"/>
      <c r="O44" s="49"/>
      <c r="P44" s="49"/>
      <c r="Q44" s="49"/>
      <c r="R44" s="49"/>
      <c r="S44" s="49"/>
      <c r="T44" s="49"/>
    </row>
    <row r="45" ht="123.75" hidden="1" customHeight="1" outlineLevel="1">
      <c r="A45" s="70" t="str">
        <f t="shared" ref="A45:A48" si="4">"TC_Content_Mockup_"&amp;(ROW()-ROW($A$11)+1-4)</f>
        <v>TC_Content_Mockup_31</v>
      </c>
      <c r="B45" s="72" t="s">
        <v>1242</v>
      </c>
      <c r="C45" s="73"/>
      <c r="D45" s="72"/>
      <c r="E45" s="92" t="s">
        <v>1243</v>
      </c>
      <c r="F45" s="75" t="s">
        <v>56</v>
      </c>
      <c r="G45" s="76" t="s">
        <v>57</v>
      </c>
      <c r="H45" s="77"/>
      <c r="I45" s="77"/>
      <c r="J45" s="78"/>
      <c r="K45" s="80"/>
      <c r="L45" s="82" t="s">
        <v>12</v>
      </c>
      <c r="M45" s="84"/>
      <c r="N45" s="86"/>
      <c r="O45" s="86"/>
      <c r="P45" s="86"/>
      <c r="Q45" s="86"/>
      <c r="R45" s="86"/>
      <c r="S45" s="86"/>
      <c r="T45" s="86"/>
    </row>
    <row r="46" ht="123.75" hidden="1" customHeight="1" outlineLevel="1">
      <c r="A46" s="70" t="str">
        <f t="shared" si="4"/>
        <v>TC_Content_Mockup_32</v>
      </c>
      <c r="B46" s="72" t="s">
        <v>1245</v>
      </c>
      <c r="C46" s="73"/>
      <c r="D46" s="72"/>
      <c r="E46" s="92" t="s">
        <v>1243</v>
      </c>
      <c r="F46" s="75" t="s">
        <v>56</v>
      </c>
      <c r="G46" s="76" t="s">
        <v>57</v>
      </c>
      <c r="H46" s="77"/>
      <c r="I46" s="77"/>
      <c r="J46" s="78"/>
      <c r="K46" s="80"/>
      <c r="L46" s="82" t="s">
        <v>12</v>
      </c>
      <c r="M46" s="84"/>
      <c r="N46" s="86"/>
      <c r="O46" s="86"/>
      <c r="P46" s="86"/>
      <c r="Q46" s="86"/>
      <c r="R46" s="86"/>
      <c r="S46" s="86"/>
      <c r="T46" s="86"/>
    </row>
    <row r="47" ht="123.75" hidden="1" customHeight="1" outlineLevel="1">
      <c r="A47" s="70" t="str">
        <f t="shared" si="4"/>
        <v>TC_Content_Mockup_33</v>
      </c>
      <c r="B47" s="72" t="s">
        <v>1247</v>
      </c>
      <c r="C47" s="73"/>
      <c r="D47" s="72"/>
      <c r="E47" s="92" t="s">
        <v>1248</v>
      </c>
      <c r="F47" s="75" t="s">
        <v>56</v>
      </c>
      <c r="G47" s="76" t="s">
        <v>57</v>
      </c>
      <c r="H47" s="77"/>
      <c r="I47" s="77"/>
      <c r="J47" s="78"/>
      <c r="K47" s="80"/>
      <c r="L47" s="82" t="s">
        <v>12</v>
      </c>
      <c r="M47" s="84"/>
      <c r="N47" s="86"/>
      <c r="O47" s="86"/>
      <c r="P47" s="86"/>
      <c r="Q47" s="86"/>
      <c r="R47" s="86"/>
      <c r="S47" s="86"/>
      <c r="T47" s="86"/>
    </row>
    <row r="48" ht="123.75" hidden="1" customHeight="1" outlineLevel="1">
      <c r="A48" s="70" t="str">
        <f t="shared" si="4"/>
        <v>TC_Content_Mockup_34</v>
      </c>
      <c r="B48" s="72" t="s">
        <v>1250</v>
      </c>
      <c r="C48" s="73"/>
      <c r="D48" s="72"/>
      <c r="E48" s="92" t="s">
        <v>1248</v>
      </c>
      <c r="F48" s="75" t="s">
        <v>56</v>
      </c>
      <c r="G48" s="76" t="s">
        <v>57</v>
      </c>
      <c r="H48" s="77"/>
      <c r="I48" s="77"/>
      <c r="J48" s="78"/>
      <c r="K48" s="80"/>
      <c r="L48" s="82" t="s">
        <v>12</v>
      </c>
      <c r="M48" s="84"/>
      <c r="N48" s="86"/>
      <c r="O48" s="86"/>
      <c r="P48" s="86"/>
      <c r="Q48" s="86"/>
      <c r="R48" s="86"/>
      <c r="S48" s="86"/>
      <c r="T48" s="86"/>
    </row>
    <row r="49" ht="42.0" customHeight="1" collapsed="1">
      <c r="A49" s="55" t="s">
        <v>1252</v>
      </c>
      <c r="B49" s="10"/>
      <c r="C49" s="57"/>
      <c r="D49" s="58"/>
      <c r="E49" s="58"/>
      <c r="F49" s="58"/>
      <c r="G49" s="60"/>
      <c r="H49" s="60"/>
      <c r="I49" s="60"/>
      <c r="J49" s="60"/>
      <c r="K49" s="60"/>
      <c r="L49" s="60"/>
      <c r="M49" s="60"/>
      <c r="N49" s="49"/>
      <c r="O49" s="49"/>
      <c r="P49" s="49"/>
      <c r="Q49" s="49"/>
      <c r="R49" s="49"/>
      <c r="S49" s="49"/>
      <c r="T49" s="49"/>
    </row>
    <row r="50" ht="123.75" hidden="1" customHeight="1" outlineLevel="1">
      <c r="A50" s="70" t="str">
        <f t="shared" ref="A50:A53" si="5">"TC_Content_Mockup_"&amp;(ROW()-ROW($A$11)+1-5)</f>
        <v>TC_Content_Mockup_35</v>
      </c>
      <c r="B50" s="72" t="s">
        <v>1253</v>
      </c>
      <c r="C50" s="73"/>
      <c r="D50" s="72"/>
      <c r="E50" s="92" t="s">
        <v>1243</v>
      </c>
      <c r="F50" s="75" t="s">
        <v>56</v>
      </c>
      <c r="G50" s="76" t="s">
        <v>57</v>
      </c>
      <c r="H50" s="77"/>
      <c r="I50" s="77"/>
      <c r="J50" s="78"/>
      <c r="K50" s="80"/>
      <c r="L50" s="82" t="s">
        <v>12</v>
      </c>
      <c r="M50" s="84"/>
      <c r="N50" s="86"/>
      <c r="O50" s="86"/>
      <c r="P50" s="86"/>
      <c r="Q50" s="86"/>
      <c r="R50" s="86"/>
      <c r="S50" s="86"/>
      <c r="T50" s="86"/>
    </row>
    <row r="51" ht="123.75" hidden="1" customHeight="1" outlineLevel="1">
      <c r="A51" s="70" t="str">
        <f t="shared" si="5"/>
        <v>TC_Content_Mockup_36</v>
      </c>
      <c r="B51" s="72" t="s">
        <v>1254</v>
      </c>
      <c r="C51" s="73"/>
      <c r="D51" s="72"/>
      <c r="E51" s="92" t="s">
        <v>1243</v>
      </c>
      <c r="F51" s="75" t="s">
        <v>56</v>
      </c>
      <c r="G51" s="76" t="s">
        <v>57</v>
      </c>
      <c r="H51" s="77"/>
      <c r="I51" s="77"/>
      <c r="J51" s="78"/>
      <c r="K51" s="80"/>
      <c r="L51" s="82" t="s">
        <v>12</v>
      </c>
      <c r="M51" s="84"/>
      <c r="N51" s="86"/>
      <c r="O51" s="86"/>
      <c r="P51" s="86"/>
      <c r="Q51" s="86"/>
      <c r="R51" s="86"/>
      <c r="S51" s="86"/>
      <c r="T51" s="86"/>
    </row>
    <row r="52" ht="123.75" hidden="1" customHeight="1" outlineLevel="1">
      <c r="A52" s="70" t="str">
        <f t="shared" si="5"/>
        <v>TC_Content_Mockup_37</v>
      </c>
      <c r="B52" s="72" t="s">
        <v>1255</v>
      </c>
      <c r="C52" s="73"/>
      <c r="D52" s="72"/>
      <c r="E52" s="92" t="s">
        <v>1248</v>
      </c>
      <c r="F52" s="75" t="s">
        <v>56</v>
      </c>
      <c r="G52" s="76" t="s">
        <v>57</v>
      </c>
      <c r="H52" s="77"/>
      <c r="I52" s="77"/>
      <c r="J52" s="78"/>
      <c r="K52" s="80"/>
      <c r="L52" s="82" t="s">
        <v>12</v>
      </c>
      <c r="M52" s="84"/>
      <c r="N52" s="86"/>
      <c r="O52" s="86"/>
      <c r="P52" s="86"/>
      <c r="Q52" s="86"/>
      <c r="R52" s="86"/>
      <c r="S52" s="86"/>
      <c r="T52" s="86"/>
    </row>
    <row r="53" ht="123.75" hidden="1" customHeight="1" outlineLevel="1">
      <c r="A53" s="70" t="str">
        <f t="shared" si="5"/>
        <v>TC_Content_Mockup_38</v>
      </c>
      <c r="B53" s="72" t="s">
        <v>1256</v>
      </c>
      <c r="C53" s="73"/>
      <c r="D53" s="72"/>
      <c r="E53" s="92" t="s">
        <v>1248</v>
      </c>
      <c r="F53" s="75" t="s">
        <v>56</v>
      </c>
      <c r="G53" s="76" t="s">
        <v>57</v>
      </c>
      <c r="H53" s="77"/>
      <c r="I53" s="77"/>
      <c r="J53" s="78"/>
      <c r="K53" s="80"/>
      <c r="L53" s="82" t="s">
        <v>12</v>
      </c>
      <c r="M53" s="84"/>
      <c r="N53" s="86"/>
      <c r="O53" s="86"/>
      <c r="P53" s="86"/>
      <c r="Q53" s="86"/>
      <c r="R53" s="86"/>
      <c r="S53" s="86"/>
      <c r="T53" s="86"/>
    </row>
    <row r="54" ht="15.75" customHeight="1" collapsed="1">
      <c r="A54" s="162"/>
      <c r="B54" s="162"/>
      <c r="C54" s="162"/>
      <c r="D54" s="162"/>
      <c r="I54" s="117"/>
      <c r="K54" s="117"/>
      <c r="L54" s="118"/>
    </row>
    <row r="55" ht="15.75" customHeight="1">
      <c r="A55" s="162"/>
      <c r="B55" s="162"/>
      <c r="C55" s="162"/>
      <c r="D55" s="162"/>
      <c r="I55" s="117"/>
      <c r="K55" s="117"/>
      <c r="L55" s="118"/>
    </row>
    <row r="56" ht="15.75" customHeight="1">
      <c r="A56" s="162"/>
      <c r="B56" s="162"/>
      <c r="C56" s="162"/>
      <c r="D56" s="162"/>
      <c r="I56" s="117"/>
      <c r="K56" s="117"/>
      <c r="L56" s="118"/>
    </row>
    <row r="57" ht="15.75" customHeight="1">
      <c r="A57" s="162"/>
      <c r="B57" s="162"/>
      <c r="C57" s="162"/>
      <c r="D57" s="162"/>
      <c r="I57" s="117"/>
      <c r="K57" s="117"/>
      <c r="L57" s="118"/>
    </row>
    <row r="58" ht="15.75" customHeight="1">
      <c r="A58" s="162"/>
      <c r="B58" s="162"/>
      <c r="C58" s="162"/>
      <c r="D58" s="162"/>
      <c r="I58" s="117"/>
      <c r="K58" s="117"/>
      <c r="L58" s="118"/>
    </row>
    <row r="59" ht="15.75" customHeight="1">
      <c r="A59" s="162"/>
      <c r="B59" s="162"/>
      <c r="C59" s="162"/>
      <c r="D59" s="162"/>
      <c r="I59" s="117"/>
      <c r="K59" s="117"/>
      <c r="L59" s="118"/>
    </row>
    <row r="60" ht="15.75" customHeight="1">
      <c r="A60" s="162"/>
      <c r="B60" s="162"/>
      <c r="C60" s="162"/>
      <c r="D60" s="162"/>
      <c r="I60" s="117"/>
      <c r="K60" s="117"/>
      <c r="L60" s="118"/>
    </row>
    <row r="61" ht="15.75" customHeight="1">
      <c r="A61" s="162"/>
      <c r="B61" s="162"/>
      <c r="C61" s="162"/>
      <c r="D61" s="162"/>
      <c r="I61" s="117"/>
      <c r="K61" s="117"/>
      <c r="L61" s="118"/>
    </row>
    <row r="62" ht="15.75" customHeight="1">
      <c r="A62" s="162"/>
      <c r="B62" s="162"/>
      <c r="C62" s="162"/>
      <c r="D62" s="162"/>
      <c r="I62" s="117"/>
      <c r="K62" s="117"/>
      <c r="L62" s="118"/>
    </row>
    <row r="63" ht="15.75" customHeight="1">
      <c r="A63" s="162"/>
      <c r="B63" s="162"/>
      <c r="C63" s="162"/>
      <c r="D63" s="162"/>
      <c r="I63" s="117"/>
      <c r="K63" s="117"/>
      <c r="L63" s="118"/>
    </row>
    <row r="64" ht="15.75" customHeight="1">
      <c r="A64" s="162"/>
      <c r="B64" s="162"/>
      <c r="C64" s="162"/>
      <c r="D64" s="162"/>
      <c r="I64" s="117"/>
      <c r="K64" s="117"/>
      <c r="L64" s="118"/>
    </row>
    <row r="65" ht="15.75" customHeight="1">
      <c r="A65" s="162"/>
      <c r="B65" s="162"/>
      <c r="C65" s="162"/>
      <c r="D65" s="162"/>
      <c r="I65" s="117"/>
      <c r="K65" s="117"/>
      <c r="L65" s="118"/>
    </row>
    <row r="66" ht="15.75" customHeight="1">
      <c r="A66" s="162"/>
      <c r="B66" s="162"/>
      <c r="C66" s="162"/>
      <c r="D66" s="162"/>
      <c r="I66" s="117"/>
      <c r="K66" s="117"/>
      <c r="L66" s="118"/>
    </row>
    <row r="67" ht="15.75" customHeight="1">
      <c r="A67" s="162"/>
      <c r="B67" s="162"/>
      <c r="C67" s="162"/>
      <c r="D67" s="162"/>
      <c r="I67" s="117"/>
      <c r="K67" s="117"/>
      <c r="L67" s="118"/>
    </row>
    <row r="68" ht="15.75" customHeight="1">
      <c r="A68" s="162"/>
      <c r="B68" s="162"/>
      <c r="C68" s="162"/>
      <c r="D68" s="162"/>
      <c r="I68" s="117"/>
      <c r="K68" s="117"/>
      <c r="L68" s="118"/>
    </row>
    <row r="69" ht="15.75" customHeight="1">
      <c r="A69" s="162"/>
      <c r="B69" s="162"/>
      <c r="C69" s="162"/>
      <c r="D69" s="162"/>
      <c r="I69" s="117"/>
      <c r="K69" s="117"/>
      <c r="L69" s="118"/>
    </row>
    <row r="70" ht="15.75" customHeight="1">
      <c r="A70" s="162"/>
      <c r="B70" s="162"/>
      <c r="C70" s="162"/>
      <c r="D70" s="162"/>
      <c r="I70" s="117"/>
      <c r="K70" s="117"/>
      <c r="L70" s="118"/>
    </row>
    <row r="71" ht="15.75" customHeight="1">
      <c r="A71" s="162"/>
      <c r="B71" s="162"/>
      <c r="C71" s="162"/>
      <c r="D71" s="162"/>
      <c r="I71" s="117"/>
      <c r="K71" s="117"/>
      <c r="L71" s="118"/>
    </row>
    <row r="72" ht="15.75" customHeight="1">
      <c r="A72" s="162"/>
      <c r="B72" s="162"/>
      <c r="C72" s="162"/>
      <c r="D72" s="162"/>
      <c r="I72" s="117"/>
      <c r="K72" s="117"/>
      <c r="L72" s="118"/>
    </row>
    <row r="73" ht="15.75" customHeight="1">
      <c r="A73" s="162"/>
      <c r="B73" s="162"/>
      <c r="C73" s="162"/>
      <c r="D73" s="162"/>
      <c r="I73" s="117"/>
      <c r="K73" s="117"/>
      <c r="L73" s="118"/>
    </row>
    <row r="74" ht="15.75" customHeight="1">
      <c r="A74" s="162"/>
      <c r="B74" s="162"/>
      <c r="C74" s="162"/>
      <c r="D74" s="162"/>
      <c r="I74" s="117"/>
      <c r="K74" s="117"/>
      <c r="L74" s="118"/>
    </row>
    <row r="75" ht="15.75" customHeight="1">
      <c r="A75" s="162"/>
      <c r="B75" s="162"/>
      <c r="C75" s="162"/>
      <c r="D75" s="162"/>
      <c r="I75" s="117"/>
      <c r="K75" s="117"/>
      <c r="L75" s="118"/>
    </row>
    <row r="76" ht="15.75" customHeight="1">
      <c r="A76" s="162"/>
      <c r="B76" s="162"/>
      <c r="C76" s="162"/>
      <c r="D76" s="162"/>
      <c r="I76" s="117"/>
      <c r="K76" s="117"/>
      <c r="L76" s="118"/>
    </row>
    <row r="77" ht="15.75" customHeight="1">
      <c r="A77" s="162"/>
      <c r="B77" s="162"/>
      <c r="C77" s="162"/>
      <c r="D77" s="162"/>
      <c r="I77" s="117"/>
      <c r="K77" s="117"/>
      <c r="L77" s="118"/>
    </row>
    <row r="78" ht="15.75" customHeight="1">
      <c r="A78" s="162"/>
      <c r="B78" s="162"/>
      <c r="C78" s="162"/>
      <c r="D78" s="162"/>
      <c r="I78" s="117"/>
      <c r="K78" s="117"/>
      <c r="L78" s="118"/>
    </row>
    <row r="79" ht="15.75" customHeight="1">
      <c r="A79" s="162"/>
      <c r="B79" s="162"/>
      <c r="C79" s="162"/>
      <c r="D79" s="162"/>
      <c r="I79" s="117"/>
      <c r="K79" s="117"/>
      <c r="L79" s="118"/>
    </row>
    <row r="80" ht="15.75" customHeight="1">
      <c r="A80" s="162"/>
      <c r="B80" s="162"/>
      <c r="C80" s="162"/>
      <c r="D80" s="162"/>
      <c r="I80" s="117"/>
      <c r="K80" s="117"/>
      <c r="L80" s="118"/>
    </row>
    <row r="81" ht="15.75" customHeight="1">
      <c r="A81" s="162"/>
      <c r="B81" s="162"/>
      <c r="C81" s="162"/>
      <c r="D81" s="162"/>
      <c r="I81" s="117"/>
      <c r="K81" s="117"/>
      <c r="L81" s="118"/>
    </row>
    <row r="82" ht="15.75" customHeight="1">
      <c r="A82" s="162"/>
      <c r="B82" s="162"/>
      <c r="C82" s="162"/>
      <c r="D82" s="162"/>
      <c r="I82" s="117"/>
      <c r="K82" s="117"/>
      <c r="L82" s="118"/>
    </row>
    <row r="83" ht="15.75" customHeight="1">
      <c r="A83" s="162"/>
      <c r="B83" s="162"/>
      <c r="C83" s="162"/>
      <c r="D83" s="162"/>
      <c r="I83" s="117"/>
      <c r="K83" s="117"/>
      <c r="L83" s="118"/>
    </row>
    <row r="84" ht="15.75" customHeight="1">
      <c r="A84" s="162"/>
      <c r="B84" s="162"/>
      <c r="C84" s="162"/>
      <c r="D84" s="162"/>
      <c r="I84" s="117"/>
      <c r="K84" s="117"/>
      <c r="L84" s="118"/>
    </row>
    <row r="85" ht="15.75" customHeight="1">
      <c r="A85" s="162"/>
      <c r="B85" s="162"/>
      <c r="C85" s="162"/>
      <c r="D85" s="162"/>
      <c r="I85" s="117"/>
      <c r="K85" s="117"/>
      <c r="L85" s="118"/>
    </row>
    <row r="86" ht="15.75" customHeight="1">
      <c r="A86" s="162"/>
      <c r="B86" s="162"/>
      <c r="C86" s="162"/>
      <c r="D86" s="162"/>
      <c r="I86" s="117"/>
      <c r="K86" s="117"/>
      <c r="L86" s="118"/>
    </row>
    <row r="87" ht="15.75" customHeight="1">
      <c r="A87" s="162"/>
      <c r="B87" s="162"/>
      <c r="C87" s="162"/>
      <c r="D87" s="162"/>
      <c r="I87" s="117"/>
      <c r="K87" s="117"/>
      <c r="L87" s="118"/>
    </row>
    <row r="88" ht="15.75" customHeight="1">
      <c r="A88" s="162"/>
      <c r="B88" s="162"/>
      <c r="C88" s="162"/>
      <c r="D88" s="162"/>
      <c r="I88" s="117"/>
      <c r="K88" s="117"/>
      <c r="L88" s="118"/>
    </row>
    <row r="89" ht="15.75" customHeight="1">
      <c r="A89" s="162"/>
      <c r="B89" s="162"/>
      <c r="C89" s="162"/>
      <c r="D89" s="162"/>
      <c r="I89" s="117"/>
      <c r="K89" s="117"/>
      <c r="L89" s="118"/>
    </row>
    <row r="90" ht="15.75" customHeight="1">
      <c r="A90" s="162"/>
      <c r="B90" s="162"/>
      <c r="C90" s="162"/>
      <c r="D90" s="162"/>
      <c r="I90" s="117"/>
      <c r="K90" s="117"/>
      <c r="L90" s="118"/>
    </row>
    <row r="91" ht="15.75" customHeight="1">
      <c r="A91" s="162"/>
      <c r="B91" s="162"/>
      <c r="C91" s="162"/>
      <c r="D91" s="162"/>
      <c r="I91" s="117"/>
      <c r="K91" s="117"/>
      <c r="L91" s="118"/>
    </row>
    <row r="92" ht="15.75" customHeight="1">
      <c r="A92" s="162"/>
      <c r="B92" s="162"/>
      <c r="C92" s="162"/>
      <c r="D92" s="162"/>
      <c r="I92" s="117"/>
      <c r="K92" s="117"/>
      <c r="L92" s="118"/>
    </row>
    <row r="93" ht="15.75" customHeight="1">
      <c r="A93" s="162"/>
      <c r="B93" s="162"/>
      <c r="C93" s="162"/>
      <c r="D93" s="162"/>
      <c r="I93" s="117"/>
      <c r="K93" s="117"/>
      <c r="L93" s="118"/>
    </row>
    <row r="94" ht="15.75" customHeight="1">
      <c r="A94" s="162"/>
      <c r="B94" s="162"/>
      <c r="C94" s="162"/>
      <c r="D94" s="162"/>
      <c r="I94" s="117"/>
      <c r="K94" s="117"/>
      <c r="L94" s="118"/>
    </row>
    <row r="95" ht="15.75" customHeight="1">
      <c r="A95" s="162"/>
      <c r="B95" s="162"/>
      <c r="C95" s="162"/>
      <c r="D95" s="162"/>
      <c r="I95" s="117"/>
      <c r="K95" s="117"/>
      <c r="L95" s="118"/>
    </row>
    <row r="96" ht="15.75" customHeight="1">
      <c r="A96" s="162"/>
      <c r="B96" s="162"/>
      <c r="C96" s="162"/>
      <c r="D96" s="162"/>
      <c r="I96" s="117"/>
      <c r="K96" s="117"/>
      <c r="L96" s="118"/>
    </row>
    <row r="97" ht="15.75" customHeight="1">
      <c r="A97" s="162"/>
      <c r="B97" s="162"/>
      <c r="C97" s="162"/>
      <c r="D97" s="162"/>
      <c r="I97" s="117"/>
      <c r="K97" s="117"/>
      <c r="L97" s="118"/>
    </row>
    <row r="98" ht="15.75" customHeight="1">
      <c r="A98" s="162"/>
      <c r="B98" s="162"/>
      <c r="C98" s="162"/>
      <c r="D98" s="162"/>
      <c r="I98" s="117"/>
      <c r="K98" s="117"/>
      <c r="L98" s="118"/>
    </row>
    <row r="99" ht="15.75" customHeight="1">
      <c r="A99" s="162"/>
      <c r="B99" s="162"/>
      <c r="C99" s="162"/>
      <c r="D99" s="162"/>
      <c r="I99" s="117"/>
      <c r="K99" s="117"/>
      <c r="L99" s="118"/>
    </row>
    <row r="100" ht="15.75" customHeight="1">
      <c r="A100" s="162"/>
      <c r="B100" s="162"/>
      <c r="C100" s="162"/>
      <c r="D100" s="162"/>
      <c r="I100" s="117"/>
      <c r="K100" s="117"/>
      <c r="L100" s="118"/>
    </row>
    <row r="101" ht="15.75" customHeight="1">
      <c r="A101" s="162"/>
      <c r="B101" s="162"/>
      <c r="C101" s="162"/>
      <c r="D101" s="162"/>
      <c r="I101" s="117"/>
      <c r="K101" s="117"/>
      <c r="L101" s="118"/>
    </row>
    <row r="102" ht="15.75" customHeight="1">
      <c r="A102" s="162"/>
      <c r="B102" s="162"/>
      <c r="C102" s="162"/>
      <c r="D102" s="162"/>
      <c r="I102" s="117"/>
      <c r="K102" s="117"/>
      <c r="L102" s="118"/>
    </row>
    <row r="103" ht="15.75" customHeight="1">
      <c r="A103" s="162"/>
      <c r="B103" s="162"/>
      <c r="C103" s="162"/>
      <c r="D103" s="162"/>
      <c r="I103" s="117"/>
      <c r="K103" s="117"/>
      <c r="L103" s="118"/>
    </row>
    <row r="104" ht="15.75" customHeight="1">
      <c r="A104" s="162"/>
      <c r="B104" s="162"/>
      <c r="C104" s="162"/>
      <c r="D104" s="162"/>
      <c r="I104" s="117"/>
      <c r="K104" s="117"/>
      <c r="L104" s="118"/>
    </row>
    <row r="105" ht="15.75" customHeight="1">
      <c r="A105" s="162"/>
      <c r="B105" s="162"/>
      <c r="C105" s="162"/>
      <c r="D105" s="162"/>
      <c r="I105" s="117"/>
      <c r="K105" s="117"/>
      <c r="L105" s="118"/>
    </row>
    <row r="106" ht="15.75" customHeight="1">
      <c r="A106" s="162"/>
      <c r="B106" s="162"/>
      <c r="C106" s="162"/>
      <c r="D106" s="162"/>
      <c r="I106" s="117"/>
      <c r="K106" s="117"/>
      <c r="L106" s="118"/>
    </row>
    <row r="107" ht="15.75" customHeight="1">
      <c r="A107" s="162"/>
      <c r="B107" s="162"/>
      <c r="C107" s="162"/>
      <c r="D107" s="162"/>
      <c r="I107" s="117"/>
      <c r="K107" s="117"/>
      <c r="L107" s="118"/>
    </row>
    <row r="108" ht="15.75" customHeight="1">
      <c r="A108" s="162"/>
      <c r="B108" s="162"/>
      <c r="C108" s="162"/>
      <c r="D108" s="162"/>
      <c r="I108" s="117"/>
      <c r="K108" s="117"/>
      <c r="L108" s="118"/>
    </row>
    <row r="109" ht="15.75" customHeight="1">
      <c r="A109" s="162"/>
      <c r="B109" s="162"/>
      <c r="C109" s="162"/>
      <c r="D109" s="162"/>
      <c r="I109" s="117"/>
      <c r="K109" s="117"/>
      <c r="L109" s="118"/>
    </row>
    <row r="110" ht="15.75" customHeight="1">
      <c r="A110" s="162"/>
      <c r="B110" s="162"/>
      <c r="C110" s="162"/>
      <c r="D110" s="162"/>
      <c r="I110" s="117"/>
      <c r="K110" s="117"/>
      <c r="L110" s="118"/>
    </row>
    <row r="111" ht="15.75" customHeight="1">
      <c r="E111" s="124" t="s">
        <v>462</v>
      </c>
      <c r="F111" s="125">
        <f>COUNTIF(L2:L12,"Pass")</f>
        <v>0</v>
      </c>
      <c r="G111" s="126">
        <f>(F111/F117)*100</f>
        <v>0</v>
      </c>
      <c r="H111" s="127" t="s">
        <v>465</v>
      </c>
      <c r="I111" s="117"/>
      <c r="K111" s="117"/>
      <c r="L111" s="118"/>
    </row>
    <row r="112" ht="15.75" customHeight="1">
      <c r="E112" s="124" t="s">
        <v>467</v>
      </c>
      <c r="F112" s="125">
        <f>COUNTIF(L2:L12,"Fail")</f>
        <v>0</v>
      </c>
      <c r="G112" s="126">
        <f>(F112/F117)*100</f>
        <v>0</v>
      </c>
      <c r="H112" s="127" t="s">
        <v>465</v>
      </c>
      <c r="I112" s="117"/>
      <c r="K112" s="117"/>
      <c r="L112" s="118"/>
    </row>
    <row r="113" ht="15.75" customHeight="1">
      <c r="E113" s="124" t="s">
        <v>12</v>
      </c>
      <c r="F113" s="125">
        <f>COUNTIF(L2:L12,"Not Start")</f>
        <v>2</v>
      </c>
      <c r="G113" s="126">
        <f>(F113/F117)*100</f>
        <v>100</v>
      </c>
      <c r="H113" s="127" t="s">
        <v>465</v>
      </c>
      <c r="I113" s="117"/>
      <c r="K113" s="117"/>
      <c r="L113" s="118"/>
    </row>
    <row r="114" ht="15.75" customHeight="1">
      <c r="E114" s="124" t="s">
        <v>474</v>
      </c>
      <c r="F114" s="125">
        <f>COUNTIF(L2:L12,"Pending")</f>
        <v>0</v>
      </c>
      <c r="G114" s="126">
        <f>(F114/F117)*100</f>
        <v>0</v>
      </c>
      <c r="H114" s="127" t="s">
        <v>465</v>
      </c>
      <c r="I114" s="117"/>
      <c r="K114" s="117"/>
      <c r="L114" s="118"/>
    </row>
    <row r="115" ht="15.75" customHeight="1">
      <c r="E115" s="124" t="s">
        <v>44</v>
      </c>
      <c r="F115" s="125">
        <f>COUNTIF(L2:L12,"Deferred")</f>
        <v>0</v>
      </c>
      <c r="G115" s="126">
        <f>(F115/F117)*100</f>
        <v>0</v>
      </c>
      <c r="H115" s="127" t="s">
        <v>465</v>
      </c>
      <c r="I115" s="117"/>
      <c r="K115" s="117"/>
      <c r="L115" s="118"/>
    </row>
    <row r="116" ht="15.75" customHeight="1">
      <c r="E116" s="124" t="s">
        <v>479</v>
      </c>
      <c r="F116" s="125">
        <f>COUNTIF(L2:L12,"Not Applicable")</f>
        <v>0</v>
      </c>
      <c r="G116" s="126">
        <f>(F116/F117)*100</f>
        <v>0</v>
      </c>
      <c r="H116" s="127" t="s">
        <v>465</v>
      </c>
      <c r="I116" s="117"/>
      <c r="K116" s="117"/>
      <c r="L116" s="118"/>
    </row>
    <row r="117" ht="15.75" customHeight="1">
      <c r="E117" s="128" t="s">
        <v>49</v>
      </c>
      <c r="F117" s="129">
        <f t="shared" ref="F117:G117" si="6">SUM(F111:F116)</f>
        <v>2</v>
      </c>
      <c r="G117" s="130">
        <f t="shared" si="6"/>
        <v>100</v>
      </c>
      <c r="H117" s="131" t="s">
        <v>465</v>
      </c>
      <c r="I117" s="117"/>
      <c r="K117" s="117"/>
      <c r="L117" s="118"/>
    </row>
    <row r="118" ht="15.75" customHeight="1">
      <c r="E118" s="132" t="s">
        <v>484</v>
      </c>
      <c r="F118" s="133"/>
      <c r="G118" s="134">
        <f>G111+G112+G114+G116</f>
        <v>0</v>
      </c>
      <c r="H118" s="135"/>
      <c r="I118" s="117"/>
      <c r="K118" s="117"/>
      <c r="L118" s="118"/>
    </row>
    <row r="119" ht="15.75" customHeight="1">
      <c r="E119" s="132" t="s">
        <v>485</v>
      </c>
      <c r="F119" s="36"/>
      <c r="G119" s="136">
        <f>F111/(F117-F116-F114)</f>
        <v>0</v>
      </c>
      <c r="H119" s="137"/>
      <c r="I119" s="117"/>
      <c r="K119" s="117"/>
      <c r="L119" s="118"/>
    </row>
    <row r="120" ht="15.75" customHeight="1">
      <c r="I120" s="117"/>
      <c r="K120" s="117"/>
      <c r="L120" s="118"/>
    </row>
    <row r="121" ht="15.75" customHeight="1">
      <c r="I121" s="117"/>
      <c r="K121" s="117"/>
      <c r="L121" s="118"/>
    </row>
    <row r="122" ht="15.75" customHeight="1">
      <c r="I122" s="117"/>
      <c r="K122" s="117"/>
      <c r="L122" s="118"/>
    </row>
    <row r="123" ht="15.75" customHeight="1">
      <c r="I123" s="117"/>
      <c r="K123" s="117"/>
      <c r="L123" s="118"/>
    </row>
    <row r="124" ht="15.75" customHeight="1">
      <c r="I124" s="117"/>
      <c r="K124" s="117"/>
      <c r="L124" s="118"/>
    </row>
    <row r="125" ht="15.75" customHeight="1">
      <c r="I125" s="117"/>
      <c r="K125" s="117"/>
      <c r="L125" s="118"/>
    </row>
    <row r="126" ht="15.75" customHeight="1">
      <c r="I126" s="117"/>
      <c r="K126" s="117"/>
      <c r="L126" s="118"/>
    </row>
    <row r="127" ht="15.75" customHeight="1">
      <c r="I127" s="117"/>
      <c r="K127" s="117"/>
      <c r="L127" s="118"/>
    </row>
    <row r="128" ht="15.75" customHeight="1">
      <c r="I128" s="117"/>
      <c r="K128" s="117"/>
      <c r="L128" s="118"/>
    </row>
    <row r="129" ht="15.75" customHeight="1">
      <c r="I129" s="117"/>
      <c r="K129" s="117"/>
      <c r="L129" s="118"/>
    </row>
    <row r="130" ht="15.75" customHeight="1">
      <c r="I130" s="117"/>
      <c r="K130" s="117"/>
      <c r="L130" s="118"/>
    </row>
    <row r="131" ht="15.75" customHeight="1">
      <c r="I131" s="117"/>
      <c r="K131" s="117"/>
      <c r="L131" s="118"/>
    </row>
    <row r="132" ht="15.75" customHeight="1">
      <c r="I132" s="117"/>
      <c r="K132" s="117"/>
      <c r="L132" s="118"/>
    </row>
    <row r="133" ht="15.75" customHeight="1">
      <c r="I133" s="117"/>
      <c r="K133" s="117"/>
      <c r="L133" s="118"/>
    </row>
    <row r="134" ht="15.75" customHeight="1">
      <c r="I134" s="117"/>
      <c r="K134" s="117"/>
      <c r="L134" s="118"/>
    </row>
    <row r="135" ht="15.75" customHeight="1">
      <c r="I135" s="117"/>
      <c r="K135" s="117"/>
      <c r="L135" s="118"/>
    </row>
    <row r="136" ht="15.75" customHeight="1">
      <c r="I136" s="117"/>
      <c r="K136" s="117"/>
      <c r="L136" s="118"/>
    </row>
    <row r="137" ht="15.75" customHeight="1">
      <c r="I137" s="117"/>
      <c r="K137" s="117"/>
      <c r="L137" s="118"/>
    </row>
    <row r="138" ht="15.75" customHeight="1">
      <c r="I138" s="117"/>
      <c r="K138" s="117"/>
      <c r="L138" s="118"/>
    </row>
    <row r="139" ht="15.75" customHeight="1">
      <c r="I139" s="117"/>
      <c r="K139" s="117"/>
      <c r="L139" s="118"/>
    </row>
    <row r="140" ht="15.75" customHeight="1">
      <c r="I140" s="117"/>
      <c r="K140" s="117"/>
      <c r="L140" s="118"/>
    </row>
    <row r="141" ht="15.75" customHeight="1">
      <c r="I141" s="117"/>
      <c r="K141" s="117"/>
      <c r="L141" s="118"/>
    </row>
    <row r="142" ht="15.75" customHeight="1">
      <c r="I142" s="117"/>
      <c r="K142" s="117"/>
      <c r="L142" s="118"/>
    </row>
    <row r="143" ht="15.75" customHeight="1">
      <c r="I143" s="117"/>
      <c r="K143" s="117"/>
      <c r="L143" s="118"/>
    </row>
    <row r="144" ht="15.75" customHeight="1">
      <c r="I144" s="117"/>
      <c r="K144" s="117"/>
      <c r="L144" s="118"/>
    </row>
    <row r="145" ht="15.75" customHeight="1">
      <c r="I145" s="117"/>
      <c r="K145" s="117"/>
      <c r="L145" s="118"/>
    </row>
    <row r="146" ht="15.75" customHeight="1">
      <c r="I146" s="117"/>
      <c r="K146" s="117"/>
      <c r="L146" s="118"/>
    </row>
    <row r="147" ht="15.75" customHeight="1">
      <c r="I147" s="117"/>
      <c r="K147" s="117"/>
      <c r="L147" s="118"/>
    </row>
    <row r="148" ht="15.75" customHeight="1">
      <c r="I148" s="117"/>
      <c r="K148" s="117"/>
      <c r="L148" s="118"/>
    </row>
    <row r="149" ht="15.75" customHeight="1">
      <c r="I149" s="117"/>
      <c r="K149" s="117"/>
      <c r="L149" s="118"/>
    </row>
    <row r="150" ht="15.75" customHeight="1">
      <c r="I150" s="117"/>
      <c r="K150" s="117"/>
      <c r="L150" s="118"/>
    </row>
    <row r="151" ht="15.75" customHeight="1">
      <c r="I151" s="117"/>
      <c r="K151" s="117"/>
      <c r="L151" s="118"/>
    </row>
    <row r="152" ht="15.75" customHeight="1">
      <c r="I152" s="117"/>
      <c r="K152" s="117"/>
      <c r="L152" s="118"/>
    </row>
    <row r="153" ht="15.75" customHeight="1">
      <c r="I153" s="117"/>
      <c r="K153" s="117"/>
      <c r="L153" s="118"/>
    </row>
    <row r="154" ht="15.75" customHeight="1">
      <c r="I154" s="117"/>
      <c r="K154" s="117"/>
      <c r="L154" s="118"/>
    </row>
    <row r="155" ht="15.75" customHeight="1">
      <c r="I155" s="117"/>
      <c r="K155" s="117"/>
      <c r="L155" s="118"/>
    </row>
    <row r="156" ht="15.75" customHeight="1">
      <c r="I156" s="117"/>
      <c r="K156" s="117"/>
      <c r="L156" s="118"/>
    </row>
    <row r="157" ht="15.75" customHeight="1">
      <c r="I157" s="117"/>
      <c r="K157" s="117"/>
      <c r="L157" s="118"/>
    </row>
    <row r="158" ht="15.75" customHeight="1">
      <c r="I158" s="117"/>
      <c r="K158" s="117"/>
      <c r="L158" s="118"/>
    </row>
    <row r="159" ht="15.75" customHeight="1">
      <c r="I159" s="117"/>
      <c r="K159" s="117"/>
      <c r="L159" s="118"/>
    </row>
    <row r="160" ht="15.75" customHeight="1">
      <c r="I160" s="117"/>
      <c r="K160" s="117"/>
      <c r="L160" s="118"/>
    </row>
    <row r="161" ht="15.75" customHeight="1">
      <c r="I161" s="117"/>
      <c r="K161" s="117"/>
      <c r="L161" s="118"/>
    </row>
    <row r="162" ht="15.75" customHeight="1">
      <c r="I162" s="117"/>
      <c r="K162" s="117"/>
      <c r="L162" s="118"/>
    </row>
    <row r="163" ht="15.75" customHeight="1">
      <c r="I163" s="117"/>
      <c r="K163" s="117"/>
      <c r="L163" s="118"/>
    </row>
    <row r="164" ht="15.75" customHeight="1">
      <c r="I164" s="117"/>
      <c r="K164" s="117"/>
      <c r="L164" s="118"/>
    </row>
    <row r="165" ht="15.75" customHeight="1">
      <c r="I165" s="117"/>
      <c r="K165" s="117"/>
      <c r="L165" s="118"/>
    </row>
    <row r="166" ht="15.75" customHeight="1">
      <c r="I166" s="117"/>
      <c r="K166" s="117"/>
      <c r="L166" s="118"/>
    </row>
    <row r="167" ht="15.75" customHeight="1">
      <c r="I167" s="117"/>
      <c r="K167" s="117"/>
      <c r="L167" s="118"/>
    </row>
    <row r="168" ht="15.75" customHeight="1">
      <c r="I168" s="117"/>
      <c r="K168" s="117"/>
      <c r="L168" s="118"/>
    </row>
    <row r="169" ht="15.75" customHeight="1">
      <c r="I169" s="117"/>
      <c r="K169" s="117"/>
      <c r="L169" s="118"/>
    </row>
    <row r="170" ht="15.75" customHeight="1">
      <c r="I170" s="117"/>
      <c r="K170" s="117"/>
      <c r="L170" s="118"/>
    </row>
    <row r="171" ht="15.75" customHeight="1">
      <c r="I171" s="117"/>
      <c r="K171" s="117"/>
      <c r="L171" s="118"/>
    </row>
    <row r="172" ht="15.75" customHeight="1">
      <c r="I172" s="117"/>
      <c r="K172" s="117"/>
      <c r="L172" s="118"/>
    </row>
    <row r="173" ht="15.75" customHeight="1">
      <c r="I173" s="117"/>
      <c r="K173" s="117"/>
      <c r="L173" s="118"/>
    </row>
    <row r="174" ht="15.75" customHeight="1">
      <c r="I174" s="117"/>
      <c r="K174" s="117"/>
      <c r="L174" s="118"/>
    </row>
    <row r="175" ht="15.75" customHeight="1">
      <c r="I175" s="117"/>
      <c r="K175" s="117"/>
      <c r="L175" s="118"/>
    </row>
    <row r="176" ht="15.75" customHeight="1">
      <c r="I176" s="117"/>
      <c r="K176" s="117"/>
      <c r="L176" s="118"/>
    </row>
    <row r="177" ht="15.75" customHeight="1">
      <c r="I177" s="117"/>
      <c r="K177" s="117"/>
      <c r="L177" s="118"/>
    </row>
    <row r="178" ht="15.75" customHeight="1">
      <c r="I178" s="117"/>
      <c r="K178" s="117"/>
      <c r="L178" s="118"/>
    </row>
    <row r="179" ht="15.75" customHeight="1">
      <c r="I179" s="117"/>
      <c r="K179" s="117"/>
      <c r="L179" s="118"/>
    </row>
    <row r="180" ht="15.75" customHeight="1">
      <c r="I180" s="117"/>
      <c r="K180" s="117"/>
      <c r="L180" s="118"/>
    </row>
    <row r="181" ht="15.75" customHeight="1">
      <c r="I181" s="117"/>
      <c r="K181" s="117"/>
      <c r="L181" s="118"/>
    </row>
    <row r="182" ht="15.75" customHeight="1">
      <c r="I182" s="117"/>
      <c r="K182" s="117"/>
      <c r="L182" s="118"/>
    </row>
    <row r="183" ht="15.75" customHeight="1">
      <c r="I183" s="117"/>
      <c r="K183" s="117"/>
      <c r="L183" s="118"/>
    </row>
    <row r="184" ht="15.75" customHeight="1">
      <c r="I184" s="117"/>
      <c r="K184" s="117"/>
      <c r="L184" s="118"/>
    </row>
    <row r="185" ht="15.75" customHeight="1">
      <c r="I185" s="117"/>
      <c r="K185" s="117"/>
      <c r="L185" s="118"/>
    </row>
    <row r="186" ht="15.75" customHeight="1">
      <c r="I186" s="117"/>
      <c r="K186" s="117"/>
      <c r="L186" s="118"/>
    </row>
    <row r="187" ht="15.75" customHeight="1">
      <c r="I187" s="117"/>
      <c r="K187" s="117"/>
      <c r="L187" s="118"/>
    </row>
    <row r="188" ht="15.75" customHeight="1">
      <c r="I188" s="117"/>
      <c r="K188" s="117"/>
      <c r="L188" s="118"/>
    </row>
    <row r="189" ht="15.75" customHeight="1">
      <c r="I189" s="117"/>
      <c r="K189" s="117"/>
      <c r="L189" s="118"/>
    </row>
    <row r="190" ht="15.75" customHeight="1">
      <c r="I190" s="117"/>
      <c r="K190" s="117"/>
      <c r="L190" s="118"/>
    </row>
    <row r="191" ht="15.75" customHeight="1">
      <c r="I191" s="117"/>
      <c r="K191" s="117"/>
      <c r="L191" s="118"/>
    </row>
    <row r="192" ht="15.75" customHeight="1">
      <c r="I192" s="117"/>
      <c r="K192" s="117"/>
      <c r="L192" s="118"/>
    </row>
    <row r="193" ht="15.75" customHeight="1">
      <c r="I193" s="117"/>
      <c r="K193" s="117"/>
      <c r="L193" s="118"/>
    </row>
    <row r="194" ht="15.75" customHeight="1">
      <c r="I194" s="117"/>
      <c r="K194" s="117"/>
      <c r="L194" s="118"/>
    </row>
    <row r="195" ht="15.75" customHeight="1">
      <c r="I195" s="117"/>
      <c r="K195" s="117"/>
      <c r="L195" s="118"/>
    </row>
    <row r="196" ht="15.75" customHeight="1">
      <c r="I196" s="117"/>
      <c r="K196" s="117"/>
      <c r="L196" s="118"/>
    </row>
    <row r="197" ht="15.75" customHeight="1">
      <c r="I197" s="117"/>
      <c r="K197" s="117"/>
      <c r="L197" s="118"/>
    </row>
    <row r="198" ht="15.75" customHeight="1">
      <c r="I198" s="117"/>
      <c r="K198" s="117"/>
      <c r="L198" s="118"/>
    </row>
    <row r="199" ht="15.75" customHeight="1">
      <c r="I199" s="117"/>
      <c r="K199" s="117"/>
      <c r="L199" s="118"/>
    </row>
    <row r="200" ht="15.75" customHeight="1">
      <c r="I200" s="117"/>
      <c r="K200" s="117"/>
      <c r="L200" s="118"/>
    </row>
    <row r="201" ht="15.75" customHeight="1">
      <c r="I201" s="117"/>
      <c r="K201" s="117"/>
      <c r="L201" s="118"/>
    </row>
    <row r="202" ht="15.75" customHeight="1">
      <c r="I202" s="117"/>
      <c r="K202" s="117"/>
      <c r="L202" s="118"/>
    </row>
    <row r="203" ht="15.75" customHeight="1">
      <c r="I203" s="117"/>
      <c r="K203" s="117"/>
      <c r="L203" s="118"/>
    </row>
    <row r="204" ht="15.75" customHeight="1">
      <c r="I204" s="117"/>
      <c r="K204" s="117"/>
      <c r="L204" s="118"/>
    </row>
    <row r="205" ht="15.75" customHeight="1">
      <c r="I205" s="117"/>
      <c r="K205" s="117"/>
      <c r="L205" s="118"/>
    </row>
    <row r="206" ht="15.75" customHeight="1">
      <c r="I206" s="117"/>
      <c r="K206" s="117"/>
      <c r="L206" s="118"/>
    </row>
    <row r="207" ht="15.75" customHeight="1">
      <c r="I207" s="117"/>
      <c r="K207" s="117"/>
      <c r="L207" s="118"/>
    </row>
    <row r="208" ht="15.75" customHeight="1">
      <c r="I208" s="117"/>
      <c r="K208" s="117"/>
      <c r="L208" s="118"/>
    </row>
    <row r="209" ht="15.75" customHeight="1">
      <c r="I209" s="117"/>
      <c r="K209" s="117"/>
      <c r="L209" s="118"/>
    </row>
    <row r="210" ht="15.75" customHeight="1">
      <c r="I210" s="117"/>
      <c r="K210" s="117"/>
      <c r="L210" s="118"/>
    </row>
    <row r="211" ht="15.75" customHeight="1">
      <c r="I211" s="117"/>
      <c r="K211" s="117"/>
      <c r="L211" s="118"/>
    </row>
    <row r="212" ht="15.75" customHeight="1">
      <c r="I212" s="117"/>
      <c r="K212" s="117"/>
      <c r="L212" s="118"/>
    </row>
    <row r="213" ht="15.75" customHeight="1">
      <c r="I213" s="117"/>
      <c r="K213" s="117"/>
      <c r="L213" s="118"/>
    </row>
    <row r="214" ht="15.75" customHeight="1">
      <c r="I214" s="117"/>
      <c r="K214" s="117"/>
      <c r="L214" s="118"/>
    </row>
    <row r="215" ht="15.75" customHeight="1">
      <c r="I215" s="117"/>
      <c r="K215" s="117"/>
      <c r="L215" s="118"/>
    </row>
    <row r="216" ht="15.75" customHeight="1">
      <c r="I216" s="117"/>
      <c r="K216" s="117"/>
      <c r="L216" s="118"/>
    </row>
    <row r="217" ht="15.75" customHeight="1">
      <c r="I217" s="117"/>
      <c r="K217" s="117"/>
      <c r="L217" s="118"/>
    </row>
    <row r="218" ht="15.75" customHeight="1">
      <c r="I218" s="117"/>
      <c r="K218" s="117"/>
      <c r="L218" s="118"/>
    </row>
    <row r="219" ht="15.75" customHeight="1">
      <c r="I219" s="117"/>
      <c r="K219" s="117"/>
      <c r="L219" s="118"/>
    </row>
    <row r="220" ht="15.75" customHeight="1">
      <c r="I220" s="117"/>
      <c r="K220" s="117"/>
      <c r="L220" s="118"/>
    </row>
    <row r="221" ht="15.75" customHeight="1">
      <c r="I221" s="117"/>
      <c r="K221" s="117"/>
      <c r="L221" s="118"/>
    </row>
    <row r="222" ht="15.75" customHeight="1">
      <c r="I222" s="117"/>
      <c r="K222" s="117"/>
      <c r="L222" s="118"/>
    </row>
    <row r="223" ht="15.75" customHeight="1">
      <c r="I223" s="117"/>
      <c r="K223" s="117"/>
      <c r="L223" s="118"/>
    </row>
    <row r="224" ht="15.75" customHeight="1">
      <c r="I224" s="117"/>
      <c r="K224" s="117"/>
      <c r="L224" s="118"/>
    </row>
    <row r="225" ht="15.75" customHeight="1">
      <c r="I225" s="117"/>
      <c r="K225" s="117"/>
      <c r="L225" s="118"/>
    </row>
    <row r="226" ht="15.75" customHeight="1">
      <c r="I226" s="117"/>
      <c r="K226" s="117"/>
      <c r="L226" s="118"/>
    </row>
    <row r="227" ht="15.75" customHeight="1">
      <c r="I227" s="117"/>
      <c r="K227" s="117"/>
      <c r="L227" s="118"/>
    </row>
    <row r="228" ht="15.75" customHeight="1">
      <c r="I228" s="117"/>
      <c r="K228" s="117"/>
      <c r="L228" s="118"/>
    </row>
    <row r="229" ht="15.75" customHeight="1">
      <c r="I229" s="117"/>
      <c r="K229" s="117"/>
      <c r="L229" s="118"/>
    </row>
    <row r="230" ht="15.75" customHeight="1">
      <c r="I230" s="117"/>
      <c r="K230" s="117"/>
      <c r="L230" s="118"/>
    </row>
    <row r="231" ht="15.75" customHeight="1">
      <c r="I231" s="117"/>
      <c r="K231" s="117"/>
      <c r="L231" s="118"/>
    </row>
    <row r="232" ht="15.75" customHeight="1">
      <c r="I232" s="117"/>
      <c r="K232" s="117"/>
      <c r="L232" s="118"/>
    </row>
    <row r="233" ht="15.75" customHeight="1">
      <c r="I233" s="117"/>
      <c r="K233" s="117"/>
      <c r="L233" s="118"/>
    </row>
    <row r="234" ht="15.75" customHeight="1">
      <c r="I234" s="117"/>
      <c r="K234" s="117"/>
      <c r="L234" s="118"/>
    </row>
    <row r="235" ht="15.75" customHeight="1">
      <c r="I235" s="117"/>
      <c r="K235" s="117"/>
      <c r="L235" s="118"/>
    </row>
    <row r="236" ht="15.75" customHeight="1">
      <c r="I236" s="117"/>
      <c r="K236" s="117"/>
      <c r="L236" s="118"/>
    </row>
    <row r="237" ht="15.75" customHeight="1">
      <c r="I237" s="117"/>
      <c r="K237" s="117"/>
      <c r="L237" s="118"/>
    </row>
    <row r="238" ht="15.75" customHeight="1">
      <c r="I238" s="117"/>
      <c r="K238" s="117"/>
      <c r="L238" s="118"/>
    </row>
    <row r="239" ht="15.75" customHeight="1">
      <c r="I239" s="117"/>
      <c r="K239" s="117"/>
      <c r="L239" s="118"/>
    </row>
    <row r="240" ht="15.75" customHeight="1">
      <c r="I240" s="117"/>
      <c r="K240" s="117"/>
      <c r="L240" s="118"/>
    </row>
    <row r="241" ht="15.75" customHeight="1">
      <c r="I241" s="117"/>
      <c r="K241" s="117"/>
      <c r="L241" s="118"/>
    </row>
    <row r="242" ht="15.75" customHeight="1">
      <c r="I242" s="117"/>
      <c r="K242" s="117"/>
      <c r="L242" s="118"/>
    </row>
    <row r="243" ht="15.75" customHeight="1">
      <c r="I243" s="117"/>
      <c r="K243" s="117"/>
      <c r="L243" s="118"/>
    </row>
    <row r="244" ht="15.75" customHeight="1">
      <c r="I244" s="117"/>
      <c r="K244" s="117"/>
      <c r="L244" s="118"/>
    </row>
    <row r="245" ht="15.75" customHeight="1">
      <c r="I245" s="117"/>
      <c r="K245" s="117"/>
      <c r="L245" s="118"/>
    </row>
    <row r="246" ht="15.75" customHeight="1">
      <c r="I246" s="117"/>
      <c r="K246" s="117"/>
      <c r="L246" s="118"/>
    </row>
    <row r="247" ht="15.75" customHeight="1">
      <c r="I247" s="117"/>
      <c r="K247" s="117"/>
      <c r="L247" s="118"/>
    </row>
    <row r="248" ht="15.75" customHeight="1">
      <c r="I248" s="117"/>
      <c r="K248" s="117"/>
      <c r="L248" s="118"/>
    </row>
    <row r="249" ht="15.75" customHeight="1">
      <c r="I249" s="117"/>
      <c r="K249" s="117"/>
      <c r="L249" s="118"/>
    </row>
    <row r="250" ht="15.75" customHeight="1">
      <c r="I250" s="117"/>
      <c r="K250" s="117"/>
      <c r="L250" s="118"/>
    </row>
    <row r="251" ht="15.75" customHeight="1">
      <c r="I251" s="117"/>
      <c r="K251" s="117"/>
      <c r="L251" s="118"/>
    </row>
    <row r="252" ht="15.75" customHeight="1">
      <c r="I252" s="117"/>
      <c r="K252" s="117"/>
      <c r="L252" s="118"/>
    </row>
    <row r="253" ht="15.75" customHeight="1">
      <c r="I253" s="117"/>
      <c r="K253" s="117"/>
      <c r="L253" s="118"/>
    </row>
    <row r="254" ht="15.75" customHeight="1">
      <c r="I254" s="117"/>
      <c r="K254" s="117"/>
      <c r="L254" s="118"/>
    </row>
    <row r="255" ht="15.75" customHeight="1">
      <c r="I255" s="117"/>
      <c r="K255" s="117"/>
      <c r="L255" s="118"/>
    </row>
    <row r="256" ht="15.75" customHeight="1">
      <c r="I256" s="117"/>
      <c r="K256" s="117"/>
      <c r="L256" s="118"/>
    </row>
    <row r="257" ht="15.75" customHeight="1">
      <c r="I257" s="117"/>
      <c r="K257" s="117"/>
      <c r="L257" s="118"/>
    </row>
    <row r="258" ht="15.75" customHeight="1">
      <c r="I258" s="117"/>
      <c r="K258" s="117"/>
      <c r="L258" s="118"/>
    </row>
    <row r="259" ht="15.75" customHeight="1">
      <c r="I259" s="117"/>
      <c r="K259" s="117"/>
      <c r="L259" s="118"/>
    </row>
    <row r="260" ht="15.75" customHeight="1">
      <c r="I260" s="117"/>
      <c r="K260" s="117"/>
      <c r="L260" s="118"/>
    </row>
    <row r="261" ht="15.75" customHeight="1">
      <c r="I261" s="117"/>
      <c r="K261" s="117"/>
      <c r="L261" s="118"/>
    </row>
    <row r="262" ht="15.75" customHeight="1">
      <c r="I262" s="117"/>
      <c r="K262" s="117"/>
      <c r="L262" s="118"/>
    </row>
    <row r="263" ht="15.75" customHeight="1">
      <c r="I263" s="117"/>
      <c r="K263" s="117"/>
      <c r="L263" s="118"/>
    </row>
    <row r="264" ht="15.75" customHeight="1">
      <c r="I264" s="117"/>
      <c r="K264" s="117"/>
      <c r="L264" s="118"/>
    </row>
    <row r="265" ht="15.75" customHeight="1">
      <c r="I265" s="117"/>
      <c r="K265" s="117"/>
      <c r="L265" s="118"/>
    </row>
    <row r="266" ht="15.75" customHeight="1">
      <c r="I266" s="117"/>
      <c r="K266" s="117"/>
      <c r="L266" s="118"/>
    </row>
    <row r="267" ht="15.75" customHeight="1">
      <c r="I267" s="117"/>
      <c r="K267" s="117"/>
      <c r="L267" s="118"/>
    </row>
    <row r="268" ht="15.75" customHeight="1">
      <c r="I268" s="117"/>
      <c r="K268" s="117"/>
      <c r="L268" s="118"/>
    </row>
    <row r="269" ht="15.75" customHeight="1">
      <c r="I269" s="117"/>
      <c r="K269" s="117"/>
      <c r="L269" s="118"/>
    </row>
    <row r="270" ht="15.75" customHeight="1">
      <c r="I270" s="117"/>
      <c r="K270" s="117"/>
      <c r="L270" s="118"/>
    </row>
    <row r="271" ht="15.75" customHeight="1">
      <c r="I271" s="117"/>
      <c r="K271" s="117"/>
      <c r="L271" s="118"/>
    </row>
    <row r="272" ht="15.75" customHeight="1">
      <c r="I272" s="117"/>
      <c r="K272" s="117"/>
      <c r="L272" s="118"/>
    </row>
    <row r="273" ht="15.75" customHeight="1">
      <c r="I273" s="117"/>
      <c r="K273" s="117"/>
      <c r="L273" s="118"/>
    </row>
    <row r="274" ht="15.75" customHeight="1">
      <c r="I274" s="117"/>
      <c r="K274" s="117"/>
      <c r="L274" s="118"/>
    </row>
    <row r="275" ht="15.75" customHeight="1">
      <c r="I275" s="117"/>
      <c r="K275" s="117"/>
      <c r="L275" s="118"/>
    </row>
    <row r="276" ht="15.75" customHeight="1">
      <c r="I276" s="117"/>
      <c r="K276" s="117"/>
      <c r="L276" s="118"/>
    </row>
    <row r="277" ht="15.75" customHeight="1">
      <c r="I277" s="117"/>
      <c r="K277" s="117"/>
      <c r="L277" s="118"/>
    </row>
    <row r="278" ht="15.75" customHeight="1">
      <c r="I278" s="117"/>
      <c r="K278" s="117"/>
      <c r="L278" s="118"/>
    </row>
    <row r="279" ht="15.75" customHeight="1">
      <c r="I279" s="117"/>
      <c r="K279" s="117"/>
      <c r="L279" s="118"/>
    </row>
    <row r="280" ht="15.75" customHeight="1">
      <c r="I280" s="117"/>
      <c r="K280" s="117"/>
      <c r="L280" s="118"/>
    </row>
    <row r="281" ht="15.75" customHeight="1">
      <c r="I281" s="117"/>
      <c r="K281" s="117"/>
      <c r="L281" s="118"/>
    </row>
    <row r="282" ht="15.75" customHeight="1">
      <c r="I282" s="117"/>
      <c r="K282" s="117"/>
      <c r="L282" s="118"/>
    </row>
    <row r="283" ht="15.75" customHeight="1">
      <c r="I283" s="117"/>
      <c r="K283" s="117"/>
      <c r="L283" s="118"/>
    </row>
    <row r="284" ht="15.75" customHeight="1">
      <c r="I284" s="117"/>
      <c r="K284" s="117"/>
      <c r="L284" s="118"/>
    </row>
    <row r="285" ht="15.75" customHeight="1">
      <c r="I285" s="117"/>
      <c r="K285" s="117"/>
      <c r="L285" s="118"/>
    </row>
    <row r="286" ht="15.75" customHeight="1">
      <c r="I286" s="117"/>
      <c r="K286" s="117"/>
      <c r="L286" s="118"/>
    </row>
    <row r="287" ht="15.75" customHeight="1">
      <c r="I287" s="117"/>
      <c r="K287" s="117"/>
      <c r="L287" s="118"/>
    </row>
    <row r="288" ht="15.75" customHeight="1">
      <c r="I288" s="117"/>
      <c r="K288" s="117"/>
      <c r="L288" s="118"/>
    </row>
    <row r="289" ht="15.75" customHeight="1">
      <c r="I289" s="117"/>
      <c r="K289" s="117"/>
      <c r="L289" s="118"/>
    </row>
    <row r="290" ht="15.75" customHeight="1">
      <c r="I290" s="117"/>
      <c r="K290" s="117"/>
      <c r="L290" s="118"/>
    </row>
    <row r="291" ht="15.75" customHeight="1">
      <c r="I291" s="117"/>
      <c r="K291" s="117"/>
      <c r="L291" s="118"/>
    </row>
    <row r="292" ht="15.75" customHeight="1">
      <c r="I292" s="117"/>
      <c r="K292" s="117"/>
      <c r="L292" s="118"/>
    </row>
    <row r="293" ht="15.75" customHeight="1">
      <c r="I293" s="117"/>
      <c r="K293" s="117"/>
      <c r="L293" s="118"/>
    </row>
    <row r="294" ht="15.75" customHeight="1">
      <c r="I294" s="117"/>
      <c r="K294" s="117"/>
      <c r="L294" s="118"/>
    </row>
    <row r="295" ht="15.75" customHeight="1">
      <c r="I295" s="117"/>
      <c r="K295" s="117"/>
      <c r="L295" s="118"/>
    </row>
    <row r="296" ht="15.75" customHeight="1">
      <c r="I296" s="117"/>
      <c r="K296" s="117"/>
      <c r="L296" s="118"/>
    </row>
    <row r="297" ht="15.75" customHeight="1">
      <c r="I297" s="117"/>
      <c r="K297" s="117"/>
      <c r="L297" s="118"/>
    </row>
    <row r="298" ht="15.75" customHeight="1">
      <c r="I298" s="117"/>
      <c r="K298" s="117"/>
      <c r="L298" s="118"/>
    </row>
    <row r="299" ht="15.75" customHeight="1">
      <c r="I299" s="117"/>
      <c r="K299" s="117"/>
      <c r="L299" s="118"/>
    </row>
    <row r="300" ht="15.75" customHeight="1">
      <c r="I300" s="117"/>
      <c r="K300" s="117"/>
      <c r="L300" s="118"/>
    </row>
    <row r="301" ht="15.75" customHeight="1">
      <c r="I301" s="117"/>
      <c r="K301" s="117"/>
      <c r="L301" s="118"/>
    </row>
    <row r="302" ht="15.75" customHeight="1">
      <c r="I302" s="117"/>
      <c r="K302" s="117"/>
      <c r="L302" s="118"/>
    </row>
    <row r="303" ht="15.75" customHeight="1">
      <c r="I303" s="117"/>
      <c r="K303" s="117"/>
      <c r="L303" s="118"/>
    </row>
    <row r="304" ht="15.75" customHeight="1">
      <c r="I304" s="117"/>
      <c r="K304" s="117"/>
      <c r="L304" s="118"/>
    </row>
    <row r="305" ht="15.75" customHeight="1">
      <c r="I305" s="117"/>
      <c r="K305" s="117"/>
      <c r="L305" s="118"/>
    </row>
    <row r="306" ht="15.75" customHeight="1">
      <c r="I306" s="117"/>
      <c r="K306" s="117"/>
      <c r="L306" s="118"/>
    </row>
    <row r="307" ht="15.75" customHeight="1">
      <c r="I307" s="117"/>
      <c r="K307" s="117"/>
      <c r="L307" s="118"/>
    </row>
    <row r="308" ht="15.75" customHeight="1">
      <c r="I308" s="117"/>
      <c r="K308" s="117"/>
      <c r="L308" s="118"/>
    </row>
    <row r="309" ht="15.75" customHeight="1">
      <c r="I309" s="117"/>
      <c r="K309" s="117"/>
      <c r="L309" s="118"/>
    </row>
    <row r="310" ht="15.75" customHeight="1">
      <c r="I310" s="117"/>
      <c r="K310" s="117"/>
      <c r="L310" s="118"/>
    </row>
    <row r="311" ht="15.75" customHeight="1">
      <c r="I311" s="117"/>
      <c r="K311" s="117"/>
      <c r="L311" s="118"/>
    </row>
    <row r="312" ht="15.75" customHeight="1">
      <c r="I312" s="117"/>
      <c r="K312" s="117"/>
      <c r="L312" s="118"/>
    </row>
    <row r="313" ht="15.75" customHeight="1">
      <c r="I313" s="117"/>
      <c r="K313" s="117"/>
      <c r="L313" s="118"/>
    </row>
    <row r="314" ht="15.75" customHeight="1">
      <c r="I314" s="117"/>
      <c r="K314" s="117"/>
      <c r="L314" s="118"/>
    </row>
    <row r="315" ht="15.75" customHeight="1">
      <c r="I315" s="117"/>
      <c r="K315" s="117"/>
      <c r="L315" s="118"/>
    </row>
    <row r="316" ht="15.75" customHeight="1">
      <c r="I316" s="117"/>
      <c r="K316" s="117"/>
      <c r="L316" s="118"/>
    </row>
    <row r="317" ht="15.75" customHeight="1">
      <c r="I317" s="117"/>
      <c r="K317" s="117"/>
      <c r="L317" s="118"/>
    </row>
    <row r="318" ht="15.75" customHeight="1">
      <c r="I318" s="117"/>
      <c r="K318" s="117"/>
      <c r="L318" s="118"/>
    </row>
    <row r="319" ht="15.75" customHeight="1">
      <c r="I319" s="117"/>
      <c r="K319" s="117"/>
      <c r="L319" s="118"/>
    </row>
    <row r="320" ht="15.75" customHeight="1">
      <c r="I320" s="117"/>
      <c r="K320" s="117"/>
      <c r="L320" s="118"/>
    </row>
    <row r="321" ht="15.75" customHeight="1">
      <c r="I321" s="117"/>
      <c r="K321" s="117"/>
      <c r="L321" s="118"/>
    </row>
    <row r="322" ht="15.75" customHeight="1">
      <c r="I322" s="117"/>
      <c r="K322" s="117"/>
      <c r="L322" s="118"/>
    </row>
    <row r="323" ht="15.75" customHeight="1">
      <c r="I323" s="117"/>
      <c r="K323" s="117"/>
      <c r="L323" s="118"/>
    </row>
    <row r="324" ht="15.75" customHeight="1">
      <c r="I324" s="117"/>
      <c r="K324" s="117"/>
      <c r="L324" s="118"/>
    </row>
    <row r="325" ht="15.75" customHeight="1">
      <c r="I325" s="117"/>
      <c r="K325" s="117"/>
      <c r="L325" s="118"/>
    </row>
    <row r="326" ht="15.75" customHeight="1">
      <c r="I326" s="117"/>
      <c r="K326" s="117"/>
      <c r="L326" s="118"/>
    </row>
    <row r="327" ht="15.75" customHeight="1">
      <c r="I327" s="117"/>
      <c r="K327" s="117"/>
      <c r="L327" s="118"/>
    </row>
    <row r="328" ht="15.75" customHeight="1">
      <c r="I328" s="117"/>
      <c r="K328" s="117"/>
      <c r="L328" s="118"/>
    </row>
    <row r="329" ht="15.75" customHeight="1">
      <c r="I329" s="117"/>
      <c r="K329" s="117"/>
      <c r="L329" s="118"/>
    </row>
    <row r="330" ht="15.75" customHeight="1">
      <c r="I330" s="117"/>
      <c r="K330" s="117"/>
      <c r="L330" s="118"/>
    </row>
    <row r="331" ht="15.75" customHeight="1">
      <c r="I331" s="117"/>
      <c r="K331" s="117"/>
      <c r="L331" s="118"/>
    </row>
    <row r="332" ht="15.75" customHeight="1">
      <c r="I332" s="117"/>
      <c r="K332" s="117"/>
      <c r="L332" s="118"/>
    </row>
    <row r="333" ht="15.75" customHeight="1">
      <c r="I333" s="117"/>
      <c r="K333" s="117"/>
      <c r="L333" s="118"/>
    </row>
    <row r="334" ht="15.75" customHeight="1">
      <c r="I334" s="117"/>
      <c r="K334" s="117"/>
      <c r="L334" s="118"/>
    </row>
    <row r="335" ht="15.75" customHeight="1">
      <c r="I335" s="117"/>
      <c r="K335" s="117"/>
      <c r="L335" s="118"/>
    </row>
    <row r="336" ht="15.75" customHeight="1">
      <c r="I336" s="117"/>
      <c r="K336" s="117"/>
      <c r="L336" s="118"/>
    </row>
    <row r="337" ht="15.75" customHeight="1">
      <c r="I337" s="117"/>
      <c r="K337" s="117"/>
      <c r="L337" s="118"/>
    </row>
    <row r="338" ht="15.75" customHeight="1">
      <c r="I338" s="117"/>
      <c r="K338" s="117"/>
      <c r="L338" s="118"/>
    </row>
    <row r="339" ht="15.75" customHeight="1">
      <c r="I339" s="117"/>
      <c r="K339" s="117"/>
      <c r="L339" s="118"/>
    </row>
    <row r="340" ht="15.75" customHeight="1">
      <c r="I340" s="117"/>
      <c r="K340" s="117"/>
      <c r="L340" s="118"/>
    </row>
    <row r="341" ht="15.75" customHeight="1">
      <c r="I341" s="117"/>
      <c r="K341" s="117"/>
      <c r="L341" s="118"/>
    </row>
    <row r="342" ht="15.75" customHeight="1">
      <c r="I342" s="117"/>
      <c r="K342" s="117"/>
      <c r="L342" s="118"/>
    </row>
    <row r="343" ht="15.75" customHeight="1">
      <c r="I343" s="117"/>
      <c r="K343" s="117"/>
      <c r="L343" s="118"/>
    </row>
    <row r="344" ht="15.75" customHeight="1">
      <c r="I344" s="117"/>
      <c r="K344" s="117"/>
      <c r="L344" s="118"/>
    </row>
    <row r="345" ht="15.75" customHeight="1">
      <c r="I345" s="117"/>
      <c r="K345" s="117"/>
      <c r="L345" s="118"/>
    </row>
    <row r="346" ht="15.75" customHeight="1">
      <c r="I346" s="117"/>
      <c r="K346" s="117"/>
      <c r="L346" s="118"/>
    </row>
    <row r="347" ht="15.75" customHeight="1">
      <c r="I347" s="117"/>
      <c r="K347" s="117"/>
      <c r="L347" s="118"/>
    </row>
    <row r="348" ht="15.75" customHeight="1">
      <c r="I348" s="117"/>
      <c r="K348" s="117"/>
      <c r="L348" s="118"/>
    </row>
    <row r="349" ht="15.75" customHeight="1">
      <c r="I349" s="117"/>
      <c r="K349" s="117"/>
      <c r="L349" s="118"/>
    </row>
    <row r="350" ht="15.75" customHeight="1">
      <c r="I350" s="117"/>
      <c r="K350" s="117"/>
      <c r="L350" s="118"/>
    </row>
    <row r="351" ht="15.75" customHeight="1">
      <c r="I351" s="117"/>
      <c r="K351" s="117"/>
      <c r="L351" s="118"/>
    </row>
    <row r="352" ht="15.75" customHeight="1">
      <c r="I352" s="117"/>
      <c r="K352" s="117"/>
      <c r="L352" s="118"/>
    </row>
    <row r="353" ht="15.75" customHeight="1">
      <c r="I353" s="117"/>
      <c r="K353" s="117"/>
      <c r="L353" s="118"/>
    </row>
    <row r="354" ht="15.75" customHeight="1">
      <c r="I354" s="117"/>
      <c r="K354" s="117"/>
      <c r="L354" s="118"/>
    </row>
    <row r="355" ht="15.75" customHeight="1">
      <c r="I355" s="117"/>
      <c r="K355" s="117"/>
      <c r="L355" s="118"/>
    </row>
    <row r="356" ht="15.75" customHeight="1">
      <c r="I356" s="117"/>
      <c r="K356" s="117"/>
      <c r="L356" s="118"/>
    </row>
    <row r="357" ht="15.75" customHeight="1">
      <c r="I357" s="117"/>
      <c r="K357" s="117"/>
      <c r="L357" s="118"/>
    </row>
    <row r="358" ht="15.75" customHeight="1">
      <c r="I358" s="117"/>
      <c r="K358" s="117"/>
      <c r="L358" s="118"/>
    </row>
    <row r="359" ht="15.75" customHeight="1">
      <c r="I359" s="117"/>
      <c r="K359" s="117"/>
      <c r="L359" s="118"/>
    </row>
    <row r="360" ht="15.75" customHeight="1">
      <c r="I360" s="117"/>
      <c r="K360" s="117"/>
      <c r="L360" s="118"/>
    </row>
    <row r="361" ht="15.75" customHeight="1">
      <c r="I361" s="117"/>
      <c r="K361" s="117"/>
      <c r="L361" s="118"/>
    </row>
    <row r="362" ht="15.75" customHeight="1">
      <c r="I362" s="117"/>
      <c r="K362" s="117"/>
      <c r="L362" s="118"/>
    </row>
    <row r="363" ht="15.75" customHeight="1">
      <c r="I363" s="117"/>
      <c r="K363" s="117"/>
      <c r="L363" s="118"/>
    </row>
    <row r="364" ht="15.75" customHeight="1">
      <c r="I364" s="117"/>
      <c r="K364" s="117"/>
      <c r="L364" s="118"/>
    </row>
    <row r="365" ht="15.75" customHeight="1">
      <c r="I365" s="117"/>
      <c r="K365" s="117"/>
      <c r="L365" s="118"/>
    </row>
    <row r="366" ht="15.75" customHeight="1">
      <c r="I366" s="117"/>
      <c r="K366" s="117"/>
      <c r="L366" s="118"/>
    </row>
    <row r="367" ht="15.75" customHeight="1">
      <c r="I367" s="117"/>
      <c r="K367" s="117"/>
      <c r="L367" s="118"/>
    </row>
    <row r="368" ht="15.75" customHeight="1">
      <c r="I368" s="117"/>
      <c r="K368" s="117"/>
      <c r="L368" s="118"/>
    </row>
    <row r="369" ht="15.75" customHeight="1">
      <c r="I369" s="117"/>
      <c r="K369" s="117"/>
      <c r="L369" s="118"/>
    </row>
    <row r="370" ht="15.75" customHeight="1">
      <c r="I370" s="117"/>
      <c r="K370" s="117"/>
      <c r="L370" s="118"/>
    </row>
    <row r="371" ht="15.75" customHeight="1">
      <c r="I371" s="117"/>
      <c r="K371" s="117"/>
      <c r="L371" s="118"/>
    </row>
    <row r="372" ht="15.75" customHeight="1">
      <c r="I372" s="117"/>
      <c r="K372" s="117"/>
      <c r="L372" s="118"/>
    </row>
    <row r="373" ht="15.75" customHeight="1">
      <c r="I373" s="117"/>
      <c r="K373" s="117"/>
      <c r="L373" s="118"/>
    </row>
    <row r="374" ht="15.75" customHeight="1">
      <c r="I374" s="117"/>
      <c r="K374" s="117"/>
      <c r="L374" s="118"/>
    </row>
    <row r="375" ht="15.75" customHeight="1">
      <c r="I375" s="117"/>
      <c r="K375" s="117"/>
      <c r="L375" s="118"/>
    </row>
    <row r="376" ht="15.75" customHeight="1">
      <c r="I376" s="117"/>
      <c r="K376" s="117"/>
      <c r="L376" s="118"/>
    </row>
    <row r="377" ht="15.75" customHeight="1">
      <c r="I377" s="117"/>
      <c r="K377" s="117"/>
      <c r="L377" s="118"/>
    </row>
    <row r="378" ht="15.75" customHeight="1">
      <c r="I378" s="117"/>
      <c r="K378" s="117"/>
      <c r="L378" s="118"/>
    </row>
    <row r="379" ht="15.75" customHeight="1">
      <c r="I379" s="117"/>
      <c r="K379" s="117"/>
      <c r="L379" s="118"/>
    </row>
    <row r="380" ht="15.75" customHeight="1">
      <c r="I380" s="117"/>
      <c r="K380" s="117"/>
      <c r="L380" s="118"/>
    </row>
    <row r="381" ht="15.75" customHeight="1">
      <c r="I381" s="117"/>
      <c r="K381" s="117"/>
      <c r="L381" s="118"/>
    </row>
    <row r="382" ht="15.75" customHeight="1">
      <c r="I382" s="117"/>
      <c r="K382" s="117"/>
      <c r="L382" s="118"/>
    </row>
    <row r="383" ht="15.75" customHeight="1">
      <c r="I383" s="117"/>
      <c r="K383" s="117"/>
      <c r="L383" s="118"/>
    </row>
    <row r="384" ht="15.75" customHeight="1">
      <c r="I384" s="117"/>
      <c r="K384" s="117"/>
      <c r="L384" s="118"/>
    </row>
    <row r="385" ht="15.75" customHeight="1">
      <c r="I385" s="117"/>
      <c r="K385" s="117"/>
      <c r="L385" s="118"/>
    </row>
    <row r="386" ht="15.75" customHeight="1">
      <c r="I386" s="117"/>
      <c r="K386" s="117"/>
      <c r="L386" s="118"/>
    </row>
    <row r="387" ht="15.75" customHeight="1">
      <c r="I387" s="117"/>
      <c r="K387" s="117"/>
      <c r="L387" s="118"/>
    </row>
    <row r="388" ht="15.75" customHeight="1">
      <c r="I388" s="117"/>
      <c r="K388" s="117"/>
      <c r="L388" s="118"/>
    </row>
    <row r="389" ht="15.75" customHeight="1">
      <c r="I389" s="117"/>
      <c r="K389" s="117"/>
      <c r="L389" s="118"/>
    </row>
    <row r="390" ht="15.75" customHeight="1">
      <c r="I390" s="117"/>
      <c r="K390" s="117"/>
      <c r="L390" s="118"/>
    </row>
    <row r="391" ht="15.75" customHeight="1">
      <c r="I391" s="117"/>
      <c r="K391" s="117"/>
      <c r="L391" s="118"/>
    </row>
    <row r="392" ht="15.75" customHeight="1">
      <c r="I392" s="117"/>
      <c r="K392" s="117"/>
      <c r="L392" s="118"/>
    </row>
    <row r="393" ht="15.75" customHeight="1">
      <c r="I393" s="117"/>
      <c r="K393" s="117"/>
      <c r="L393" s="118"/>
    </row>
    <row r="394" ht="15.75" customHeight="1">
      <c r="I394" s="117"/>
      <c r="K394" s="117"/>
      <c r="L394" s="118"/>
    </row>
    <row r="395" ht="15.75" customHeight="1">
      <c r="I395" s="117"/>
      <c r="K395" s="117"/>
      <c r="L395" s="118"/>
    </row>
    <row r="396" ht="15.75" customHeight="1">
      <c r="I396" s="117"/>
      <c r="K396" s="117"/>
      <c r="L396" s="118"/>
    </row>
    <row r="397" ht="15.75" customHeight="1">
      <c r="I397" s="117"/>
      <c r="K397" s="117"/>
      <c r="L397" s="118"/>
    </row>
    <row r="398" ht="15.75" customHeight="1">
      <c r="I398" s="117"/>
      <c r="K398" s="117"/>
      <c r="L398" s="118"/>
    </row>
    <row r="399" ht="15.75" customHeight="1">
      <c r="I399" s="117"/>
      <c r="K399" s="117"/>
      <c r="L399" s="118"/>
    </row>
    <row r="400" ht="15.75" customHeight="1">
      <c r="I400" s="117"/>
      <c r="K400" s="117"/>
      <c r="L400" s="118"/>
    </row>
    <row r="401" ht="15.75" customHeight="1">
      <c r="I401" s="117"/>
      <c r="K401" s="117"/>
      <c r="L401" s="118"/>
    </row>
    <row r="402" ht="15.75" customHeight="1">
      <c r="I402" s="117"/>
      <c r="K402" s="117"/>
      <c r="L402" s="118"/>
    </row>
    <row r="403" ht="15.75" customHeight="1">
      <c r="I403" s="117"/>
      <c r="K403" s="117"/>
      <c r="L403" s="118"/>
    </row>
    <row r="404" ht="15.75" customHeight="1">
      <c r="I404" s="117"/>
      <c r="K404" s="117"/>
      <c r="L404" s="118"/>
    </row>
    <row r="405" ht="15.75" customHeight="1">
      <c r="I405" s="117"/>
      <c r="K405" s="117"/>
      <c r="L405" s="118"/>
    </row>
    <row r="406" ht="15.75" customHeight="1">
      <c r="I406" s="117"/>
      <c r="K406" s="117"/>
      <c r="L406" s="118"/>
    </row>
    <row r="407" ht="15.75" customHeight="1">
      <c r="I407" s="117"/>
      <c r="K407" s="117"/>
      <c r="L407" s="118"/>
    </row>
    <row r="408" ht="15.75" customHeight="1">
      <c r="I408" s="117"/>
      <c r="K408" s="117"/>
      <c r="L408" s="118"/>
    </row>
    <row r="409" ht="15.75" customHeight="1">
      <c r="I409" s="117"/>
      <c r="K409" s="117"/>
      <c r="L409" s="118"/>
    </row>
    <row r="410" ht="15.75" customHeight="1">
      <c r="I410" s="117"/>
      <c r="K410" s="117"/>
      <c r="L410" s="118"/>
    </row>
    <row r="411" ht="15.75" customHeight="1">
      <c r="I411" s="117"/>
      <c r="K411" s="117"/>
      <c r="L411" s="118"/>
    </row>
    <row r="412" ht="15.75" customHeight="1">
      <c r="I412" s="117"/>
      <c r="K412" s="117"/>
      <c r="L412" s="118"/>
    </row>
    <row r="413" ht="15.75" customHeight="1">
      <c r="I413" s="117"/>
      <c r="K413" s="117"/>
      <c r="L413" s="118"/>
    </row>
    <row r="414" ht="15.75" customHeight="1">
      <c r="I414" s="117"/>
      <c r="K414" s="117"/>
      <c r="L414" s="118"/>
    </row>
    <row r="415" ht="15.75" customHeight="1">
      <c r="I415" s="117"/>
      <c r="K415" s="117"/>
      <c r="L415" s="118"/>
    </row>
    <row r="416" ht="15.75" customHeight="1">
      <c r="I416" s="117"/>
      <c r="K416" s="117"/>
      <c r="L416" s="118"/>
    </row>
    <row r="417" ht="15.75" customHeight="1">
      <c r="I417" s="117"/>
      <c r="K417" s="117"/>
      <c r="L417" s="118"/>
    </row>
    <row r="418" ht="15.75" customHeight="1">
      <c r="I418" s="117"/>
      <c r="K418" s="117"/>
      <c r="L418" s="118"/>
    </row>
    <row r="419" ht="15.75" customHeight="1">
      <c r="I419" s="117"/>
      <c r="K419" s="117"/>
      <c r="L419" s="118"/>
    </row>
    <row r="420" ht="15.75" customHeight="1">
      <c r="I420" s="117"/>
      <c r="K420" s="117"/>
      <c r="L420" s="118"/>
    </row>
    <row r="421" ht="15.75" customHeight="1">
      <c r="I421" s="117"/>
      <c r="K421" s="117"/>
      <c r="L421" s="118"/>
    </row>
    <row r="422" ht="15.75" customHeight="1">
      <c r="I422" s="117"/>
      <c r="K422" s="117"/>
      <c r="L422" s="118"/>
    </row>
    <row r="423" ht="15.75" customHeight="1">
      <c r="I423" s="117"/>
      <c r="K423" s="117"/>
      <c r="L423" s="118"/>
    </row>
    <row r="424" ht="15.75" customHeight="1">
      <c r="I424" s="117"/>
      <c r="K424" s="117"/>
      <c r="L424" s="118"/>
    </row>
    <row r="425" ht="15.75" customHeight="1">
      <c r="I425" s="117"/>
      <c r="K425" s="117"/>
      <c r="L425" s="118"/>
    </row>
    <row r="426" ht="15.75" customHeight="1">
      <c r="I426" s="117"/>
      <c r="K426" s="117"/>
      <c r="L426" s="118"/>
    </row>
    <row r="427" ht="15.75" customHeight="1">
      <c r="I427" s="117"/>
      <c r="K427" s="117"/>
      <c r="L427" s="118"/>
    </row>
    <row r="428" ht="15.75" customHeight="1">
      <c r="I428" s="117"/>
      <c r="K428" s="117"/>
      <c r="L428" s="118"/>
    </row>
    <row r="429" ht="15.75" customHeight="1">
      <c r="I429" s="117"/>
      <c r="K429" s="117"/>
      <c r="L429" s="118"/>
    </row>
    <row r="430" ht="15.75" customHeight="1">
      <c r="I430" s="117"/>
      <c r="K430" s="117"/>
      <c r="L430" s="118"/>
    </row>
    <row r="431" ht="15.75" customHeight="1">
      <c r="I431" s="117"/>
      <c r="K431" s="117"/>
      <c r="L431" s="118"/>
    </row>
    <row r="432" ht="15.75" customHeight="1">
      <c r="I432" s="117"/>
      <c r="K432" s="117"/>
      <c r="L432" s="118"/>
    </row>
    <row r="433" ht="15.75" customHeight="1">
      <c r="I433" s="117"/>
      <c r="K433" s="117"/>
      <c r="L433" s="118"/>
    </row>
    <row r="434" ht="15.75" customHeight="1">
      <c r="I434" s="117"/>
      <c r="K434" s="117"/>
      <c r="L434" s="118"/>
    </row>
    <row r="435" ht="15.75" customHeight="1">
      <c r="I435" s="117"/>
      <c r="K435" s="117"/>
      <c r="L435" s="118"/>
    </row>
    <row r="436" ht="15.75" customHeight="1">
      <c r="I436" s="117"/>
      <c r="K436" s="117"/>
      <c r="L436" s="118"/>
    </row>
    <row r="437" ht="15.75" customHeight="1">
      <c r="I437" s="117"/>
      <c r="K437" s="117"/>
      <c r="L437" s="118"/>
    </row>
    <row r="438" ht="15.75" customHeight="1">
      <c r="I438" s="117"/>
      <c r="K438" s="117"/>
      <c r="L438" s="118"/>
    </row>
    <row r="439" ht="15.75" customHeight="1">
      <c r="I439" s="117"/>
      <c r="K439" s="117"/>
      <c r="L439" s="118"/>
    </row>
    <row r="440" ht="15.75" customHeight="1">
      <c r="I440" s="117"/>
      <c r="K440" s="117"/>
      <c r="L440" s="118"/>
    </row>
    <row r="441" ht="15.75" customHeight="1">
      <c r="I441" s="117"/>
      <c r="K441" s="117"/>
      <c r="L441" s="118"/>
    </row>
    <row r="442" ht="15.75" customHeight="1">
      <c r="I442" s="117"/>
      <c r="K442" s="117"/>
      <c r="L442" s="118"/>
    </row>
    <row r="443" ht="15.75" customHeight="1">
      <c r="I443" s="117"/>
      <c r="K443" s="117"/>
      <c r="L443" s="118"/>
    </row>
    <row r="444" ht="15.75" customHeight="1">
      <c r="I444" s="117"/>
      <c r="K444" s="117"/>
      <c r="L444" s="118"/>
    </row>
    <row r="445" ht="15.75" customHeight="1">
      <c r="I445" s="117"/>
      <c r="K445" s="117"/>
      <c r="L445" s="118"/>
    </row>
    <row r="446" ht="15.75" customHeight="1">
      <c r="I446" s="117"/>
      <c r="K446" s="117"/>
      <c r="L446" s="118"/>
    </row>
    <row r="447" ht="15.75" customHeight="1">
      <c r="I447" s="117"/>
      <c r="K447" s="117"/>
      <c r="L447" s="118"/>
    </row>
    <row r="448" ht="15.75" customHeight="1">
      <c r="I448" s="117"/>
      <c r="K448" s="117"/>
      <c r="L448" s="118"/>
    </row>
    <row r="449" ht="15.75" customHeight="1">
      <c r="I449" s="117"/>
      <c r="K449" s="117"/>
      <c r="L449" s="118"/>
    </row>
    <row r="450" ht="15.75" customHeight="1">
      <c r="I450" s="117"/>
      <c r="K450" s="117"/>
      <c r="L450" s="118"/>
    </row>
    <row r="451" ht="15.75" customHeight="1">
      <c r="I451" s="117"/>
      <c r="K451" s="117"/>
      <c r="L451" s="118"/>
    </row>
    <row r="452" ht="15.75" customHeight="1">
      <c r="I452" s="117"/>
      <c r="K452" s="117"/>
      <c r="L452" s="118"/>
    </row>
    <row r="453" ht="15.75" customHeight="1">
      <c r="I453" s="117"/>
      <c r="K453" s="117"/>
      <c r="L453" s="118"/>
    </row>
    <row r="454" ht="15.75" customHeight="1">
      <c r="I454" s="117"/>
      <c r="K454" s="117"/>
      <c r="L454" s="118"/>
    </row>
    <row r="455" ht="15.75" customHeight="1">
      <c r="I455" s="117"/>
      <c r="K455" s="117"/>
      <c r="L455" s="118"/>
    </row>
    <row r="456" ht="15.75" customHeight="1">
      <c r="I456" s="117"/>
      <c r="K456" s="117"/>
      <c r="L456" s="118"/>
    </row>
    <row r="457" ht="15.75" customHeight="1">
      <c r="I457" s="117"/>
      <c r="K457" s="117"/>
      <c r="L457" s="118"/>
    </row>
    <row r="458" ht="15.75" customHeight="1">
      <c r="I458" s="117"/>
      <c r="K458" s="117"/>
      <c r="L458" s="118"/>
    </row>
    <row r="459" ht="15.75" customHeight="1">
      <c r="I459" s="117"/>
      <c r="K459" s="117"/>
      <c r="L459" s="118"/>
    </row>
    <row r="460" ht="15.75" customHeight="1">
      <c r="I460" s="117"/>
      <c r="K460" s="117"/>
      <c r="L460" s="118"/>
    </row>
    <row r="461" ht="15.75" customHeight="1">
      <c r="I461" s="117"/>
      <c r="K461" s="117"/>
      <c r="L461" s="118"/>
    </row>
    <row r="462" ht="15.75" customHeight="1">
      <c r="I462" s="117"/>
      <c r="K462" s="117"/>
      <c r="L462" s="118"/>
    </row>
    <row r="463" ht="15.75" customHeight="1">
      <c r="I463" s="117"/>
      <c r="K463" s="117"/>
      <c r="L463" s="118"/>
    </row>
    <row r="464" ht="15.75" customHeight="1">
      <c r="I464" s="117"/>
      <c r="K464" s="117"/>
      <c r="L464" s="118"/>
    </row>
    <row r="465" ht="15.75" customHeight="1">
      <c r="I465" s="117"/>
      <c r="K465" s="117"/>
      <c r="L465" s="118"/>
    </row>
    <row r="466" ht="15.75" customHeight="1">
      <c r="I466" s="117"/>
      <c r="K466" s="117"/>
      <c r="L466" s="118"/>
    </row>
    <row r="467" ht="15.75" customHeight="1">
      <c r="I467" s="117"/>
      <c r="K467" s="117"/>
      <c r="L467" s="118"/>
    </row>
    <row r="468" ht="15.75" customHeight="1">
      <c r="I468" s="117"/>
      <c r="K468" s="117"/>
      <c r="L468" s="118"/>
    </row>
    <row r="469" ht="15.75" customHeight="1">
      <c r="I469" s="117"/>
      <c r="K469" s="117"/>
      <c r="L469" s="118"/>
    </row>
    <row r="470" ht="15.75" customHeight="1">
      <c r="I470" s="117"/>
      <c r="K470" s="117"/>
      <c r="L470" s="118"/>
    </row>
    <row r="471" ht="15.75" customHeight="1">
      <c r="I471" s="117"/>
      <c r="K471" s="117"/>
      <c r="L471" s="118"/>
    </row>
    <row r="472" ht="15.75" customHeight="1">
      <c r="I472" s="117"/>
      <c r="K472" s="117"/>
      <c r="L472" s="118"/>
    </row>
    <row r="473" ht="15.75" customHeight="1">
      <c r="I473" s="117"/>
      <c r="K473" s="117"/>
      <c r="L473" s="118"/>
    </row>
    <row r="474" ht="15.75" customHeight="1">
      <c r="I474" s="117"/>
      <c r="K474" s="117"/>
      <c r="L474" s="118"/>
    </row>
    <row r="475" ht="15.75" customHeight="1">
      <c r="I475" s="117"/>
      <c r="K475" s="117"/>
      <c r="L475" s="118"/>
    </row>
    <row r="476" ht="15.75" customHeight="1">
      <c r="I476" s="117"/>
      <c r="K476" s="117"/>
      <c r="L476" s="118"/>
    </row>
    <row r="477" ht="15.75" customHeight="1">
      <c r="I477" s="117"/>
      <c r="K477" s="117"/>
      <c r="L477" s="118"/>
    </row>
    <row r="478" ht="15.75" customHeight="1">
      <c r="I478" s="117"/>
      <c r="K478" s="117"/>
      <c r="L478" s="118"/>
    </row>
    <row r="479" ht="15.75" customHeight="1">
      <c r="I479" s="117"/>
      <c r="K479" s="117"/>
      <c r="L479" s="118"/>
    </row>
    <row r="480" ht="15.75" customHeight="1">
      <c r="I480" s="117"/>
      <c r="K480" s="117"/>
      <c r="L480" s="118"/>
    </row>
    <row r="481" ht="15.75" customHeight="1">
      <c r="I481" s="117"/>
      <c r="K481" s="117"/>
      <c r="L481" s="118"/>
    </row>
    <row r="482" ht="15.75" customHeight="1">
      <c r="I482" s="117"/>
      <c r="K482" s="117"/>
      <c r="L482" s="118"/>
    </row>
    <row r="483" ht="15.75" customHeight="1">
      <c r="I483" s="117"/>
      <c r="K483" s="117"/>
      <c r="L483" s="118"/>
    </row>
    <row r="484" ht="15.75" customHeight="1">
      <c r="I484" s="117"/>
      <c r="K484" s="117"/>
      <c r="L484" s="118"/>
    </row>
    <row r="485" ht="15.75" customHeight="1">
      <c r="I485" s="117"/>
      <c r="K485" s="117"/>
      <c r="L485" s="118"/>
    </row>
    <row r="486" ht="15.75" customHeight="1">
      <c r="I486" s="117"/>
      <c r="K486" s="117"/>
      <c r="L486" s="118"/>
    </row>
    <row r="487" ht="15.75" customHeight="1">
      <c r="I487" s="117"/>
      <c r="K487" s="117"/>
      <c r="L487" s="118"/>
    </row>
    <row r="488" ht="15.75" customHeight="1">
      <c r="I488" s="117"/>
      <c r="K488" s="117"/>
      <c r="L488" s="118"/>
    </row>
    <row r="489" ht="15.75" customHeight="1">
      <c r="I489" s="117"/>
      <c r="K489" s="117"/>
      <c r="L489" s="118"/>
    </row>
    <row r="490" ht="15.75" customHeight="1">
      <c r="I490" s="117"/>
      <c r="K490" s="117"/>
      <c r="L490" s="118"/>
    </row>
    <row r="491" ht="15.75" customHeight="1">
      <c r="I491" s="117"/>
      <c r="K491" s="117"/>
      <c r="L491" s="118"/>
    </row>
    <row r="492" ht="15.75" customHeight="1">
      <c r="I492" s="117"/>
      <c r="K492" s="117"/>
      <c r="L492" s="118"/>
    </row>
    <row r="493" ht="15.75" customHeight="1">
      <c r="I493" s="117"/>
      <c r="K493" s="117"/>
      <c r="L493" s="118"/>
    </row>
    <row r="494" ht="15.75" customHeight="1">
      <c r="I494" s="117"/>
      <c r="K494" s="117"/>
      <c r="L494" s="118"/>
    </row>
    <row r="495" ht="15.75" customHeight="1">
      <c r="I495" s="117"/>
      <c r="K495" s="117"/>
      <c r="L495" s="118"/>
    </row>
    <row r="496" ht="15.75" customHeight="1">
      <c r="I496" s="117"/>
      <c r="K496" s="117"/>
      <c r="L496" s="118"/>
    </row>
    <row r="497" ht="15.75" customHeight="1">
      <c r="I497" s="117"/>
      <c r="K497" s="117"/>
      <c r="L497" s="118"/>
    </row>
    <row r="498" ht="15.75" customHeight="1">
      <c r="I498" s="117"/>
      <c r="K498" s="117"/>
      <c r="L498" s="118"/>
    </row>
    <row r="499" ht="15.75" customHeight="1">
      <c r="I499" s="117"/>
      <c r="K499" s="117"/>
      <c r="L499" s="118"/>
    </row>
    <row r="500" ht="15.75" customHeight="1">
      <c r="I500" s="117"/>
      <c r="K500" s="117"/>
      <c r="L500" s="118"/>
    </row>
    <row r="501" ht="15.75" customHeight="1">
      <c r="I501" s="117"/>
      <c r="K501" s="117"/>
      <c r="L501" s="118"/>
    </row>
    <row r="502" ht="15.75" customHeight="1">
      <c r="I502" s="117"/>
      <c r="K502" s="117"/>
      <c r="L502" s="118"/>
    </row>
    <row r="503" ht="15.75" customHeight="1">
      <c r="I503" s="117"/>
      <c r="K503" s="117"/>
      <c r="L503" s="118"/>
    </row>
    <row r="504" ht="15.75" customHeight="1">
      <c r="I504" s="117"/>
      <c r="K504" s="117"/>
      <c r="L504" s="118"/>
    </row>
    <row r="505" ht="15.75" customHeight="1">
      <c r="I505" s="117"/>
      <c r="K505" s="117"/>
      <c r="L505" s="118"/>
    </row>
    <row r="506" ht="15.75" customHeight="1">
      <c r="I506" s="117"/>
      <c r="K506" s="117"/>
      <c r="L506" s="118"/>
    </row>
    <row r="507" ht="15.75" customHeight="1">
      <c r="I507" s="117"/>
      <c r="K507" s="117"/>
      <c r="L507" s="118"/>
    </row>
    <row r="508" ht="15.75" customHeight="1">
      <c r="I508" s="117"/>
      <c r="K508" s="117"/>
      <c r="L508" s="118"/>
    </row>
    <row r="509" ht="15.75" customHeight="1">
      <c r="I509" s="117"/>
      <c r="K509" s="117"/>
      <c r="L509" s="118"/>
    </row>
    <row r="510" ht="15.75" customHeight="1">
      <c r="I510" s="117"/>
      <c r="K510" s="117"/>
      <c r="L510" s="118"/>
    </row>
    <row r="511" ht="15.75" customHeight="1">
      <c r="I511" s="117"/>
      <c r="K511" s="117"/>
      <c r="L511" s="118"/>
    </row>
    <row r="512" ht="15.75" customHeight="1">
      <c r="I512" s="117"/>
      <c r="K512" s="117"/>
      <c r="L512" s="118"/>
    </row>
    <row r="513" ht="15.75" customHeight="1">
      <c r="I513" s="117"/>
      <c r="K513" s="117"/>
      <c r="L513" s="118"/>
    </row>
    <row r="514" ht="15.75" customHeight="1">
      <c r="I514" s="117"/>
      <c r="K514" s="117"/>
      <c r="L514" s="118"/>
    </row>
    <row r="515" ht="15.75" customHeight="1">
      <c r="I515" s="117"/>
      <c r="K515" s="117"/>
      <c r="L515" s="118"/>
    </row>
    <row r="516" ht="15.75" customHeight="1">
      <c r="I516" s="117"/>
      <c r="K516" s="117"/>
      <c r="L516" s="118"/>
    </row>
    <row r="517" ht="15.75" customHeight="1">
      <c r="I517" s="117"/>
      <c r="K517" s="117"/>
      <c r="L517" s="118"/>
    </row>
    <row r="518" ht="15.75" customHeight="1">
      <c r="I518" s="117"/>
      <c r="K518" s="117"/>
      <c r="L518" s="118"/>
    </row>
    <row r="519" ht="15.75" customHeight="1">
      <c r="I519" s="117"/>
      <c r="K519" s="117"/>
      <c r="L519" s="118"/>
    </row>
    <row r="520" ht="15.75" customHeight="1">
      <c r="I520" s="117"/>
      <c r="K520" s="117"/>
      <c r="L520" s="118"/>
    </row>
    <row r="521" ht="15.75" customHeight="1">
      <c r="I521" s="117"/>
      <c r="K521" s="117"/>
      <c r="L521" s="118"/>
    </row>
    <row r="522" ht="15.75" customHeight="1">
      <c r="I522" s="117"/>
      <c r="K522" s="117"/>
      <c r="L522" s="118"/>
    </row>
    <row r="523" ht="15.75" customHeight="1">
      <c r="I523" s="117"/>
      <c r="K523" s="117"/>
      <c r="L523" s="118"/>
    </row>
    <row r="524" ht="15.75" customHeight="1">
      <c r="I524" s="117"/>
      <c r="K524" s="117"/>
      <c r="L524" s="118"/>
    </row>
    <row r="525" ht="15.75" customHeight="1">
      <c r="I525" s="117"/>
      <c r="K525" s="117"/>
      <c r="L525" s="118"/>
    </row>
    <row r="526" ht="15.75" customHeight="1">
      <c r="I526" s="117"/>
      <c r="K526" s="117"/>
      <c r="L526" s="118"/>
    </row>
    <row r="527" ht="15.75" customHeight="1">
      <c r="I527" s="117"/>
      <c r="K527" s="117"/>
      <c r="L527" s="118"/>
    </row>
    <row r="528" ht="15.75" customHeight="1">
      <c r="I528" s="117"/>
      <c r="K528" s="117"/>
      <c r="L528" s="118"/>
    </row>
    <row r="529" ht="15.75" customHeight="1">
      <c r="I529" s="117"/>
      <c r="K529" s="117"/>
      <c r="L529" s="118"/>
    </row>
    <row r="530" ht="15.75" customHeight="1">
      <c r="I530" s="117"/>
      <c r="K530" s="117"/>
      <c r="L530" s="118"/>
    </row>
    <row r="531" ht="15.75" customHeight="1">
      <c r="I531" s="117"/>
      <c r="K531" s="117"/>
      <c r="L531" s="118"/>
    </row>
    <row r="532" ht="15.75" customHeight="1">
      <c r="I532" s="117"/>
      <c r="K532" s="117"/>
      <c r="L532" s="118"/>
    </row>
    <row r="533" ht="15.75" customHeight="1">
      <c r="I533" s="117"/>
      <c r="K533" s="117"/>
      <c r="L533" s="118"/>
    </row>
    <row r="534" ht="15.75" customHeight="1">
      <c r="I534" s="117"/>
      <c r="K534" s="117"/>
      <c r="L534" s="118"/>
    </row>
    <row r="535" ht="15.75" customHeight="1">
      <c r="I535" s="117"/>
      <c r="K535" s="117"/>
      <c r="L535" s="118"/>
    </row>
    <row r="536" ht="15.75" customHeight="1">
      <c r="I536" s="117"/>
      <c r="K536" s="117"/>
      <c r="L536" s="118"/>
    </row>
    <row r="537" ht="15.75" customHeight="1">
      <c r="I537" s="117"/>
      <c r="K537" s="117"/>
      <c r="L537" s="118"/>
    </row>
    <row r="538" ht="15.75" customHeight="1">
      <c r="I538" s="117"/>
      <c r="K538" s="117"/>
      <c r="L538" s="118"/>
    </row>
    <row r="539" ht="15.75" customHeight="1">
      <c r="I539" s="117"/>
      <c r="K539" s="117"/>
      <c r="L539" s="118"/>
    </row>
    <row r="540" ht="15.75" customHeight="1">
      <c r="I540" s="117"/>
      <c r="K540" s="117"/>
      <c r="L540" s="118"/>
    </row>
    <row r="541" ht="15.75" customHeight="1">
      <c r="I541" s="117"/>
      <c r="K541" s="117"/>
      <c r="L541" s="118"/>
    </row>
    <row r="542" ht="15.75" customHeight="1">
      <c r="I542" s="117"/>
      <c r="K542" s="117"/>
      <c r="L542" s="118"/>
    </row>
    <row r="543" ht="15.75" customHeight="1">
      <c r="I543" s="117"/>
      <c r="K543" s="117"/>
      <c r="L543" s="118"/>
    </row>
    <row r="544" ht="15.75" customHeight="1">
      <c r="I544" s="117"/>
      <c r="K544" s="117"/>
      <c r="L544" s="118"/>
    </row>
    <row r="545" ht="15.75" customHeight="1">
      <c r="I545" s="117"/>
      <c r="K545" s="117"/>
      <c r="L545" s="118"/>
    </row>
    <row r="546" ht="15.75" customHeight="1">
      <c r="I546" s="117"/>
      <c r="K546" s="117"/>
      <c r="L546" s="118"/>
    </row>
    <row r="547" ht="15.75" customHeight="1">
      <c r="I547" s="117"/>
      <c r="K547" s="117"/>
      <c r="L547" s="118"/>
    </row>
    <row r="548" ht="15.75" customHeight="1">
      <c r="I548" s="117"/>
      <c r="K548" s="117"/>
      <c r="L548" s="118"/>
    </row>
    <row r="549" ht="15.75" customHeight="1">
      <c r="I549" s="117"/>
      <c r="K549" s="117"/>
      <c r="L549" s="118"/>
    </row>
    <row r="550" ht="15.75" customHeight="1">
      <c r="I550" s="117"/>
      <c r="K550" s="117"/>
      <c r="L550" s="118"/>
    </row>
    <row r="551" ht="15.75" customHeight="1">
      <c r="I551" s="117"/>
      <c r="K551" s="117"/>
      <c r="L551" s="118"/>
    </row>
    <row r="552" ht="15.75" customHeight="1">
      <c r="I552" s="117"/>
      <c r="K552" s="117"/>
      <c r="L552" s="118"/>
    </row>
    <row r="553" ht="15.75" customHeight="1">
      <c r="I553" s="117"/>
      <c r="K553" s="117"/>
      <c r="L553" s="118"/>
    </row>
    <row r="554" ht="15.75" customHeight="1">
      <c r="I554" s="117"/>
      <c r="K554" s="117"/>
      <c r="L554" s="118"/>
    </row>
    <row r="555" ht="15.75" customHeight="1">
      <c r="I555" s="117"/>
      <c r="K555" s="117"/>
      <c r="L555" s="118"/>
    </row>
    <row r="556" ht="15.75" customHeight="1">
      <c r="I556" s="117"/>
      <c r="K556" s="117"/>
      <c r="L556" s="118"/>
    </row>
    <row r="557" ht="15.75" customHeight="1">
      <c r="I557" s="117"/>
      <c r="K557" s="117"/>
      <c r="L557" s="118"/>
    </row>
    <row r="558" ht="15.75" customHeight="1">
      <c r="I558" s="117"/>
      <c r="K558" s="117"/>
      <c r="L558" s="118"/>
    </row>
    <row r="559" ht="15.75" customHeight="1">
      <c r="I559" s="117"/>
      <c r="K559" s="117"/>
      <c r="L559" s="118"/>
    </row>
    <row r="560" ht="15.75" customHeight="1">
      <c r="I560" s="117"/>
      <c r="K560" s="117"/>
      <c r="L560" s="118"/>
    </row>
    <row r="561" ht="15.75" customHeight="1">
      <c r="I561" s="117"/>
      <c r="K561" s="117"/>
      <c r="L561" s="118"/>
    </row>
    <row r="562" ht="15.75" customHeight="1">
      <c r="I562" s="117"/>
      <c r="K562" s="117"/>
      <c r="L562" s="118"/>
    </row>
    <row r="563" ht="15.75" customHeight="1">
      <c r="I563" s="117"/>
      <c r="K563" s="117"/>
      <c r="L563" s="118"/>
    </row>
    <row r="564" ht="15.75" customHeight="1">
      <c r="I564" s="117"/>
      <c r="K564" s="117"/>
      <c r="L564" s="118"/>
    </row>
    <row r="565" ht="15.75" customHeight="1">
      <c r="I565" s="117"/>
      <c r="K565" s="117"/>
      <c r="L565" s="118"/>
    </row>
    <row r="566" ht="15.75" customHeight="1">
      <c r="I566" s="117"/>
      <c r="K566" s="117"/>
      <c r="L566" s="118"/>
    </row>
    <row r="567" ht="15.75" customHeight="1">
      <c r="I567" s="117"/>
      <c r="K567" s="117"/>
      <c r="L567" s="118"/>
    </row>
    <row r="568" ht="15.75" customHeight="1">
      <c r="I568" s="117"/>
      <c r="K568" s="117"/>
      <c r="L568" s="118"/>
    </row>
    <row r="569" ht="15.75" customHeight="1">
      <c r="I569" s="117"/>
      <c r="K569" s="117"/>
      <c r="L569" s="118"/>
    </row>
    <row r="570" ht="15.75" customHeight="1">
      <c r="I570" s="117"/>
      <c r="K570" s="117"/>
      <c r="L570" s="118"/>
    </row>
    <row r="571" ht="15.75" customHeight="1">
      <c r="I571" s="117"/>
      <c r="K571" s="117"/>
      <c r="L571" s="118"/>
    </row>
    <row r="572" ht="15.75" customHeight="1">
      <c r="I572" s="117"/>
      <c r="K572" s="117"/>
      <c r="L572" s="118"/>
    </row>
    <row r="573" ht="15.75" customHeight="1">
      <c r="I573" s="117"/>
      <c r="K573" s="117"/>
      <c r="L573" s="118"/>
    </row>
    <row r="574" ht="15.75" customHeight="1">
      <c r="I574" s="117"/>
      <c r="K574" s="117"/>
      <c r="L574" s="118"/>
    </row>
    <row r="575" ht="15.75" customHeight="1">
      <c r="I575" s="117"/>
      <c r="K575" s="117"/>
      <c r="L575" s="118"/>
    </row>
    <row r="576" ht="15.75" customHeight="1">
      <c r="I576" s="117"/>
      <c r="K576" s="117"/>
      <c r="L576" s="118"/>
    </row>
    <row r="577" ht="15.75" customHeight="1">
      <c r="I577" s="117"/>
      <c r="K577" s="117"/>
      <c r="L577" s="118"/>
    </row>
    <row r="578" ht="15.75" customHeight="1">
      <c r="I578" s="117"/>
      <c r="K578" s="117"/>
      <c r="L578" s="118"/>
    </row>
    <row r="579" ht="15.75" customHeight="1">
      <c r="I579" s="117"/>
      <c r="K579" s="117"/>
      <c r="L579" s="118"/>
    </row>
    <row r="580" ht="15.75" customHeight="1">
      <c r="I580" s="117"/>
      <c r="K580" s="117"/>
      <c r="L580" s="118"/>
    </row>
    <row r="581" ht="15.75" customHeight="1">
      <c r="I581" s="117"/>
      <c r="K581" s="117"/>
      <c r="L581" s="118"/>
    </row>
    <row r="582" ht="15.75" customHeight="1">
      <c r="I582" s="117"/>
      <c r="K582" s="117"/>
      <c r="L582" s="118"/>
    </row>
    <row r="583" ht="15.75" customHeight="1">
      <c r="I583" s="117"/>
      <c r="K583" s="117"/>
      <c r="L583" s="118"/>
    </row>
    <row r="584" ht="15.75" customHeight="1">
      <c r="I584" s="117"/>
      <c r="K584" s="117"/>
      <c r="L584" s="118"/>
    </row>
    <row r="585" ht="15.75" customHeight="1">
      <c r="I585" s="117"/>
      <c r="K585" s="117"/>
      <c r="L585" s="118"/>
    </row>
    <row r="586" ht="15.75" customHeight="1">
      <c r="I586" s="117"/>
      <c r="K586" s="117"/>
      <c r="L586" s="118"/>
    </row>
    <row r="587" ht="15.75" customHeight="1">
      <c r="I587" s="117"/>
      <c r="K587" s="117"/>
      <c r="L587" s="118"/>
    </row>
    <row r="588" ht="15.75" customHeight="1">
      <c r="I588" s="117"/>
      <c r="K588" s="117"/>
      <c r="L588" s="118"/>
    </row>
    <row r="589" ht="15.75" customHeight="1">
      <c r="I589" s="117"/>
      <c r="K589" s="117"/>
      <c r="L589" s="118"/>
    </row>
    <row r="590" ht="15.75" customHeight="1">
      <c r="I590" s="117"/>
      <c r="K590" s="117"/>
      <c r="L590" s="118"/>
    </row>
    <row r="591" ht="15.75" customHeight="1">
      <c r="I591" s="117"/>
      <c r="K591" s="117"/>
      <c r="L591" s="118"/>
    </row>
    <row r="592" ht="15.75" customHeight="1">
      <c r="I592" s="117"/>
      <c r="K592" s="117"/>
      <c r="L592" s="118"/>
    </row>
    <row r="593" ht="15.75" customHeight="1">
      <c r="I593" s="117"/>
      <c r="K593" s="117"/>
      <c r="L593" s="118"/>
    </row>
    <row r="594" ht="15.75" customHeight="1">
      <c r="I594" s="117"/>
      <c r="K594" s="117"/>
      <c r="L594" s="118"/>
    </row>
    <row r="595" ht="15.75" customHeight="1">
      <c r="I595" s="117"/>
      <c r="K595" s="117"/>
      <c r="L595" s="118"/>
    </row>
    <row r="596" ht="15.75" customHeight="1">
      <c r="I596" s="117"/>
      <c r="K596" s="117"/>
      <c r="L596" s="118"/>
    </row>
    <row r="597" ht="15.75" customHeight="1">
      <c r="I597" s="117"/>
      <c r="K597" s="117"/>
      <c r="L597" s="118"/>
    </row>
    <row r="598" ht="15.75" customHeight="1">
      <c r="I598" s="117"/>
      <c r="K598" s="117"/>
      <c r="L598" s="118"/>
    </row>
    <row r="599" ht="15.75" customHeight="1">
      <c r="I599" s="117"/>
      <c r="K599" s="117"/>
      <c r="L599" s="118"/>
    </row>
    <row r="600" ht="15.75" customHeight="1">
      <c r="I600" s="117"/>
      <c r="K600" s="117"/>
      <c r="L600" s="118"/>
    </row>
    <row r="601" ht="15.75" customHeight="1">
      <c r="I601" s="117"/>
      <c r="K601" s="117"/>
      <c r="L601" s="118"/>
    </row>
    <row r="602" ht="15.75" customHeight="1">
      <c r="I602" s="117"/>
      <c r="K602" s="117"/>
      <c r="L602" s="118"/>
    </row>
    <row r="603" ht="15.75" customHeight="1">
      <c r="I603" s="117"/>
      <c r="K603" s="117"/>
      <c r="L603" s="118"/>
    </row>
    <row r="604" ht="15.75" customHeight="1">
      <c r="I604" s="117"/>
      <c r="K604" s="117"/>
      <c r="L604" s="118"/>
    </row>
    <row r="605" ht="15.75" customHeight="1">
      <c r="I605" s="117"/>
      <c r="K605" s="117"/>
      <c r="L605" s="118"/>
    </row>
    <row r="606" ht="15.75" customHeight="1">
      <c r="I606" s="117"/>
      <c r="K606" s="117"/>
      <c r="L606" s="118"/>
    </row>
    <row r="607" ht="15.75" customHeight="1">
      <c r="I607" s="117"/>
      <c r="K607" s="117"/>
      <c r="L607" s="118"/>
    </row>
    <row r="608" ht="15.75" customHeight="1">
      <c r="I608" s="117"/>
      <c r="K608" s="117"/>
      <c r="L608" s="118"/>
    </row>
    <row r="609" ht="15.75" customHeight="1">
      <c r="I609" s="117"/>
      <c r="K609" s="117"/>
      <c r="L609" s="118"/>
    </row>
    <row r="610" ht="15.75" customHeight="1">
      <c r="I610" s="117"/>
      <c r="K610" s="117"/>
      <c r="L610" s="118"/>
    </row>
    <row r="611" ht="15.75" customHeight="1">
      <c r="I611" s="117"/>
      <c r="K611" s="117"/>
      <c r="L611" s="118"/>
    </row>
    <row r="612" ht="15.75" customHeight="1">
      <c r="I612" s="117"/>
      <c r="K612" s="117"/>
      <c r="L612" s="118"/>
    </row>
    <row r="613" ht="15.75" customHeight="1">
      <c r="I613" s="117"/>
      <c r="K613" s="117"/>
      <c r="L613" s="118"/>
    </row>
    <row r="614" ht="15.75" customHeight="1">
      <c r="I614" s="117"/>
      <c r="K614" s="117"/>
      <c r="L614" s="118"/>
    </row>
    <row r="615" ht="15.75" customHeight="1">
      <c r="I615" s="117"/>
      <c r="K615" s="117"/>
      <c r="L615" s="118"/>
    </row>
    <row r="616" ht="15.75" customHeight="1">
      <c r="I616" s="117"/>
      <c r="K616" s="117"/>
      <c r="L616" s="118"/>
    </row>
    <row r="617" ht="15.75" customHeight="1">
      <c r="I617" s="117"/>
      <c r="K617" s="117"/>
      <c r="L617" s="118"/>
    </row>
    <row r="618" ht="15.75" customHeight="1">
      <c r="I618" s="117"/>
      <c r="K618" s="117"/>
      <c r="L618" s="118"/>
    </row>
    <row r="619" ht="15.75" customHeight="1">
      <c r="I619" s="117"/>
      <c r="K619" s="117"/>
      <c r="L619" s="118"/>
    </row>
    <row r="620" ht="15.75" customHeight="1">
      <c r="I620" s="117"/>
      <c r="K620" s="117"/>
      <c r="L620" s="118"/>
    </row>
    <row r="621" ht="15.75" customHeight="1">
      <c r="I621" s="117"/>
      <c r="K621" s="117"/>
      <c r="L621" s="118"/>
    </row>
    <row r="622" ht="15.75" customHeight="1">
      <c r="I622" s="117"/>
      <c r="K622" s="117"/>
      <c r="L622" s="118"/>
    </row>
    <row r="623" ht="15.75" customHeight="1">
      <c r="I623" s="117"/>
      <c r="K623" s="117"/>
      <c r="L623" s="118"/>
    </row>
    <row r="624" ht="15.75" customHeight="1">
      <c r="I624" s="117"/>
      <c r="K624" s="117"/>
      <c r="L624" s="118"/>
    </row>
    <row r="625" ht="15.75" customHeight="1">
      <c r="I625" s="117"/>
      <c r="K625" s="117"/>
      <c r="L625" s="118"/>
    </row>
    <row r="626" ht="15.75" customHeight="1">
      <c r="I626" s="117"/>
      <c r="K626" s="117"/>
      <c r="L626" s="118"/>
    </row>
    <row r="627" ht="15.75" customHeight="1">
      <c r="I627" s="117"/>
      <c r="K627" s="117"/>
      <c r="L627" s="118"/>
    </row>
    <row r="628" ht="15.75" customHeight="1">
      <c r="I628" s="117"/>
      <c r="K628" s="117"/>
      <c r="L628" s="118"/>
    </row>
    <row r="629" ht="15.75" customHeight="1">
      <c r="I629" s="117"/>
      <c r="K629" s="117"/>
      <c r="L629" s="118"/>
    </row>
    <row r="630" ht="15.75" customHeight="1">
      <c r="I630" s="117"/>
      <c r="K630" s="117"/>
      <c r="L630" s="118"/>
    </row>
    <row r="631" ht="15.75" customHeight="1">
      <c r="I631" s="117"/>
      <c r="K631" s="117"/>
      <c r="L631" s="118"/>
    </row>
    <row r="632" ht="15.75" customHeight="1">
      <c r="I632" s="117"/>
      <c r="K632" s="117"/>
      <c r="L632" s="118"/>
    </row>
    <row r="633" ht="15.75" customHeight="1">
      <c r="I633" s="117"/>
      <c r="K633" s="117"/>
      <c r="L633" s="118"/>
    </row>
    <row r="634" ht="15.75" customHeight="1">
      <c r="I634" s="117"/>
      <c r="K634" s="117"/>
      <c r="L634" s="118"/>
    </row>
    <row r="635" ht="15.75" customHeight="1">
      <c r="I635" s="117"/>
      <c r="K635" s="117"/>
      <c r="L635" s="118"/>
    </row>
    <row r="636" ht="15.75" customHeight="1">
      <c r="I636" s="117"/>
      <c r="K636" s="117"/>
      <c r="L636" s="118"/>
    </row>
    <row r="637" ht="15.75" customHeight="1">
      <c r="I637" s="117"/>
      <c r="K637" s="117"/>
      <c r="L637" s="118"/>
    </row>
    <row r="638" ht="15.75" customHeight="1">
      <c r="I638" s="117"/>
      <c r="K638" s="117"/>
      <c r="L638" s="118"/>
    </row>
    <row r="639" ht="15.75" customHeight="1">
      <c r="I639" s="117"/>
      <c r="K639" s="117"/>
      <c r="L639" s="118"/>
    </row>
    <row r="640" ht="15.75" customHeight="1">
      <c r="I640" s="117"/>
      <c r="K640" s="117"/>
      <c r="L640" s="118"/>
    </row>
    <row r="641" ht="15.75" customHeight="1">
      <c r="I641" s="117"/>
      <c r="K641" s="117"/>
      <c r="L641" s="118"/>
    </row>
    <row r="642" ht="15.75" customHeight="1">
      <c r="I642" s="117"/>
      <c r="K642" s="117"/>
      <c r="L642" s="118"/>
    </row>
    <row r="643" ht="15.75" customHeight="1">
      <c r="I643" s="117"/>
      <c r="K643" s="117"/>
      <c r="L643" s="118"/>
    </row>
    <row r="644" ht="15.75" customHeight="1">
      <c r="I644" s="117"/>
      <c r="K644" s="117"/>
      <c r="L644" s="118"/>
    </row>
    <row r="645" ht="15.75" customHeight="1">
      <c r="I645" s="117"/>
      <c r="K645" s="117"/>
      <c r="L645" s="118"/>
    </row>
    <row r="646" ht="15.75" customHeight="1">
      <c r="I646" s="117"/>
      <c r="K646" s="117"/>
      <c r="L646" s="118"/>
    </row>
    <row r="647" ht="15.75" customHeight="1">
      <c r="I647" s="117"/>
      <c r="K647" s="117"/>
      <c r="L647" s="118"/>
    </row>
    <row r="648" ht="15.75" customHeight="1">
      <c r="I648" s="117"/>
      <c r="K648" s="117"/>
      <c r="L648" s="118"/>
    </row>
    <row r="649" ht="15.75" customHeight="1">
      <c r="I649" s="117"/>
      <c r="K649" s="117"/>
      <c r="L649" s="118"/>
    </row>
    <row r="650" ht="15.75" customHeight="1">
      <c r="I650" s="117"/>
      <c r="K650" s="117"/>
      <c r="L650" s="118"/>
    </row>
    <row r="651" ht="15.75" customHeight="1">
      <c r="I651" s="117"/>
      <c r="K651" s="117"/>
      <c r="L651" s="118"/>
    </row>
    <row r="652" ht="15.75" customHeight="1">
      <c r="I652" s="117"/>
      <c r="K652" s="117"/>
      <c r="L652" s="118"/>
    </row>
    <row r="653" ht="15.75" customHeight="1">
      <c r="I653" s="117"/>
      <c r="K653" s="117"/>
      <c r="L653" s="118"/>
    </row>
    <row r="654" ht="15.75" customHeight="1">
      <c r="I654" s="117"/>
      <c r="K654" s="117"/>
      <c r="L654" s="118"/>
    </row>
    <row r="655" ht="15.75" customHeight="1">
      <c r="I655" s="117"/>
      <c r="K655" s="117"/>
      <c r="L655" s="118"/>
    </row>
    <row r="656" ht="15.75" customHeight="1">
      <c r="I656" s="117"/>
      <c r="K656" s="117"/>
      <c r="L656" s="118"/>
    </row>
    <row r="657" ht="15.75" customHeight="1">
      <c r="I657" s="117"/>
      <c r="K657" s="117"/>
      <c r="L657" s="118"/>
    </row>
    <row r="658" ht="15.75" customHeight="1">
      <c r="I658" s="117"/>
      <c r="K658" s="117"/>
      <c r="L658" s="118"/>
    </row>
    <row r="659" ht="15.75" customHeight="1">
      <c r="I659" s="117"/>
      <c r="K659" s="117"/>
      <c r="L659" s="118"/>
    </row>
    <row r="660" ht="15.75" customHeight="1">
      <c r="I660" s="117"/>
      <c r="K660" s="117"/>
      <c r="L660" s="118"/>
    </row>
    <row r="661" ht="15.75" customHeight="1">
      <c r="I661" s="117"/>
      <c r="K661" s="117"/>
      <c r="L661" s="118"/>
    </row>
    <row r="662" ht="15.75" customHeight="1">
      <c r="I662" s="117"/>
      <c r="K662" s="117"/>
      <c r="L662" s="118"/>
    </row>
    <row r="663" ht="15.75" customHeight="1">
      <c r="I663" s="117"/>
      <c r="K663" s="117"/>
      <c r="L663" s="118"/>
    </row>
    <row r="664" ht="15.75" customHeight="1">
      <c r="I664" s="117"/>
      <c r="K664" s="117"/>
      <c r="L664" s="118"/>
    </row>
    <row r="665" ht="15.75" customHeight="1">
      <c r="I665" s="117"/>
      <c r="K665" s="117"/>
      <c r="L665" s="118"/>
    </row>
    <row r="666" ht="15.75" customHeight="1">
      <c r="I666" s="117"/>
      <c r="K666" s="117"/>
      <c r="L666" s="118"/>
    </row>
    <row r="667" ht="15.75" customHeight="1">
      <c r="I667" s="117"/>
      <c r="K667" s="117"/>
      <c r="L667" s="118"/>
    </row>
    <row r="668" ht="15.75" customHeight="1">
      <c r="I668" s="117"/>
      <c r="K668" s="117"/>
      <c r="L668" s="118"/>
    </row>
    <row r="669" ht="15.75" customHeight="1">
      <c r="I669" s="117"/>
      <c r="K669" s="117"/>
      <c r="L669" s="118"/>
    </row>
    <row r="670" ht="15.75" customHeight="1">
      <c r="I670" s="117"/>
      <c r="K670" s="117"/>
      <c r="L670" s="118"/>
    </row>
    <row r="671" ht="15.75" customHeight="1">
      <c r="I671" s="117"/>
      <c r="K671" s="117"/>
      <c r="L671" s="118"/>
    </row>
    <row r="672" ht="15.75" customHeight="1">
      <c r="I672" s="117"/>
      <c r="K672" s="117"/>
      <c r="L672" s="118"/>
    </row>
    <row r="673" ht="15.75" customHeight="1">
      <c r="I673" s="117"/>
      <c r="K673" s="117"/>
      <c r="L673" s="118"/>
    </row>
    <row r="674" ht="15.75" customHeight="1">
      <c r="I674" s="117"/>
      <c r="K674" s="117"/>
      <c r="L674" s="118"/>
    </row>
    <row r="675" ht="15.75" customHeight="1">
      <c r="I675" s="117"/>
      <c r="K675" s="117"/>
      <c r="L675" s="118"/>
    </row>
    <row r="676" ht="15.75" customHeight="1">
      <c r="I676" s="117"/>
      <c r="K676" s="117"/>
      <c r="L676" s="118"/>
    </row>
    <row r="677" ht="15.75" customHeight="1">
      <c r="I677" s="117"/>
      <c r="K677" s="117"/>
      <c r="L677" s="118"/>
    </row>
    <row r="678" ht="15.75" customHeight="1">
      <c r="I678" s="117"/>
      <c r="K678" s="117"/>
      <c r="L678" s="118"/>
    </row>
    <row r="679" ht="15.75" customHeight="1">
      <c r="I679" s="117"/>
      <c r="K679" s="117"/>
      <c r="L679" s="118"/>
    </row>
    <row r="680" ht="15.75" customHeight="1">
      <c r="I680" s="117"/>
      <c r="K680" s="117"/>
      <c r="L680" s="118"/>
    </row>
    <row r="681" ht="15.75" customHeight="1">
      <c r="I681" s="117"/>
      <c r="K681" s="117"/>
      <c r="L681" s="118"/>
    </row>
    <row r="682" ht="15.75" customHeight="1">
      <c r="I682" s="117"/>
      <c r="K682" s="117"/>
      <c r="L682" s="118"/>
    </row>
    <row r="683" ht="15.75" customHeight="1">
      <c r="I683" s="117"/>
      <c r="K683" s="117"/>
      <c r="L683" s="118"/>
    </row>
    <row r="684" ht="15.75" customHeight="1">
      <c r="I684" s="117"/>
      <c r="K684" s="117"/>
      <c r="L684" s="118"/>
    </row>
    <row r="685" ht="15.75" customHeight="1">
      <c r="I685" s="117"/>
      <c r="K685" s="117"/>
      <c r="L685" s="118"/>
    </row>
    <row r="686" ht="15.75" customHeight="1">
      <c r="I686" s="117"/>
      <c r="K686" s="117"/>
      <c r="L686" s="118"/>
    </row>
    <row r="687" ht="15.75" customHeight="1">
      <c r="I687" s="117"/>
      <c r="K687" s="117"/>
      <c r="L687" s="118"/>
    </row>
    <row r="688" ht="15.75" customHeight="1">
      <c r="I688" s="117"/>
      <c r="K688" s="117"/>
      <c r="L688" s="118"/>
    </row>
    <row r="689" ht="15.75" customHeight="1">
      <c r="I689" s="117"/>
      <c r="K689" s="117"/>
      <c r="L689" s="118"/>
    </row>
    <row r="690" ht="15.75" customHeight="1">
      <c r="I690" s="117"/>
      <c r="K690" s="117"/>
      <c r="L690" s="118"/>
    </row>
    <row r="691" ht="15.75" customHeight="1">
      <c r="I691" s="117"/>
      <c r="K691" s="117"/>
      <c r="L691" s="118"/>
    </row>
    <row r="692" ht="15.75" customHeight="1">
      <c r="I692" s="117"/>
      <c r="K692" s="117"/>
      <c r="L692" s="118"/>
    </row>
    <row r="693" ht="15.75" customHeight="1">
      <c r="I693" s="117"/>
      <c r="K693" s="117"/>
      <c r="L693" s="118"/>
    </row>
    <row r="694" ht="15.75" customHeight="1">
      <c r="I694" s="117"/>
      <c r="K694" s="117"/>
      <c r="L694" s="118"/>
    </row>
    <row r="695" ht="15.75" customHeight="1">
      <c r="I695" s="117"/>
      <c r="K695" s="117"/>
      <c r="L695" s="118"/>
    </row>
    <row r="696" ht="15.75" customHeight="1">
      <c r="I696" s="117"/>
      <c r="K696" s="117"/>
      <c r="L696" s="118"/>
    </row>
    <row r="697" ht="15.75" customHeight="1">
      <c r="I697" s="117"/>
      <c r="K697" s="117"/>
      <c r="L697" s="118"/>
    </row>
    <row r="698" ht="15.75" customHeight="1">
      <c r="I698" s="117"/>
      <c r="K698" s="117"/>
      <c r="L698" s="118"/>
    </row>
    <row r="699" ht="15.75" customHeight="1">
      <c r="I699" s="117"/>
      <c r="K699" s="117"/>
      <c r="L699" s="118"/>
    </row>
    <row r="700" ht="15.75" customHeight="1">
      <c r="I700" s="117"/>
      <c r="K700" s="117"/>
      <c r="L700" s="118"/>
    </row>
    <row r="701" ht="15.75" customHeight="1">
      <c r="I701" s="117"/>
      <c r="K701" s="117"/>
      <c r="L701" s="118"/>
    </row>
    <row r="702" ht="15.75" customHeight="1">
      <c r="I702" s="117"/>
      <c r="K702" s="117"/>
      <c r="L702" s="118"/>
    </row>
    <row r="703" ht="15.75" customHeight="1">
      <c r="I703" s="117"/>
      <c r="K703" s="117"/>
      <c r="L703" s="118"/>
    </row>
    <row r="704" ht="15.75" customHeight="1">
      <c r="I704" s="117"/>
      <c r="K704" s="117"/>
      <c r="L704" s="118"/>
    </row>
    <row r="705" ht="15.75" customHeight="1">
      <c r="I705" s="117"/>
      <c r="K705" s="117"/>
      <c r="L705" s="118"/>
    </row>
    <row r="706" ht="15.75" customHeight="1">
      <c r="I706" s="117"/>
      <c r="K706" s="117"/>
      <c r="L706" s="118"/>
    </row>
    <row r="707" ht="15.75" customHeight="1">
      <c r="I707" s="117"/>
      <c r="K707" s="117"/>
      <c r="L707" s="118"/>
    </row>
    <row r="708" ht="15.75" customHeight="1">
      <c r="I708" s="117"/>
      <c r="K708" s="117"/>
      <c r="L708" s="118"/>
    </row>
    <row r="709" ht="15.75" customHeight="1">
      <c r="I709" s="117"/>
      <c r="K709" s="117"/>
      <c r="L709" s="118"/>
    </row>
    <row r="710" ht="15.75" customHeight="1">
      <c r="I710" s="117"/>
      <c r="K710" s="117"/>
      <c r="L710" s="118"/>
    </row>
    <row r="711" ht="15.75" customHeight="1">
      <c r="I711" s="117"/>
      <c r="K711" s="117"/>
      <c r="L711" s="118"/>
    </row>
    <row r="712" ht="15.75" customHeight="1">
      <c r="I712" s="117"/>
      <c r="K712" s="117"/>
      <c r="L712" s="118"/>
    </row>
    <row r="713" ht="15.75" customHeight="1">
      <c r="I713" s="117"/>
      <c r="K713" s="117"/>
      <c r="L713" s="118"/>
    </row>
    <row r="714" ht="15.75" customHeight="1">
      <c r="I714" s="117"/>
      <c r="K714" s="117"/>
      <c r="L714" s="118"/>
    </row>
    <row r="715" ht="15.75" customHeight="1">
      <c r="I715" s="117"/>
      <c r="K715" s="117"/>
      <c r="L715" s="118"/>
    </row>
    <row r="716" ht="15.75" customHeight="1">
      <c r="I716" s="117"/>
      <c r="K716" s="117"/>
      <c r="L716" s="118"/>
    </row>
    <row r="717" ht="15.75" customHeight="1">
      <c r="I717" s="117"/>
      <c r="K717" s="117"/>
      <c r="L717" s="118"/>
    </row>
    <row r="718" ht="15.75" customHeight="1">
      <c r="I718" s="117"/>
      <c r="K718" s="117"/>
      <c r="L718" s="118"/>
    </row>
    <row r="719" ht="15.75" customHeight="1">
      <c r="I719" s="117"/>
      <c r="K719" s="117"/>
      <c r="L719" s="118"/>
    </row>
    <row r="720" ht="15.75" customHeight="1">
      <c r="I720" s="117"/>
      <c r="K720" s="117"/>
      <c r="L720" s="118"/>
    </row>
    <row r="721" ht="15.75" customHeight="1">
      <c r="I721" s="117"/>
      <c r="K721" s="117"/>
      <c r="L721" s="118"/>
    </row>
    <row r="722" ht="15.75" customHeight="1">
      <c r="I722" s="117"/>
      <c r="K722" s="117"/>
      <c r="L722" s="118"/>
    </row>
    <row r="723" ht="15.75" customHeight="1">
      <c r="I723" s="117"/>
      <c r="K723" s="117"/>
      <c r="L723" s="118"/>
    </row>
    <row r="724" ht="15.75" customHeight="1">
      <c r="I724" s="117"/>
      <c r="K724" s="117"/>
      <c r="L724" s="118"/>
    </row>
    <row r="725" ht="15.75" customHeight="1">
      <c r="I725" s="117"/>
      <c r="K725" s="117"/>
      <c r="L725" s="118"/>
    </row>
    <row r="726" ht="15.75" customHeight="1">
      <c r="I726" s="117"/>
      <c r="K726" s="117"/>
      <c r="L726" s="118"/>
    </row>
    <row r="727" ht="15.75" customHeight="1">
      <c r="I727" s="117"/>
      <c r="K727" s="117"/>
      <c r="L727" s="118"/>
    </row>
    <row r="728" ht="15.75" customHeight="1">
      <c r="I728" s="117"/>
      <c r="K728" s="117"/>
      <c r="L728" s="118"/>
    </row>
    <row r="729" ht="15.75" customHeight="1">
      <c r="I729" s="117"/>
      <c r="K729" s="117"/>
      <c r="L729" s="118"/>
    </row>
    <row r="730" ht="15.75" customHeight="1">
      <c r="I730" s="117"/>
      <c r="K730" s="117"/>
      <c r="L730" s="118"/>
    </row>
    <row r="731" ht="15.75" customHeight="1">
      <c r="I731" s="117"/>
      <c r="K731" s="117"/>
      <c r="L731" s="118"/>
    </row>
    <row r="732" ht="15.75" customHeight="1">
      <c r="I732" s="117"/>
      <c r="K732" s="117"/>
      <c r="L732" s="118"/>
    </row>
    <row r="733" ht="15.75" customHeight="1">
      <c r="I733" s="117"/>
      <c r="K733" s="117"/>
      <c r="L733" s="118"/>
    </row>
    <row r="734" ht="15.75" customHeight="1">
      <c r="I734" s="117"/>
      <c r="K734" s="117"/>
      <c r="L734" s="118"/>
    </row>
    <row r="735" ht="15.75" customHeight="1">
      <c r="I735" s="117"/>
      <c r="K735" s="117"/>
      <c r="L735" s="118"/>
    </row>
    <row r="736" ht="15.75" customHeight="1">
      <c r="I736" s="117"/>
      <c r="K736" s="117"/>
      <c r="L736" s="118"/>
    </row>
    <row r="737" ht="15.75" customHeight="1">
      <c r="I737" s="117"/>
      <c r="K737" s="117"/>
      <c r="L737" s="118"/>
    </row>
    <row r="738" ht="15.75" customHeight="1">
      <c r="I738" s="117"/>
      <c r="K738" s="117"/>
      <c r="L738" s="118"/>
    </row>
    <row r="739" ht="15.75" customHeight="1">
      <c r="I739" s="117"/>
      <c r="K739" s="117"/>
      <c r="L739" s="118"/>
    </row>
    <row r="740" ht="15.75" customHeight="1">
      <c r="I740" s="117"/>
      <c r="K740" s="117"/>
      <c r="L740" s="118"/>
    </row>
    <row r="741" ht="15.75" customHeight="1">
      <c r="I741" s="117"/>
      <c r="K741" s="117"/>
      <c r="L741" s="118"/>
    </row>
    <row r="742" ht="15.75" customHeight="1">
      <c r="I742" s="117"/>
      <c r="K742" s="117"/>
      <c r="L742" s="118"/>
    </row>
    <row r="743" ht="15.75" customHeight="1">
      <c r="I743" s="117"/>
      <c r="K743" s="117"/>
      <c r="L743" s="118"/>
    </row>
    <row r="744" ht="15.75" customHeight="1">
      <c r="I744" s="117"/>
      <c r="K744" s="117"/>
      <c r="L744" s="118"/>
    </row>
    <row r="745" ht="15.75" customHeight="1">
      <c r="I745" s="117"/>
      <c r="K745" s="117"/>
      <c r="L745" s="118"/>
    </row>
    <row r="746" ht="15.75" customHeight="1">
      <c r="I746" s="117"/>
      <c r="K746" s="117"/>
      <c r="L746" s="118"/>
    </row>
    <row r="747" ht="15.75" customHeight="1">
      <c r="I747" s="117"/>
      <c r="K747" s="117"/>
      <c r="L747" s="118"/>
    </row>
    <row r="748" ht="15.75" customHeight="1">
      <c r="I748" s="117"/>
      <c r="K748" s="117"/>
      <c r="L748" s="118"/>
    </row>
    <row r="749" ht="15.75" customHeight="1">
      <c r="I749" s="117"/>
      <c r="K749" s="117"/>
      <c r="L749" s="118"/>
    </row>
    <row r="750" ht="15.75" customHeight="1">
      <c r="I750" s="117"/>
      <c r="K750" s="117"/>
      <c r="L750" s="118"/>
    </row>
    <row r="751" ht="15.75" customHeight="1">
      <c r="I751" s="117"/>
      <c r="K751" s="117"/>
      <c r="L751" s="118"/>
    </row>
    <row r="752" ht="15.75" customHeight="1">
      <c r="I752" s="117"/>
      <c r="K752" s="117"/>
      <c r="L752" s="118"/>
    </row>
    <row r="753" ht="15.75" customHeight="1">
      <c r="I753" s="117"/>
      <c r="K753" s="117"/>
      <c r="L753" s="118"/>
    </row>
    <row r="754" ht="15.75" customHeight="1">
      <c r="I754" s="117"/>
      <c r="K754" s="117"/>
      <c r="L754" s="118"/>
    </row>
    <row r="755" ht="15.75" customHeight="1">
      <c r="I755" s="117"/>
      <c r="K755" s="117"/>
      <c r="L755" s="118"/>
    </row>
    <row r="756" ht="15.75" customHeight="1">
      <c r="I756" s="117"/>
      <c r="K756" s="117"/>
      <c r="L756" s="118"/>
    </row>
    <row r="757" ht="15.75" customHeight="1">
      <c r="I757" s="117"/>
      <c r="K757" s="117"/>
      <c r="L757" s="118"/>
    </row>
    <row r="758" ht="15.75" customHeight="1">
      <c r="I758" s="117"/>
      <c r="K758" s="117"/>
      <c r="L758" s="118"/>
    </row>
    <row r="759" ht="15.75" customHeight="1">
      <c r="I759" s="117"/>
      <c r="K759" s="117"/>
      <c r="L759" s="118"/>
    </row>
    <row r="760" ht="15.75" customHeight="1">
      <c r="I760" s="117"/>
      <c r="K760" s="117"/>
      <c r="L760" s="118"/>
    </row>
    <row r="761" ht="15.75" customHeight="1">
      <c r="I761" s="117"/>
      <c r="K761" s="117"/>
      <c r="L761" s="118"/>
    </row>
    <row r="762" ht="15.75" customHeight="1">
      <c r="I762" s="117"/>
      <c r="K762" s="117"/>
      <c r="L762" s="118"/>
    </row>
    <row r="763" ht="15.75" customHeight="1">
      <c r="I763" s="117"/>
      <c r="K763" s="117"/>
      <c r="L763" s="118"/>
    </row>
    <row r="764" ht="15.75" customHeight="1">
      <c r="I764" s="117"/>
      <c r="K764" s="117"/>
      <c r="L764" s="118"/>
    </row>
    <row r="765" ht="15.75" customHeight="1">
      <c r="I765" s="117"/>
      <c r="K765" s="117"/>
      <c r="L765" s="118"/>
    </row>
    <row r="766" ht="15.75" customHeight="1">
      <c r="I766" s="117"/>
      <c r="K766" s="117"/>
      <c r="L766" s="118"/>
    </row>
    <row r="767" ht="15.75" customHeight="1">
      <c r="I767" s="117"/>
      <c r="K767" s="117"/>
      <c r="L767" s="118"/>
    </row>
    <row r="768" ht="15.75" customHeight="1">
      <c r="I768" s="117"/>
      <c r="K768" s="117"/>
      <c r="L768" s="118"/>
    </row>
    <row r="769" ht="15.75" customHeight="1">
      <c r="I769" s="117"/>
      <c r="K769" s="117"/>
      <c r="L769" s="118"/>
    </row>
    <row r="770" ht="15.75" customHeight="1">
      <c r="I770" s="117"/>
      <c r="K770" s="117"/>
      <c r="L770" s="118"/>
    </row>
    <row r="771" ht="15.75" customHeight="1">
      <c r="I771" s="117"/>
      <c r="K771" s="117"/>
      <c r="L771" s="118"/>
    </row>
    <row r="772" ht="15.75" customHeight="1">
      <c r="I772" s="117"/>
      <c r="K772" s="117"/>
      <c r="L772" s="118"/>
    </row>
    <row r="773" ht="15.75" customHeight="1">
      <c r="I773" s="117"/>
      <c r="K773" s="117"/>
      <c r="L773" s="118"/>
    </row>
    <row r="774" ht="15.75" customHeight="1">
      <c r="I774" s="117"/>
      <c r="K774" s="117"/>
      <c r="L774" s="118"/>
    </row>
    <row r="775" ht="15.75" customHeight="1">
      <c r="I775" s="117"/>
      <c r="K775" s="117"/>
      <c r="L775" s="118"/>
    </row>
    <row r="776" ht="15.75" customHeight="1">
      <c r="I776" s="117"/>
      <c r="K776" s="117"/>
      <c r="L776" s="118"/>
    </row>
    <row r="777" ht="15.75" customHeight="1">
      <c r="I777" s="117"/>
      <c r="K777" s="117"/>
      <c r="L777" s="118"/>
    </row>
    <row r="778" ht="15.75" customHeight="1">
      <c r="I778" s="117"/>
      <c r="K778" s="117"/>
      <c r="L778" s="118"/>
    </row>
    <row r="779" ht="15.75" customHeight="1">
      <c r="I779" s="117"/>
      <c r="K779" s="117"/>
      <c r="L779" s="118"/>
    </row>
    <row r="780" ht="15.75" customHeight="1">
      <c r="I780" s="117"/>
      <c r="K780" s="117"/>
      <c r="L780" s="118"/>
    </row>
    <row r="781" ht="15.75" customHeight="1">
      <c r="I781" s="117"/>
      <c r="K781" s="117"/>
      <c r="L781" s="118"/>
    </row>
    <row r="782" ht="15.75" customHeight="1">
      <c r="I782" s="117"/>
      <c r="K782" s="117"/>
      <c r="L782" s="118"/>
    </row>
    <row r="783" ht="15.75" customHeight="1">
      <c r="I783" s="117"/>
      <c r="K783" s="117"/>
      <c r="L783" s="118"/>
    </row>
    <row r="784" ht="15.75" customHeight="1">
      <c r="I784" s="117"/>
      <c r="K784" s="117"/>
      <c r="L784" s="118"/>
    </row>
    <row r="785" ht="15.75" customHeight="1">
      <c r="I785" s="117"/>
      <c r="K785" s="117"/>
      <c r="L785" s="118"/>
    </row>
    <row r="786" ht="15.75" customHeight="1">
      <c r="I786" s="117"/>
      <c r="K786" s="117"/>
      <c r="L786" s="118"/>
    </row>
    <row r="787" ht="15.75" customHeight="1">
      <c r="I787" s="117"/>
      <c r="K787" s="117"/>
      <c r="L787" s="118"/>
    </row>
    <row r="788" ht="15.75" customHeight="1">
      <c r="I788" s="117"/>
      <c r="K788" s="117"/>
      <c r="L788" s="118"/>
    </row>
    <row r="789" ht="15.75" customHeight="1">
      <c r="I789" s="117"/>
      <c r="K789" s="117"/>
      <c r="L789" s="118"/>
    </row>
    <row r="790" ht="15.75" customHeight="1">
      <c r="I790" s="117"/>
      <c r="K790" s="117"/>
      <c r="L790" s="118"/>
    </row>
    <row r="791" ht="15.75" customHeight="1">
      <c r="I791" s="117"/>
      <c r="K791" s="117"/>
      <c r="L791" s="118"/>
    </row>
    <row r="792" ht="15.75" customHeight="1">
      <c r="I792" s="117"/>
      <c r="K792" s="117"/>
      <c r="L792" s="118"/>
    </row>
    <row r="793" ht="15.75" customHeight="1">
      <c r="I793" s="117"/>
      <c r="K793" s="117"/>
      <c r="L793" s="118"/>
    </row>
    <row r="794" ht="15.75" customHeight="1">
      <c r="I794" s="117"/>
      <c r="K794" s="117"/>
      <c r="L794" s="118"/>
    </row>
    <row r="795" ht="15.75" customHeight="1">
      <c r="I795" s="117"/>
      <c r="K795" s="117"/>
      <c r="L795" s="118"/>
    </row>
    <row r="796" ht="15.75" customHeight="1">
      <c r="I796" s="117"/>
      <c r="K796" s="117"/>
      <c r="L796" s="118"/>
    </row>
    <row r="797" ht="15.75" customHeight="1">
      <c r="I797" s="117"/>
      <c r="K797" s="117"/>
      <c r="L797" s="118"/>
    </row>
    <row r="798" ht="15.75" customHeight="1">
      <c r="I798" s="117"/>
      <c r="K798" s="117"/>
      <c r="L798" s="118"/>
    </row>
    <row r="799" ht="15.75" customHeight="1">
      <c r="I799" s="117"/>
      <c r="K799" s="117"/>
      <c r="L799" s="118"/>
    </row>
    <row r="800" ht="15.75" customHeight="1">
      <c r="I800" s="117"/>
      <c r="K800" s="117"/>
      <c r="L800" s="118"/>
    </row>
    <row r="801" ht="15.75" customHeight="1">
      <c r="I801" s="117"/>
      <c r="K801" s="117"/>
      <c r="L801" s="118"/>
    </row>
    <row r="802" ht="15.75" customHeight="1">
      <c r="I802" s="117"/>
      <c r="K802" s="117"/>
      <c r="L802" s="118"/>
    </row>
    <row r="803" ht="15.75" customHeight="1">
      <c r="I803" s="117"/>
      <c r="K803" s="117"/>
      <c r="L803" s="118"/>
    </row>
    <row r="804" ht="15.75" customHeight="1">
      <c r="I804" s="117"/>
      <c r="K804" s="117"/>
      <c r="L804" s="118"/>
    </row>
    <row r="805" ht="15.75" customHeight="1">
      <c r="I805" s="117"/>
      <c r="K805" s="117"/>
      <c r="L805" s="118"/>
    </row>
    <row r="806" ht="15.75" customHeight="1">
      <c r="I806" s="117"/>
      <c r="K806" s="117"/>
      <c r="L806" s="118"/>
    </row>
    <row r="807" ht="15.75" customHeight="1">
      <c r="I807" s="117"/>
      <c r="K807" s="117"/>
      <c r="L807" s="118"/>
    </row>
    <row r="808" ht="15.75" customHeight="1">
      <c r="I808" s="117"/>
      <c r="K808" s="117"/>
      <c r="L808" s="118"/>
    </row>
    <row r="809" ht="15.75" customHeight="1">
      <c r="I809" s="117"/>
      <c r="K809" s="117"/>
      <c r="L809" s="118"/>
    </row>
    <row r="810" ht="15.75" customHeight="1">
      <c r="I810" s="117"/>
      <c r="K810" s="117"/>
      <c r="L810" s="118"/>
    </row>
    <row r="811" ht="15.75" customHeight="1">
      <c r="I811" s="117"/>
      <c r="K811" s="117"/>
      <c r="L811" s="118"/>
    </row>
    <row r="812" ht="15.75" customHeight="1">
      <c r="I812" s="117"/>
      <c r="K812" s="117"/>
      <c r="L812" s="118"/>
    </row>
    <row r="813" ht="15.75" customHeight="1">
      <c r="I813" s="117"/>
      <c r="K813" s="117"/>
      <c r="L813" s="118"/>
    </row>
    <row r="814" ht="15.75" customHeight="1">
      <c r="I814" s="117"/>
      <c r="K814" s="117"/>
      <c r="L814" s="118"/>
    </row>
    <row r="815" ht="15.75" customHeight="1">
      <c r="I815" s="117"/>
      <c r="K815" s="117"/>
      <c r="L815" s="118"/>
    </row>
    <row r="816" ht="15.75" customHeight="1">
      <c r="I816" s="117"/>
      <c r="K816" s="117"/>
      <c r="L816" s="118"/>
    </row>
    <row r="817" ht="15.75" customHeight="1">
      <c r="I817" s="117"/>
      <c r="K817" s="117"/>
      <c r="L817" s="118"/>
    </row>
    <row r="818" ht="15.75" customHeight="1">
      <c r="I818" s="117"/>
      <c r="K818" s="117"/>
      <c r="L818" s="118"/>
    </row>
    <row r="819" ht="15.75" customHeight="1">
      <c r="I819" s="117"/>
      <c r="K819" s="117"/>
      <c r="L819" s="118"/>
    </row>
    <row r="820" ht="15.75" customHeight="1">
      <c r="I820" s="117"/>
      <c r="K820" s="117"/>
      <c r="L820" s="118"/>
    </row>
    <row r="821" ht="15.75" customHeight="1">
      <c r="I821" s="117"/>
      <c r="K821" s="117"/>
      <c r="L821" s="118"/>
    </row>
    <row r="822" ht="15.75" customHeight="1">
      <c r="I822" s="117"/>
      <c r="K822" s="117"/>
      <c r="L822" s="118"/>
    </row>
    <row r="823" ht="15.75" customHeight="1">
      <c r="I823" s="117"/>
      <c r="K823" s="117"/>
      <c r="L823" s="118"/>
    </row>
    <row r="824" ht="15.75" customHeight="1">
      <c r="I824" s="117"/>
      <c r="K824" s="117"/>
      <c r="L824" s="118"/>
    </row>
    <row r="825" ht="15.75" customHeight="1">
      <c r="I825" s="117"/>
      <c r="K825" s="117"/>
      <c r="L825" s="118"/>
    </row>
    <row r="826" ht="15.75" customHeight="1">
      <c r="I826" s="117"/>
      <c r="K826" s="117"/>
      <c r="L826" s="118"/>
    </row>
    <row r="827" ht="15.75" customHeight="1">
      <c r="I827" s="117"/>
      <c r="K827" s="117"/>
      <c r="L827" s="118"/>
    </row>
    <row r="828" ht="15.75" customHeight="1">
      <c r="I828" s="117"/>
      <c r="K828" s="117"/>
      <c r="L828" s="118"/>
    </row>
    <row r="829" ht="15.75" customHeight="1">
      <c r="I829" s="117"/>
      <c r="K829" s="117"/>
      <c r="L829" s="118"/>
    </row>
    <row r="830" ht="15.75" customHeight="1">
      <c r="I830" s="117"/>
      <c r="K830" s="117"/>
      <c r="L830" s="118"/>
    </row>
    <row r="831" ht="15.75" customHeight="1">
      <c r="I831" s="117"/>
      <c r="K831" s="117"/>
      <c r="L831" s="118"/>
    </row>
    <row r="832" ht="15.75" customHeight="1">
      <c r="I832" s="117"/>
      <c r="K832" s="117"/>
      <c r="L832" s="118"/>
    </row>
    <row r="833" ht="15.75" customHeight="1">
      <c r="I833" s="117"/>
      <c r="K833" s="117"/>
      <c r="L833" s="118"/>
    </row>
    <row r="834" ht="15.75" customHeight="1">
      <c r="I834" s="117"/>
      <c r="K834" s="117"/>
      <c r="L834" s="118"/>
    </row>
    <row r="835" ht="15.75" customHeight="1">
      <c r="I835" s="117"/>
      <c r="K835" s="117"/>
      <c r="L835" s="118"/>
    </row>
    <row r="836" ht="15.75" customHeight="1">
      <c r="I836" s="117"/>
      <c r="K836" s="117"/>
      <c r="L836" s="118"/>
    </row>
    <row r="837" ht="15.75" customHeight="1">
      <c r="I837" s="117"/>
      <c r="K837" s="117"/>
      <c r="L837" s="118"/>
    </row>
    <row r="838" ht="15.75" customHeight="1">
      <c r="I838" s="117"/>
      <c r="K838" s="117"/>
      <c r="L838" s="118"/>
    </row>
    <row r="839" ht="15.75" customHeight="1">
      <c r="I839" s="117"/>
      <c r="K839" s="117"/>
      <c r="L839" s="118"/>
    </row>
    <row r="840" ht="15.75" customHeight="1">
      <c r="I840" s="117"/>
      <c r="K840" s="117"/>
      <c r="L840" s="118"/>
    </row>
    <row r="841" ht="15.75" customHeight="1">
      <c r="I841" s="117"/>
      <c r="K841" s="117"/>
      <c r="L841" s="118"/>
    </row>
    <row r="842" ht="15.75" customHeight="1">
      <c r="I842" s="117"/>
      <c r="K842" s="117"/>
      <c r="L842" s="118"/>
    </row>
    <row r="843" ht="15.75" customHeight="1">
      <c r="I843" s="117"/>
      <c r="K843" s="117"/>
      <c r="L843" s="118"/>
    </row>
    <row r="844" ht="15.75" customHeight="1">
      <c r="I844" s="117"/>
      <c r="K844" s="117"/>
      <c r="L844" s="118"/>
    </row>
    <row r="845" ht="15.75" customHeight="1">
      <c r="I845" s="117"/>
      <c r="K845" s="117"/>
      <c r="L845" s="118"/>
    </row>
    <row r="846" ht="15.75" customHeight="1">
      <c r="I846" s="117"/>
      <c r="K846" s="117"/>
      <c r="L846" s="118"/>
    </row>
    <row r="847" ht="15.75" customHeight="1">
      <c r="I847" s="117"/>
      <c r="K847" s="117"/>
      <c r="L847" s="118"/>
    </row>
    <row r="848" ht="15.75" customHeight="1">
      <c r="I848" s="117"/>
      <c r="K848" s="117"/>
      <c r="L848" s="118"/>
    </row>
    <row r="849" ht="15.75" customHeight="1">
      <c r="I849" s="117"/>
      <c r="K849" s="117"/>
      <c r="L849" s="118"/>
    </row>
    <row r="850" ht="15.75" customHeight="1">
      <c r="I850" s="117"/>
      <c r="K850" s="117"/>
      <c r="L850" s="118"/>
    </row>
    <row r="851" ht="15.75" customHeight="1">
      <c r="I851" s="117"/>
      <c r="K851" s="117"/>
      <c r="L851" s="118"/>
    </row>
    <row r="852" ht="15.75" customHeight="1">
      <c r="I852" s="117"/>
      <c r="K852" s="117"/>
      <c r="L852" s="118"/>
    </row>
    <row r="853" ht="15.75" customHeight="1">
      <c r="I853" s="117"/>
      <c r="K853" s="117"/>
      <c r="L853" s="118"/>
    </row>
    <row r="854" ht="15.75" customHeight="1">
      <c r="I854" s="117"/>
      <c r="K854" s="117"/>
      <c r="L854" s="118"/>
    </row>
    <row r="855" ht="15.75" customHeight="1">
      <c r="I855" s="117"/>
      <c r="K855" s="117"/>
      <c r="L855" s="118"/>
    </row>
    <row r="856" ht="15.75" customHeight="1">
      <c r="I856" s="117"/>
      <c r="K856" s="117"/>
      <c r="L856" s="118"/>
    </row>
    <row r="857" ht="15.75" customHeight="1">
      <c r="I857" s="117"/>
      <c r="K857" s="117"/>
      <c r="L857" s="118"/>
    </row>
    <row r="858" ht="15.75" customHeight="1">
      <c r="I858" s="117"/>
      <c r="K858" s="117"/>
      <c r="L858" s="118"/>
    </row>
    <row r="859" ht="15.75" customHeight="1">
      <c r="I859" s="117"/>
      <c r="K859" s="117"/>
      <c r="L859" s="118"/>
    </row>
    <row r="860" ht="15.75" customHeight="1">
      <c r="I860" s="117"/>
      <c r="K860" s="117"/>
      <c r="L860" s="118"/>
    </row>
    <row r="861" ht="15.75" customHeight="1">
      <c r="I861" s="117"/>
      <c r="K861" s="117"/>
      <c r="L861" s="118"/>
    </row>
    <row r="862" ht="15.75" customHeight="1">
      <c r="I862" s="117"/>
      <c r="K862" s="117"/>
      <c r="L862" s="118"/>
    </row>
    <row r="863" ht="15.75" customHeight="1">
      <c r="I863" s="117"/>
      <c r="K863" s="117"/>
      <c r="L863" s="118"/>
    </row>
    <row r="864" ht="15.75" customHeight="1">
      <c r="I864" s="117"/>
      <c r="K864" s="117"/>
      <c r="L864" s="118"/>
    </row>
    <row r="865" ht="15.75" customHeight="1">
      <c r="I865" s="117"/>
      <c r="K865" s="117"/>
      <c r="L865" s="118"/>
    </row>
    <row r="866" ht="15.75" customHeight="1">
      <c r="I866" s="117"/>
      <c r="K866" s="117"/>
      <c r="L866" s="118"/>
    </row>
    <row r="867" ht="15.75" customHeight="1">
      <c r="I867" s="117"/>
      <c r="K867" s="117"/>
      <c r="L867" s="118"/>
    </row>
    <row r="868" ht="15.75" customHeight="1">
      <c r="I868" s="117"/>
      <c r="K868" s="117"/>
      <c r="L868" s="118"/>
    </row>
    <row r="869" ht="15.75" customHeight="1">
      <c r="I869" s="117"/>
      <c r="K869" s="117"/>
      <c r="L869" s="118"/>
    </row>
    <row r="870" ht="15.75" customHeight="1">
      <c r="I870" s="117"/>
      <c r="K870" s="117"/>
      <c r="L870" s="118"/>
    </row>
    <row r="871" ht="15.75" customHeight="1">
      <c r="I871" s="117"/>
      <c r="K871" s="117"/>
      <c r="L871" s="118"/>
    </row>
    <row r="872" ht="15.75" customHeight="1">
      <c r="I872" s="117"/>
      <c r="K872" s="117"/>
      <c r="L872" s="118"/>
    </row>
    <row r="873" ht="15.75" customHeight="1">
      <c r="I873" s="117"/>
      <c r="K873" s="117"/>
      <c r="L873" s="118"/>
    </row>
    <row r="874" ht="15.75" customHeight="1">
      <c r="I874" s="117"/>
      <c r="K874" s="117"/>
      <c r="L874" s="118"/>
    </row>
    <row r="875" ht="15.75" customHeight="1">
      <c r="I875" s="117"/>
      <c r="K875" s="117"/>
      <c r="L875" s="118"/>
    </row>
    <row r="876" ht="15.75" customHeight="1">
      <c r="I876" s="117"/>
      <c r="K876" s="117"/>
      <c r="L876" s="118"/>
    </row>
    <row r="877" ht="15.75" customHeight="1">
      <c r="I877" s="117"/>
      <c r="K877" s="117"/>
      <c r="L877" s="118"/>
    </row>
    <row r="878" ht="15.75" customHeight="1">
      <c r="I878" s="117"/>
      <c r="K878" s="117"/>
      <c r="L878" s="118"/>
    </row>
    <row r="879" ht="15.75" customHeight="1">
      <c r="I879" s="117"/>
      <c r="K879" s="117"/>
      <c r="L879" s="118"/>
    </row>
    <row r="880" ht="15.75" customHeight="1">
      <c r="I880" s="117"/>
      <c r="K880" s="117"/>
      <c r="L880" s="118"/>
    </row>
    <row r="881" ht="15.75" customHeight="1">
      <c r="I881" s="117"/>
      <c r="K881" s="117"/>
      <c r="L881" s="118"/>
    </row>
    <row r="882" ht="15.75" customHeight="1">
      <c r="I882" s="117"/>
      <c r="K882" s="117"/>
      <c r="L882" s="118"/>
    </row>
    <row r="883" ht="15.75" customHeight="1">
      <c r="I883" s="117"/>
      <c r="K883" s="117"/>
      <c r="L883" s="118"/>
    </row>
    <row r="884" ht="15.75" customHeight="1">
      <c r="I884" s="117"/>
      <c r="K884" s="117"/>
      <c r="L884" s="118"/>
    </row>
    <row r="885" ht="15.75" customHeight="1">
      <c r="I885" s="117"/>
      <c r="K885" s="117"/>
      <c r="L885" s="118"/>
    </row>
    <row r="886" ht="15.75" customHeight="1">
      <c r="I886" s="117"/>
      <c r="K886" s="117"/>
      <c r="L886" s="118"/>
    </row>
    <row r="887" ht="15.75" customHeight="1">
      <c r="I887" s="117"/>
      <c r="K887" s="117"/>
      <c r="L887" s="118"/>
    </row>
    <row r="888" ht="15.75" customHeight="1">
      <c r="I888" s="117"/>
      <c r="K888" s="117"/>
      <c r="L888" s="118"/>
    </row>
    <row r="889" ht="15.75" customHeight="1">
      <c r="I889" s="117"/>
      <c r="K889" s="117"/>
      <c r="L889" s="118"/>
    </row>
    <row r="890" ht="15.75" customHeight="1">
      <c r="I890" s="117"/>
      <c r="K890" s="117"/>
      <c r="L890" s="118"/>
    </row>
    <row r="891" ht="15.75" customHeight="1">
      <c r="I891" s="117"/>
      <c r="K891" s="117"/>
      <c r="L891" s="118"/>
    </row>
    <row r="892" ht="15.75" customHeight="1">
      <c r="I892" s="117"/>
      <c r="K892" s="117"/>
      <c r="L892" s="118"/>
    </row>
    <row r="893" ht="15.75" customHeight="1">
      <c r="I893" s="117"/>
      <c r="K893" s="117"/>
      <c r="L893" s="118"/>
    </row>
    <row r="894" ht="15.75" customHeight="1">
      <c r="I894" s="117"/>
      <c r="K894" s="117"/>
      <c r="L894" s="118"/>
    </row>
    <row r="895" ht="15.75" customHeight="1">
      <c r="I895" s="117"/>
      <c r="K895" s="117"/>
      <c r="L895" s="118"/>
    </row>
    <row r="896" ht="15.75" customHeight="1">
      <c r="I896" s="117"/>
      <c r="K896" s="117"/>
      <c r="L896" s="118"/>
    </row>
    <row r="897" ht="15.75" customHeight="1">
      <c r="I897" s="117"/>
      <c r="K897" s="117"/>
      <c r="L897" s="118"/>
    </row>
    <row r="898" ht="15.75" customHeight="1">
      <c r="I898" s="117"/>
      <c r="K898" s="117"/>
      <c r="L898" s="118"/>
    </row>
    <row r="899" ht="15.75" customHeight="1">
      <c r="I899" s="117"/>
      <c r="K899" s="117"/>
      <c r="L899" s="118"/>
    </row>
    <row r="900" ht="15.75" customHeight="1">
      <c r="I900" s="117"/>
      <c r="K900" s="117"/>
      <c r="L900" s="118"/>
    </row>
    <row r="901" ht="15.75" customHeight="1">
      <c r="I901" s="117"/>
      <c r="K901" s="117"/>
      <c r="L901" s="118"/>
    </row>
    <row r="902" ht="15.75" customHeight="1">
      <c r="I902" s="117"/>
      <c r="K902" s="117"/>
      <c r="L902" s="118"/>
    </row>
    <row r="903" ht="15.75" customHeight="1">
      <c r="I903" s="117"/>
      <c r="K903" s="117"/>
      <c r="L903" s="118"/>
    </row>
    <row r="904" ht="15.75" customHeight="1">
      <c r="I904" s="117"/>
      <c r="K904" s="117"/>
      <c r="L904" s="118"/>
    </row>
    <row r="905" ht="15.75" customHeight="1">
      <c r="I905" s="117"/>
      <c r="K905" s="117"/>
      <c r="L905" s="118"/>
    </row>
    <row r="906" ht="15.75" customHeight="1">
      <c r="I906" s="117"/>
      <c r="K906" s="117"/>
      <c r="L906" s="118"/>
    </row>
    <row r="907" ht="15.75" customHeight="1">
      <c r="I907" s="117"/>
      <c r="K907" s="117"/>
      <c r="L907" s="118"/>
    </row>
    <row r="908" ht="15.75" customHeight="1">
      <c r="I908" s="117"/>
      <c r="K908" s="117"/>
      <c r="L908" s="118"/>
    </row>
    <row r="909" ht="15.75" customHeight="1">
      <c r="I909" s="117"/>
      <c r="K909" s="117"/>
      <c r="L909" s="118"/>
    </row>
    <row r="910" ht="15.75" customHeight="1">
      <c r="I910" s="117"/>
      <c r="K910" s="117"/>
      <c r="L910" s="118"/>
    </row>
    <row r="911" ht="15.75" customHeight="1">
      <c r="I911" s="117"/>
      <c r="K911" s="117"/>
      <c r="L911" s="118"/>
    </row>
    <row r="912" ht="15.75" customHeight="1">
      <c r="I912" s="117"/>
      <c r="K912" s="117"/>
      <c r="L912" s="118"/>
    </row>
    <row r="913" ht="15.75" customHeight="1">
      <c r="I913" s="117"/>
      <c r="K913" s="117"/>
      <c r="L913" s="118"/>
    </row>
    <row r="914" ht="15.75" customHeight="1">
      <c r="I914" s="117"/>
      <c r="K914" s="117"/>
      <c r="L914" s="118"/>
    </row>
    <row r="915" ht="15.75" customHeight="1">
      <c r="I915" s="117"/>
      <c r="K915" s="117"/>
      <c r="L915" s="118"/>
    </row>
    <row r="916" ht="15.75" customHeight="1">
      <c r="I916" s="117"/>
      <c r="K916" s="117"/>
      <c r="L916" s="118"/>
    </row>
    <row r="917" ht="15.75" customHeight="1">
      <c r="I917" s="117"/>
      <c r="K917" s="117"/>
      <c r="L917" s="118"/>
    </row>
    <row r="918" ht="15.75" customHeight="1">
      <c r="I918" s="117"/>
      <c r="K918" s="117"/>
      <c r="L918" s="118"/>
    </row>
    <row r="919" ht="15.75" customHeight="1">
      <c r="I919" s="117"/>
      <c r="K919" s="117"/>
      <c r="L919" s="118"/>
    </row>
    <row r="920" ht="15.75" customHeight="1">
      <c r="I920" s="117"/>
      <c r="K920" s="117"/>
      <c r="L920" s="118"/>
    </row>
    <row r="921" ht="15.75" customHeight="1">
      <c r="I921" s="117"/>
      <c r="K921" s="117"/>
      <c r="L921" s="118"/>
    </row>
    <row r="922" ht="15.75" customHeight="1">
      <c r="I922" s="117"/>
      <c r="K922" s="117"/>
      <c r="L922" s="118"/>
    </row>
    <row r="923" ht="15.75" customHeight="1">
      <c r="I923" s="117"/>
      <c r="K923" s="117"/>
      <c r="L923" s="118"/>
    </row>
    <row r="924" ht="15.75" customHeight="1">
      <c r="I924" s="117"/>
      <c r="K924" s="117"/>
      <c r="L924" s="118"/>
    </row>
    <row r="925" ht="15.75" customHeight="1">
      <c r="I925" s="117"/>
      <c r="K925" s="117"/>
      <c r="L925" s="118"/>
    </row>
    <row r="926" ht="15.75" customHeight="1">
      <c r="I926" s="117"/>
      <c r="K926" s="117"/>
      <c r="L926" s="118"/>
    </row>
    <row r="927" ht="15.75" customHeight="1">
      <c r="I927" s="117"/>
      <c r="K927" s="117"/>
      <c r="L927" s="118"/>
    </row>
    <row r="928" ht="15.75" customHeight="1">
      <c r="I928" s="117"/>
      <c r="K928" s="117"/>
      <c r="L928" s="118"/>
    </row>
    <row r="929" ht="15.75" customHeight="1">
      <c r="I929" s="117"/>
      <c r="K929" s="117"/>
      <c r="L929" s="118"/>
    </row>
    <row r="930" ht="15.75" customHeight="1">
      <c r="I930" s="117"/>
      <c r="K930" s="117"/>
      <c r="L930" s="118"/>
    </row>
    <row r="931" ht="15.75" customHeight="1">
      <c r="I931" s="117"/>
      <c r="K931" s="117"/>
      <c r="L931" s="118"/>
    </row>
    <row r="932" ht="15.75" customHeight="1">
      <c r="I932" s="117"/>
      <c r="K932" s="117"/>
      <c r="L932" s="118"/>
    </row>
    <row r="933" ht="15.75" customHeight="1">
      <c r="I933" s="117"/>
      <c r="K933" s="117"/>
      <c r="L933" s="118"/>
    </row>
    <row r="934" ht="15.75" customHeight="1">
      <c r="I934" s="117"/>
      <c r="K934" s="117"/>
      <c r="L934" s="118"/>
    </row>
    <row r="935" ht="15.75" customHeight="1">
      <c r="I935" s="117"/>
      <c r="K935" s="117"/>
      <c r="L935" s="118"/>
    </row>
    <row r="936" ht="15.75" customHeight="1">
      <c r="I936" s="117"/>
      <c r="K936" s="117"/>
      <c r="L936" s="118"/>
    </row>
    <row r="937" ht="15.75" customHeight="1">
      <c r="I937" s="117"/>
      <c r="K937" s="117"/>
      <c r="L937" s="118"/>
    </row>
    <row r="938" ht="15.75" customHeight="1">
      <c r="I938" s="117"/>
      <c r="K938" s="117"/>
      <c r="L938" s="118"/>
    </row>
    <row r="939" ht="15.75" customHeight="1">
      <c r="I939" s="117"/>
      <c r="K939" s="117"/>
      <c r="L939" s="118"/>
    </row>
    <row r="940" ht="15.75" customHeight="1">
      <c r="I940" s="117"/>
      <c r="K940" s="117"/>
      <c r="L940" s="118"/>
    </row>
    <row r="941" ht="15.75" customHeight="1">
      <c r="I941" s="117"/>
      <c r="K941" s="117"/>
      <c r="L941" s="118"/>
    </row>
    <row r="942" ht="15.75" customHeight="1">
      <c r="I942" s="117"/>
      <c r="K942" s="117"/>
      <c r="L942" s="118"/>
    </row>
    <row r="943" ht="15.75" customHeight="1">
      <c r="I943" s="117"/>
      <c r="K943" s="117"/>
      <c r="L943" s="118"/>
    </row>
    <row r="944" ht="15.75" customHeight="1">
      <c r="I944" s="117"/>
      <c r="K944" s="117"/>
      <c r="L944" s="118"/>
    </row>
    <row r="945" ht="15.75" customHeight="1">
      <c r="I945" s="117"/>
      <c r="K945" s="117"/>
      <c r="L945" s="118"/>
    </row>
    <row r="946" ht="15.75" customHeight="1">
      <c r="I946" s="117"/>
      <c r="K946" s="117"/>
      <c r="L946" s="118"/>
    </row>
    <row r="947" ht="15.75" customHeight="1">
      <c r="I947" s="117"/>
      <c r="K947" s="117"/>
      <c r="L947" s="118"/>
    </row>
    <row r="948" ht="15.75" customHeight="1">
      <c r="I948" s="117"/>
      <c r="K948" s="117"/>
      <c r="L948" s="118"/>
    </row>
    <row r="949" ht="15.75" customHeight="1">
      <c r="I949" s="117"/>
      <c r="K949" s="117"/>
      <c r="L949" s="118"/>
    </row>
    <row r="950" ht="15.75" customHeight="1">
      <c r="I950" s="117"/>
      <c r="K950" s="117"/>
      <c r="L950" s="118"/>
    </row>
    <row r="951" ht="15.75" customHeight="1">
      <c r="I951" s="117"/>
      <c r="K951" s="117"/>
      <c r="L951" s="118"/>
    </row>
    <row r="952" ht="15.75" customHeight="1">
      <c r="I952" s="117"/>
      <c r="K952" s="117"/>
      <c r="L952" s="118"/>
    </row>
    <row r="953" ht="15.75" customHeight="1">
      <c r="I953" s="117"/>
      <c r="K953" s="117"/>
      <c r="L953" s="118"/>
    </row>
    <row r="954" ht="15.75" customHeight="1">
      <c r="I954" s="117"/>
      <c r="K954" s="117"/>
      <c r="L954" s="118"/>
    </row>
    <row r="955" ht="15.75" customHeight="1">
      <c r="I955" s="117"/>
      <c r="K955" s="117"/>
      <c r="L955" s="118"/>
    </row>
    <row r="956" ht="15.75" customHeight="1">
      <c r="I956" s="117"/>
      <c r="K956" s="117"/>
      <c r="L956" s="118"/>
    </row>
    <row r="957" ht="15.75" customHeight="1">
      <c r="I957" s="117"/>
      <c r="K957" s="117"/>
      <c r="L957" s="118"/>
    </row>
    <row r="958" ht="15.75" customHeight="1">
      <c r="I958" s="117"/>
      <c r="K958" s="117"/>
      <c r="L958" s="118"/>
    </row>
    <row r="959" ht="15.75" customHeight="1">
      <c r="I959" s="117"/>
      <c r="K959" s="117"/>
      <c r="L959" s="118"/>
    </row>
    <row r="960" ht="15.75" customHeight="1">
      <c r="I960" s="117"/>
      <c r="K960" s="117"/>
      <c r="L960" s="118"/>
    </row>
    <row r="961" ht="15.75" customHeight="1">
      <c r="I961" s="117"/>
      <c r="K961" s="117"/>
      <c r="L961" s="118"/>
    </row>
    <row r="962" ht="15.75" customHeight="1">
      <c r="I962" s="117"/>
      <c r="K962" s="117"/>
      <c r="L962" s="118"/>
    </row>
    <row r="963" ht="15.75" customHeight="1">
      <c r="I963" s="117"/>
      <c r="K963" s="117"/>
      <c r="L963" s="118"/>
    </row>
    <row r="964" ht="15.75" customHeight="1">
      <c r="I964" s="117"/>
      <c r="K964" s="117"/>
      <c r="L964" s="118"/>
    </row>
    <row r="965" ht="15.75" customHeight="1">
      <c r="I965" s="117"/>
      <c r="K965" s="117"/>
      <c r="L965" s="118"/>
    </row>
    <row r="966" ht="15.75" customHeight="1">
      <c r="I966" s="117"/>
      <c r="K966" s="117"/>
      <c r="L966" s="118"/>
    </row>
    <row r="967" ht="15.75" customHeight="1">
      <c r="I967" s="117"/>
      <c r="K967" s="117"/>
      <c r="L967" s="118"/>
    </row>
    <row r="968" ht="15.75" customHeight="1">
      <c r="I968" s="117"/>
      <c r="K968" s="117"/>
      <c r="L968" s="118"/>
    </row>
    <row r="969" ht="15.75" customHeight="1">
      <c r="I969" s="117"/>
      <c r="K969" s="117"/>
      <c r="L969" s="118"/>
    </row>
    <row r="970" ht="15.75" customHeight="1">
      <c r="I970" s="117"/>
      <c r="K970" s="117"/>
      <c r="L970" s="118"/>
    </row>
    <row r="971" ht="15.75" customHeight="1">
      <c r="I971" s="117"/>
      <c r="K971" s="117"/>
      <c r="L971" s="118"/>
    </row>
    <row r="972" ht="15.75" customHeight="1">
      <c r="I972" s="117"/>
      <c r="K972" s="117"/>
      <c r="L972" s="118"/>
    </row>
    <row r="973" ht="15.75" customHeight="1">
      <c r="I973" s="117"/>
      <c r="K973" s="117"/>
      <c r="L973" s="118"/>
    </row>
    <row r="974" ht="15.75" customHeight="1">
      <c r="I974" s="117"/>
      <c r="K974" s="117"/>
      <c r="L974" s="118"/>
    </row>
    <row r="975" ht="15.75" customHeight="1">
      <c r="I975" s="117"/>
      <c r="K975" s="117"/>
      <c r="L975" s="118"/>
    </row>
    <row r="976" ht="15.75" customHeight="1">
      <c r="I976" s="117"/>
      <c r="K976" s="117"/>
      <c r="L976" s="118"/>
    </row>
    <row r="977" ht="15.75" customHeight="1">
      <c r="I977" s="117"/>
      <c r="K977" s="117"/>
      <c r="L977" s="118"/>
    </row>
    <row r="978" ht="15.75" customHeight="1">
      <c r="I978" s="117"/>
      <c r="K978" s="117"/>
      <c r="L978" s="118"/>
    </row>
    <row r="979" ht="15.75" customHeight="1">
      <c r="I979" s="117"/>
      <c r="K979" s="117"/>
      <c r="L979" s="118"/>
    </row>
    <row r="980" ht="15.75" customHeight="1">
      <c r="I980" s="117"/>
      <c r="K980" s="117"/>
      <c r="L980" s="118"/>
    </row>
    <row r="981" ht="15.75" customHeight="1">
      <c r="I981" s="117"/>
      <c r="K981" s="117"/>
      <c r="L981" s="118"/>
    </row>
    <row r="982" ht="15.75" customHeight="1">
      <c r="I982" s="117"/>
      <c r="K982" s="117"/>
      <c r="L982" s="118"/>
    </row>
    <row r="983" ht="15.75" customHeight="1">
      <c r="I983" s="117"/>
      <c r="K983" s="117"/>
      <c r="L983" s="118"/>
    </row>
    <row r="984" ht="15.75" customHeight="1">
      <c r="I984" s="117"/>
      <c r="K984" s="117"/>
      <c r="L984" s="118"/>
    </row>
    <row r="985" ht="15.75" customHeight="1">
      <c r="I985" s="117"/>
      <c r="K985" s="117"/>
      <c r="L985" s="118"/>
    </row>
    <row r="986" ht="15.75" customHeight="1">
      <c r="I986" s="117"/>
      <c r="K986" s="117"/>
      <c r="L986" s="118"/>
    </row>
    <row r="987" ht="15.75" customHeight="1">
      <c r="I987" s="117"/>
      <c r="K987" s="117"/>
      <c r="L987" s="118"/>
    </row>
    <row r="988" ht="15.75" customHeight="1">
      <c r="I988" s="117"/>
      <c r="K988" s="117"/>
      <c r="L988" s="118"/>
    </row>
    <row r="989" ht="15.75" customHeight="1">
      <c r="I989" s="117"/>
      <c r="K989" s="117"/>
      <c r="L989" s="118"/>
    </row>
    <row r="990" ht="15.75" customHeight="1">
      <c r="I990" s="117"/>
      <c r="K990" s="117"/>
      <c r="L990" s="118"/>
    </row>
    <row r="991" ht="15.75" customHeight="1">
      <c r="I991" s="117"/>
      <c r="K991" s="117"/>
      <c r="L991" s="118"/>
    </row>
    <row r="992" ht="15.75" customHeight="1">
      <c r="I992" s="117"/>
      <c r="K992" s="117"/>
      <c r="L992" s="118"/>
    </row>
    <row r="993" ht="15.75" customHeight="1">
      <c r="I993" s="117"/>
      <c r="K993" s="117"/>
      <c r="L993" s="118"/>
    </row>
    <row r="994" ht="15.75" customHeight="1">
      <c r="I994" s="117"/>
      <c r="K994" s="117"/>
      <c r="L994" s="118"/>
    </row>
    <row r="995" ht="15.75" customHeight="1">
      <c r="I995" s="117"/>
      <c r="K995" s="117"/>
      <c r="L995" s="118"/>
    </row>
    <row r="996" ht="15.75" customHeight="1">
      <c r="I996" s="117"/>
      <c r="K996" s="117"/>
      <c r="L996" s="118"/>
    </row>
    <row r="997" ht="15.75" customHeight="1">
      <c r="I997" s="117"/>
      <c r="K997" s="117"/>
      <c r="L997" s="118"/>
    </row>
    <row r="998" ht="15.75" customHeight="1">
      <c r="I998" s="117"/>
      <c r="K998" s="117"/>
      <c r="L998" s="118"/>
    </row>
    <row r="999" ht="15.75" customHeight="1">
      <c r="I999" s="117"/>
      <c r="K999" s="117"/>
      <c r="L999" s="118"/>
    </row>
    <row r="1000" ht="15.75" customHeight="1">
      <c r="I1000" s="117"/>
      <c r="K1000" s="117"/>
      <c r="L1000" s="118"/>
    </row>
    <row r="1001" ht="15.75" customHeight="1">
      <c r="I1001" s="117"/>
      <c r="K1001" s="117"/>
      <c r="L1001" s="118"/>
    </row>
    <row r="1002" ht="15.75" customHeight="1">
      <c r="I1002" s="117"/>
      <c r="K1002" s="117"/>
      <c r="L1002" s="118"/>
    </row>
    <row r="1003" ht="15.75" customHeight="1">
      <c r="I1003" s="117"/>
      <c r="K1003" s="117"/>
      <c r="L1003" s="118"/>
    </row>
    <row r="1004" ht="15.75" customHeight="1">
      <c r="I1004" s="117"/>
      <c r="K1004" s="117"/>
      <c r="L1004" s="118"/>
    </row>
    <row r="1005" ht="15.75" customHeight="1">
      <c r="I1005" s="117"/>
      <c r="K1005" s="117"/>
      <c r="L1005" s="118"/>
    </row>
    <row r="1006" ht="15.75" customHeight="1">
      <c r="I1006" s="117"/>
      <c r="K1006" s="117"/>
      <c r="L1006" s="118"/>
    </row>
    <row r="1007" ht="15.75" customHeight="1">
      <c r="I1007" s="117"/>
      <c r="K1007" s="117"/>
      <c r="L1007" s="118"/>
    </row>
    <row r="1008" ht="15.75" customHeight="1">
      <c r="I1008" s="117"/>
      <c r="K1008" s="117"/>
      <c r="L1008" s="118"/>
    </row>
    <row r="1009" ht="15.75" customHeight="1">
      <c r="I1009" s="117"/>
      <c r="K1009" s="117"/>
      <c r="L1009" s="118"/>
    </row>
    <row r="1010" ht="15.75" customHeight="1">
      <c r="I1010" s="117"/>
      <c r="K1010" s="117"/>
      <c r="L1010" s="118"/>
    </row>
    <row r="1011" ht="15.75" customHeight="1">
      <c r="I1011" s="117"/>
      <c r="K1011" s="117"/>
      <c r="L1011" s="118"/>
    </row>
    <row r="1012" ht="15.75" customHeight="1">
      <c r="I1012" s="117"/>
      <c r="K1012" s="117"/>
      <c r="L1012" s="118"/>
    </row>
    <row r="1013" ht="15.75" customHeight="1">
      <c r="I1013" s="117"/>
      <c r="K1013" s="117"/>
      <c r="L1013" s="118"/>
    </row>
    <row r="1014" ht="15.75" customHeight="1">
      <c r="I1014" s="117"/>
      <c r="K1014" s="117"/>
      <c r="L1014" s="118"/>
    </row>
    <row r="1015" ht="15.75" customHeight="1">
      <c r="I1015" s="117"/>
      <c r="K1015" s="117"/>
      <c r="L1015" s="118"/>
    </row>
    <row r="1016" ht="15.75" customHeight="1">
      <c r="I1016" s="117"/>
      <c r="K1016" s="117"/>
      <c r="L1016" s="118"/>
    </row>
    <row r="1017" ht="15.75" customHeight="1">
      <c r="I1017" s="117"/>
      <c r="K1017" s="117"/>
      <c r="L1017" s="118"/>
    </row>
    <row r="1018" ht="15.75" customHeight="1">
      <c r="I1018" s="117"/>
      <c r="K1018" s="117"/>
      <c r="L1018" s="118"/>
    </row>
    <row r="1019" ht="15.75" customHeight="1">
      <c r="I1019" s="117"/>
      <c r="K1019" s="117"/>
      <c r="L1019" s="118"/>
    </row>
    <row r="1020" ht="15.75" customHeight="1">
      <c r="I1020" s="117"/>
      <c r="K1020" s="117"/>
      <c r="L1020" s="118"/>
    </row>
    <row r="1021" ht="15.75" customHeight="1">
      <c r="I1021" s="117"/>
      <c r="K1021" s="117"/>
      <c r="L1021" s="118"/>
    </row>
    <row r="1022" ht="15.75" customHeight="1">
      <c r="I1022" s="117"/>
      <c r="K1022" s="117"/>
      <c r="L1022" s="118"/>
    </row>
    <row r="1023" ht="15.75" customHeight="1">
      <c r="I1023" s="117"/>
      <c r="K1023" s="117"/>
      <c r="L1023" s="118"/>
    </row>
    <row r="1024" ht="15.75" customHeight="1">
      <c r="I1024" s="117"/>
      <c r="K1024" s="117"/>
      <c r="L1024" s="118"/>
    </row>
    <row r="1025" ht="15.75" customHeight="1">
      <c r="I1025" s="117"/>
      <c r="K1025" s="117"/>
      <c r="L1025" s="118"/>
    </row>
    <row r="1026" ht="15.75" customHeight="1">
      <c r="I1026" s="117"/>
      <c r="K1026" s="117"/>
      <c r="L1026" s="118"/>
    </row>
    <row r="1027" ht="15.75" customHeight="1">
      <c r="I1027" s="117"/>
      <c r="K1027" s="117"/>
      <c r="L1027" s="118"/>
    </row>
    <row r="1028" ht="15.75" customHeight="1">
      <c r="I1028" s="117"/>
      <c r="K1028" s="117"/>
      <c r="L1028" s="118"/>
    </row>
    <row r="1029" ht="15.75" customHeight="1">
      <c r="I1029" s="117"/>
      <c r="K1029" s="117"/>
      <c r="L1029" s="118"/>
    </row>
    <row r="1030" ht="15.75" customHeight="1">
      <c r="I1030" s="117"/>
      <c r="K1030" s="117"/>
      <c r="L1030" s="118"/>
    </row>
  </sheetData>
  <mergeCells count="19">
    <mergeCell ref="H4:H9"/>
    <mergeCell ref="I4:I9"/>
    <mergeCell ref="J4:J9"/>
    <mergeCell ref="K4:K9"/>
    <mergeCell ref="L4:L9"/>
    <mergeCell ref="M4:M9"/>
    <mergeCell ref="A10:B10"/>
    <mergeCell ref="A16:B16"/>
    <mergeCell ref="A32:B32"/>
    <mergeCell ref="A42:B42"/>
    <mergeCell ref="A44:B44"/>
    <mergeCell ref="A49:B49"/>
    <mergeCell ref="A4:A9"/>
    <mergeCell ref="B4:B9"/>
    <mergeCell ref="C4:C9"/>
    <mergeCell ref="D4:D9"/>
    <mergeCell ref="E4:E9"/>
    <mergeCell ref="F4:F9"/>
    <mergeCell ref="G4:G9"/>
  </mergeCells>
  <conditionalFormatting sqref="F11:F53">
    <cfRule type="cellIs" dxfId="8" priority="1" operator="equal">
      <formula>"Positive"</formula>
    </cfRule>
  </conditionalFormatting>
  <conditionalFormatting sqref="F11:F53">
    <cfRule type="containsText" dxfId="9" priority="2" operator="containsText" text="Negative">
      <formula>NOT(ISERROR(SEARCH(("Negative"),(F11))))</formula>
    </cfRule>
  </conditionalFormatting>
  <conditionalFormatting sqref="G10:M10 G16:M16 G32:M32 G42:M42 G44:M44 G49:M49">
    <cfRule type="cellIs" dxfId="4" priority="3" operator="equal">
      <formula>"Positive"</formula>
    </cfRule>
  </conditionalFormatting>
  <conditionalFormatting sqref="G10:M10 G16:M16 G32:M32 G42:M42 G44:M44 G49:M49">
    <cfRule type="containsText" dxfId="5" priority="4" operator="containsText" text="Negative">
      <formula>NOT(ISERROR(SEARCH(("Negative"),(G10))))</formula>
    </cfRule>
  </conditionalFormatting>
  <conditionalFormatting sqref="G11:G53">
    <cfRule type="containsText" dxfId="10" priority="5" operator="containsText" text="High">
      <formula>NOT(ISERROR(SEARCH(("High"),(G11))))</formula>
    </cfRule>
  </conditionalFormatting>
  <conditionalFormatting sqref="G11:G53">
    <cfRule type="cellIs" dxfId="11" priority="6" operator="equal">
      <formula>"Medium"</formula>
    </cfRule>
  </conditionalFormatting>
  <conditionalFormatting sqref="G11:G53">
    <cfRule type="containsText" dxfId="12" priority="7" operator="containsText" text="Low">
      <formula>NOT(ISERROR(SEARCH(("Low"),(G11))))</formula>
    </cfRule>
  </conditionalFormatting>
  <conditionalFormatting sqref="L1:L53">
    <cfRule type="containsText" dxfId="13" priority="8" operator="containsText" text="Deferred">
      <formula>NOT(ISERROR(SEARCH(("Deferred"),(L1))))</formula>
    </cfRule>
  </conditionalFormatting>
  <conditionalFormatting sqref="L1:L53">
    <cfRule type="containsText" dxfId="14" priority="9" operator="containsText" text="Not Start">
      <formula>NOT(ISERROR(SEARCH(("Not Start"),(L1))))</formula>
    </cfRule>
  </conditionalFormatting>
  <conditionalFormatting sqref="L1:L53">
    <cfRule type="containsText" dxfId="15" priority="10" operator="containsText" text="Blocked">
      <formula>NOT(ISERROR(SEARCH(("Blocked"),(L1))))</formula>
    </cfRule>
  </conditionalFormatting>
  <conditionalFormatting sqref="L1:L53">
    <cfRule type="containsText" dxfId="6" priority="11" operator="containsText" text="FAIL">
      <formula>NOT(ISERROR(SEARCH(("FAIL"),(L1))))</formula>
    </cfRule>
  </conditionalFormatting>
  <conditionalFormatting sqref="L1:L53">
    <cfRule type="cellIs" dxfId="7" priority="12" operator="equal">
      <formula>"PASS"</formula>
    </cfRule>
  </conditionalFormatting>
  <conditionalFormatting sqref="L11:L53">
    <cfRule type="cellIs" dxfId="16" priority="13" operator="equal">
      <formula>"N/A"</formula>
    </cfRule>
  </conditionalFormatting>
  <conditionalFormatting sqref="L11:L53">
    <cfRule type="containsText" dxfId="17" priority="14" operator="containsText" text="N/A">
      <formula>NOT(ISERROR(SEARCH(("N/A"),(L11))))</formula>
    </cfRule>
  </conditionalFormatting>
  <conditionalFormatting sqref="L11:L53">
    <cfRule type="containsText" dxfId="18" priority="15" operator="containsText" text="In Progress">
      <formula>NOT(ISERROR(SEARCH(("In Progress"),(L11))))</formula>
    </cfRule>
  </conditionalFormatting>
  <conditionalFormatting sqref="M10 M16 M32 M42 M44 M49">
    <cfRule type="expression" dxfId="6" priority="16" stopIfTrue="1">
      <formula>NOT(ISERROR(SEARCH("Negative",M10)))</formula>
    </cfRule>
  </conditionalFormatting>
  <conditionalFormatting sqref="M10 M16 M32 M42 M44 M49">
    <cfRule type="expression" dxfId="7" priority="17" stopIfTrue="1">
      <formula>NOT(ISERROR(SEARCH("Positive",M10)))</formula>
    </cfRule>
  </conditionalFormatting>
  <conditionalFormatting sqref="L1:L1030">
    <cfRule type="cellIs" dxfId="19" priority="18" operator="equal">
      <formula>"In Progress"</formula>
    </cfRule>
  </conditionalFormatting>
  <conditionalFormatting sqref="G10:M10 G16:M16 G32:M32 G42:M42 G44:M44 G49:M49">
    <cfRule type="expression" dxfId="6" priority="19" stopIfTrue="1">
      <formula>NOT(ISERROR(SEARCH("Negative",G10)))</formula>
    </cfRule>
  </conditionalFormatting>
  <conditionalFormatting sqref="G10:M10 G16:M16 G32:M32 G42:M42 G44:M44 G49:M49">
    <cfRule type="expression" dxfId="7" priority="20" stopIfTrue="1">
      <formula>NOT(ISERROR(SEARCH("Positive",G10)))</formula>
    </cfRule>
  </conditionalFormatting>
  <dataValidations>
    <dataValidation type="list" allowBlank="1" sqref="L11:L15 L17:L31 L33:L41 L43 L45:L48 L50:L53">
      <formula1>"PASS,FAIL,In Progress,Blocked,Not Start,N/A,Deferred"</formula1>
    </dataValidation>
    <dataValidation type="list" allowBlank="1" showErrorMessage="1" sqref="F11:F15 F17:F31 F33:F41 F43 F45:F48 F50:F53">
      <formula1>"Positive,Negative"</formula1>
    </dataValidation>
    <dataValidation type="list" allowBlank="1" showErrorMessage="1" sqref="G11:G15 G17:G31 G33:G41 G43 G45:G48 G50:G53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37.0"/>
    <col customWidth="1" min="2" max="2" width="66.13"/>
    <col customWidth="1" hidden="1" min="3" max="3" width="47.38"/>
    <col customWidth="1" min="4" max="4" width="55.0"/>
    <col customWidth="1" min="5" max="5" width="66.0"/>
    <col customWidth="1" min="6" max="6" width="9.88"/>
    <col customWidth="1" min="7" max="7" width="10.88"/>
    <col customWidth="1" min="8" max="11" width="30.13"/>
    <col customWidth="1" min="12" max="12" width="31.25"/>
    <col customWidth="1" min="13" max="13" width="30.13"/>
    <col customWidth="1" min="14" max="20" width="8.63"/>
  </cols>
  <sheetData>
    <row r="1" ht="12.75" customHeight="1">
      <c r="B1" s="7" t="str">
        <f>HYPERLINK("#Document!A1", "Refer to sheet Document")</f>
        <v>Refer to sheet Document</v>
      </c>
      <c r="C1" s="9"/>
      <c r="D1" s="9"/>
      <c r="E1" s="9"/>
      <c r="F1" s="12"/>
      <c r="G1" s="13"/>
      <c r="H1" s="13"/>
      <c r="I1" s="13"/>
      <c r="J1" s="13"/>
      <c r="K1" s="13"/>
      <c r="L1" s="13"/>
      <c r="M1" s="16"/>
      <c r="N1" s="13"/>
      <c r="O1" s="13"/>
      <c r="P1" s="13"/>
      <c r="Q1" s="13"/>
      <c r="R1" s="13"/>
      <c r="S1" s="13"/>
      <c r="T1" s="13"/>
    </row>
    <row r="2">
      <c r="A2" s="17"/>
      <c r="B2" s="9"/>
      <c r="C2" s="19"/>
      <c r="D2" s="9"/>
      <c r="E2" s="9"/>
      <c r="F2" s="12"/>
      <c r="G2" s="13"/>
      <c r="H2" s="13"/>
      <c r="I2" s="13"/>
      <c r="J2" s="13"/>
      <c r="K2" s="13"/>
      <c r="L2" s="13"/>
      <c r="M2" s="16"/>
      <c r="N2" s="13"/>
      <c r="O2" s="13"/>
      <c r="P2" s="13"/>
      <c r="Q2" s="13"/>
      <c r="R2" s="13"/>
      <c r="S2" s="13"/>
      <c r="T2" s="13"/>
    </row>
    <row r="3">
      <c r="A3" s="23" t="s">
        <v>17</v>
      </c>
      <c r="B3" s="23">
        <f>COUNTIF(A13:A70,"TC_*")</f>
        <v>7</v>
      </c>
      <c r="C3" s="27"/>
      <c r="D3" s="27"/>
      <c r="E3" s="27"/>
      <c r="F3" s="28"/>
      <c r="G3" s="30"/>
      <c r="H3" s="30"/>
      <c r="I3" s="30"/>
      <c r="J3" s="30"/>
      <c r="K3" s="30"/>
      <c r="L3" s="30"/>
      <c r="M3" s="32"/>
      <c r="N3" s="13"/>
      <c r="O3" s="13"/>
      <c r="P3" s="13"/>
      <c r="Q3" s="13"/>
      <c r="R3" s="13"/>
      <c r="S3" s="13"/>
      <c r="T3" s="13"/>
    </row>
    <row r="4" ht="26.25" customHeight="1">
      <c r="A4" s="35" t="s">
        <v>26</v>
      </c>
      <c r="B4" s="35" t="s">
        <v>27</v>
      </c>
      <c r="C4" s="40" t="s">
        <v>28</v>
      </c>
      <c r="D4" s="35" t="s">
        <v>30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35" t="s">
        <v>38</v>
      </c>
      <c r="K4" s="35" t="s">
        <v>39</v>
      </c>
      <c r="L4" s="35" t="s">
        <v>40</v>
      </c>
      <c r="M4" s="35" t="s">
        <v>25</v>
      </c>
      <c r="N4" s="13"/>
      <c r="O4" s="13"/>
      <c r="P4" s="13"/>
      <c r="Q4" s="13"/>
      <c r="R4" s="13"/>
      <c r="S4" s="13"/>
      <c r="T4" s="13"/>
    </row>
    <row r="5" ht="39.0" customHeight="1">
      <c r="A5" s="46"/>
      <c r="B5" s="46"/>
      <c r="C5" s="48"/>
      <c r="D5" s="46"/>
      <c r="E5" s="46"/>
      <c r="F5" s="46"/>
      <c r="G5" s="46"/>
      <c r="H5" s="46"/>
      <c r="I5" s="46"/>
      <c r="J5" s="46"/>
      <c r="K5" s="46"/>
      <c r="L5" s="46"/>
      <c r="M5" s="46"/>
      <c r="N5" s="49"/>
      <c r="O5" s="49"/>
      <c r="P5" s="49"/>
      <c r="Q5" s="49"/>
      <c r="R5" s="49"/>
      <c r="S5" s="49"/>
      <c r="T5" s="49"/>
    </row>
    <row r="6" ht="42.0" customHeight="1">
      <c r="A6" s="46"/>
      <c r="B6" s="46"/>
      <c r="C6" s="48"/>
      <c r="D6" s="46"/>
      <c r="E6" s="46"/>
      <c r="F6" s="46"/>
      <c r="G6" s="46"/>
      <c r="H6" s="46"/>
      <c r="I6" s="46"/>
      <c r="J6" s="46"/>
      <c r="K6" s="46"/>
      <c r="L6" s="46"/>
      <c r="M6" s="46"/>
      <c r="N6" s="51"/>
      <c r="O6" s="51"/>
      <c r="P6" s="51"/>
      <c r="Q6" s="51"/>
      <c r="R6" s="51"/>
      <c r="S6" s="51"/>
      <c r="T6" s="51"/>
    </row>
    <row r="7" ht="58.5" customHeight="1">
      <c r="A7" s="46"/>
      <c r="B7" s="46"/>
      <c r="C7" s="48"/>
      <c r="D7" s="46"/>
      <c r="E7" s="46"/>
      <c r="F7" s="46"/>
      <c r="G7" s="46"/>
      <c r="H7" s="46"/>
      <c r="I7" s="46"/>
      <c r="J7" s="46"/>
      <c r="K7" s="46"/>
      <c r="L7" s="46"/>
      <c r="M7" s="46"/>
      <c r="N7" s="51"/>
      <c r="O7" s="51"/>
      <c r="P7" s="51"/>
      <c r="Q7" s="51"/>
      <c r="R7" s="51"/>
      <c r="S7" s="51"/>
      <c r="T7" s="51"/>
    </row>
    <row r="8" ht="45.0" customHeight="1">
      <c r="A8" s="46"/>
      <c r="B8" s="46"/>
      <c r="C8" s="48"/>
      <c r="D8" s="46"/>
      <c r="E8" s="46"/>
      <c r="F8" s="46"/>
      <c r="G8" s="46"/>
      <c r="H8" s="46"/>
      <c r="I8" s="46"/>
      <c r="J8" s="46"/>
      <c r="K8" s="46"/>
      <c r="L8" s="46"/>
      <c r="M8" s="46"/>
      <c r="N8" s="51"/>
      <c r="O8" s="51"/>
      <c r="P8" s="51"/>
      <c r="Q8" s="51"/>
      <c r="R8" s="51"/>
      <c r="S8" s="51"/>
      <c r="T8" s="51"/>
    </row>
    <row r="9" ht="84.0" customHeight="1">
      <c r="A9" s="38"/>
      <c r="B9" s="38"/>
      <c r="C9" s="53"/>
      <c r="D9" s="54"/>
      <c r="E9" s="54"/>
      <c r="F9" s="54"/>
      <c r="G9" s="54"/>
      <c r="H9" s="54"/>
      <c r="I9" s="54"/>
      <c r="J9" s="54"/>
      <c r="K9" s="54"/>
      <c r="L9" s="54"/>
      <c r="M9" s="54"/>
      <c r="N9" s="51"/>
      <c r="O9" s="51"/>
      <c r="P9" s="51"/>
      <c r="Q9" s="51"/>
      <c r="R9" s="51"/>
      <c r="S9" s="51"/>
      <c r="T9" s="51"/>
    </row>
    <row r="10" ht="42.0" customHeight="1">
      <c r="A10" s="55" t="s">
        <v>1229</v>
      </c>
      <c r="B10" s="10"/>
      <c r="C10" s="57"/>
      <c r="D10" s="58"/>
      <c r="E10" s="58"/>
      <c r="F10" s="58"/>
      <c r="G10" s="60"/>
      <c r="H10" s="60"/>
      <c r="I10" s="60"/>
      <c r="J10" s="60"/>
      <c r="K10" s="60"/>
      <c r="L10" s="60"/>
      <c r="M10" s="60"/>
      <c r="N10" s="49"/>
      <c r="O10" s="49"/>
      <c r="P10" s="49"/>
      <c r="Q10" s="49"/>
      <c r="R10" s="49"/>
      <c r="S10" s="49"/>
      <c r="T10" s="49"/>
    </row>
    <row r="11" ht="42.0" customHeight="1">
      <c r="A11" s="55" t="s">
        <v>48</v>
      </c>
      <c r="B11" s="10"/>
      <c r="C11" s="57"/>
      <c r="D11" s="58"/>
      <c r="E11" s="58"/>
      <c r="F11" s="58"/>
      <c r="G11" s="60"/>
      <c r="H11" s="60"/>
      <c r="I11" s="60"/>
      <c r="J11" s="60"/>
      <c r="K11" s="60"/>
      <c r="L11" s="60"/>
      <c r="M11" s="60"/>
      <c r="N11" s="49"/>
      <c r="O11" s="49"/>
      <c r="P11" s="49"/>
      <c r="Q11" s="49"/>
      <c r="R11" s="49"/>
      <c r="S11" s="49"/>
      <c r="T11" s="49"/>
    </row>
    <row r="12" ht="123.75" customHeight="1" outlineLevel="1">
      <c r="A12" s="70" t="str">
        <f t="shared" ref="A12:A19" si="1">"TC_Income_Summary_"&amp;(ROW()-ROW($A$12)+1)</f>
        <v>TC_Income_Summary_1</v>
      </c>
      <c r="B12" s="72" t="s">
        <v>1235</v>
      </c>
      <c r="C12" s="73"/>
      <c r="D12" s="72"/>
      <c r="E12" s="78"/>
      <c r="F12" s="75" t="s">
        <v>56</v>
      </c>
      <c r="G12" s="76" t="s">
        <v>57</v>
      </c>
      <c r="H12" s="77"/>
      <c r="I12" s="77"/>
      <c r="J12" s="78"/>
      <c r="K12" s="80"/>
      <c r="L12" s="82" t="s">
        <v>12</v>
      </c>
      <c r="M12" s="84"/>
      <c r="N12" s="86"/>
      <c r="O12" s="86"/>
      <c r="P12" s="86"/>
      <c r="Q12" s="86"/>
      <c r="R12" s="86"/>
      <c r="S12" s="86"/>
      <c r="T12" s="86"/>
    </row>
    <row r="13" ht="123.75" customHeight="1" outlineLevel="1">
      <c r="A13" s="70" t="str">
        <f t="shared" si="1"/>
        <v>TC_Income_Summary_2</v>
      </c>
      <c r="B13" s="72" t="s">
        <v>1237</v>
      </c>
      <c r="C13" s="73"/>
      <c r="D13" s="72"/>
      <c r="E13" s="78"/>
      <c r="F13" s="75" t="s">
        <v>56</v>
      </c>
      <c r="G13" s="76" t="s">
        <v>57</v>
      </c>
      <c r="H13" s="77"/>
      <c r="I13" s="77"/>
      <c r="J13" s="78"/>
      <c r="K13" s="80"/>
      <c r="L13" s="82" t="s">
        <v>12</v>
      </c>
      <c r="M13" s="84"/>
      <c r="N13" s="86"/>
      <c r="O13" s="86"/>
      <c r="P13" s="86"/>
      <c r="Q13" s="86"/>
      <c r="R13" s="86"/>
      <c r="S13" s="86"/>
      <c r="T13" s="86"/>
    </row>
    <row r="14" ht="123.75" customHeight="1" outlineLevel="1">
      <c r="A14" s="70" t="str">
        <f t="shared" si="1"/>
        <v>TC_Income_Summary_3</v>
      </c>
      <c r="B14" s="72" t="s">
        <v>1240</v>
      </c>
      <c r="C14" s="73" t="s">
        <v>68</v>
      </c>
      <c r="D14" s="72"/>
      <c r="E14" s="78"/>
      <c r="F14" s="76" t="s">
        <v>109</v>
      </c>
      <c r="G14" s="76" t="s">
        <v>57</v>
      </c>
      <c r="H14" s="78"/>
      <c r="I14" s="77"/>
      <c r="J14" s="78"/>
      <c r="K14" s="80"/>
      <c r="L14" s="82" t="s">
        <v>12</v>
      </c>
      <c r="M14" s="84"/>
      <c r="N14" s="86"/>
      <c r="O14" s="86"/>
      <c r="P14" s="86"/>
      <c r="Q14" s="86"/>
      <c r="R14" s="86"/>
      <c r="S14" s="86"/>
      <c r="T14" s="86"/>
    </row>
    <row r="15" ht="123.75" customHeight="1" outlineLevel="1">
      <c r="A15" s="70" t="str">
        <f t="shared" si="1"/>
        <v>TC_Income_Summary_4</v>
      </c>
      <c r="B15" s="72" t="s">
        <v>1241</v>
      </c>
      <c r="C15" s="73" t="s">
        <v>68</v>
      </c>
      <c r="D15" s="72"/>
      <c r="E15" s="78"/>
      <c r="F15" s="76" t="s">
        <v>109</v>
      </c>
      <c r="G15" s="76" t="s">
        <v>57</v>
      </c>
      <c r="H15" s="78"/>
      <c r="I15" s="77"/>
      <c r="J15" s="84"/>
      <c r="K15" s="80"/>
      <c r="L15" s="82" t="s">
        <v>12</v>
      </c>
      <c r="M15" s="84"/>
      <c r="N15" s="86"/>
      <c r="O15" s="86"/>
      <c r="P15" s="86"/>
      <c r="Q15" s="86"/>
      <c r="R15" s="86"/>
      <c r="S15" s="86"/>
      <c r="T15" s="86"/>
    </row>
    <row r="16" ht="123.75" customHeight="1" outlineLevel="1">
      <c r="A16" s="70" t="str">
        <f t="shared" si="1"/>
        <v>TC_Income_Summary_5</v>
      </c>
      <c r="B16" s="72" t="s">
        <v>1244</v>
      </c>
      <c r="C16" s="73" t="s">
        <v>68</v>
      </c>
      <c r="D16" s="72"/>
      <c r="E16" s="78"/>
      <c r="F16" s="76" t="s">
        <v>56</v>
      </c>
      <c r="G16" s="76" t="s">
        <v>57</v>
      </c>
      <c r="H16" s="78"/>
      <c r="I16" s="77"/>
      <c r="J16" s="84"/>
      <c r="K16" s="80"/>
      <c r="L16" s="82" t="s">
        <v>12</v>
      </c>
      <c r="M16" s="84"/>
      <c r="N16" s="86"/>
      <c r="O16" s="86"/>
      <c r="P16" s="86"/>
      <c r="Q16" s="86"/>
      <c r="R16" s="86"/>
      <c r="S16" s="86"/>
      <c r="T16" s="86"/>
    </row>
    <row r="17" ht="123.75" customHeight="1" outlineLevel="1">
      <c r="A17" s="70" t="str">
        <f t="shared" si="1"/>
        <v>TC_Income_Summary_6</v>
      </c>
      <c r="B17" s="72" t="s">
        <v>1246</v>
      </c>
      <c r="C17" s="73" t="s">
        <v>68</v>
      </c>
      <c r="D17" s="72"/>
      <c r="E17" s="78"/>
      <c r="F17" s="76" t="s">
        <v>56</v>
      </c>
      <c r="G17" s="76" t="s">
        <v>57</v>
      </c>
      <c r="H17" s="78"/>
      <c r="I17" s="77"/>
      <c r="J17" s="84"/>
      <c r="K17" s="80"/>
      <c r="L17" s="82" t="s">
        <v>12</v>
      </c>
      <c r="M17" s="84"/>
      <c r="N17" s="86"/>
      <c r="O17" s="86"/>
      <c r="P17" s="86"/>
      <c r="Q17" s="86"/>
      <c r="R17" s="86"/>
      <c r="S17" s="86"/>
      <c r="T17" s="86"/>
    </row>
    <row r="18" ht="123.75" customHeight="1" outlineLevel="1">
      <c r="A18" s="70" t="str">
        <f t="shared" si="1"/>
        <v>TC_Income_Summary_7</v>
      </c>
      <c r="B18" s="72" t="s">
        <v>1249</v>
      </c>
      <c r="C18" s="73" t="s">
        <v>68</v>
      </c>
      <c r="D18" s="72"/>
      <c r="E18" s="78"/>
      <c r="F18" s="76" t="s">
        <v>56</v>
      </c>
      <c r="G18" s="76" t="s">
        <v>57</v>
      </c>
      <c r="H18" s="78"/>
      <c r="I18" s="77"/>
      <c r="J18" s="84"/>
      <c r="K18" s="80"/>
      <c r="L18" s="82" t="s">
        <v>12</v>
      </c>
      <c r="M18" s="84"/>
      <c r="N18" s="86"/>
      <c r="O18" s="86"/>
      <c r="P18" s="86"/>
      <c r="Q18" s="86"/>
      <c r="R18" s="86"/>
      <c r="S18" s="86"/>
      <c r="T18" s="86"/>
    </row>
    <row r="19" ht="123.75" customHeight="1" outlineLevel="1">
      <c r="A19" s="70" t="str">
        <f t="shared" si="1"/>
        <v>TC_Income_Summary_8</v>
      </c>
      <c r="B19" s="72" t="s">
        <v>1251</v>
      </c>
      <c r="C19" s="73" t="s">
        <v>68</v>
      </c>
      <c r="D19" s="72"/>
      <c r="E19" s="78"/>
      <c r="F19" s="76" t="s">
        <v>56</v>
      </c>
      <c r="G19" s="76" t="s">
        <v>57</v>
      </c>
      <c r="H19" s="78"/>
      <c r="I19" s="77"/>
      <c r="J19" s="84"/>
      <c r="K19" s="80"/>
      <c r="L19" s="82" t="s">
        <v>12</v>
      </c>
      <c r="M19" s="84"/>
      <c r="N19" s="86"/>
      <c r="O19" s="86"/>
      <c r="P19" s="86"/>
      <c r="Q19" s="86"/>
      <c r="R19" s="86"/>
      <c r="S19" s="86"/>
      <c r="T19" s="86"/>
    </row>
    <row r="20" ht="15.75" customHeight="1">
      <c r="I20" s="117"/>
      <c r="K20" s="117"/>
      <c r="L20" s="118"/>
    </row>
    <row r="21" ht="15.75" customHeight="1">
      <c r="I21" s="117"/>
      <c r="K21" s="117"/>
      <c r="L21" s="118"/>
    </row>
    <row r="22" ht="15.75" customHeight="1">
      <c r="I22" s="117"/>
      <c r="K22" s="117"/>
      <c r="L22" s="118"/>
    </row>
    <row r="23" ht="15.75" customHeight="1">
      <c r="I23" s="117"/>
      <c r="K23" s="117"/>
      <c r="L23" s="118"/>
    </row>
    <row r="24" ht="15.75" customHeight="1">
      <c r="I24" s="117"/>
      <c r="K24" s="117"/>
      <c r="L24" s="118"/>
    </row>
    <row r="25" ht="15.75" customHeight="1">
      <c r="I25" s="117"/>
      <c r="K25" s="117"/>
      <c r="L25" s="118"/>
    </row>
    <row r="26" ht="15.75" customHeight="1">
      <c r="I26" s="117"/>
      <c r="K26" s="117"/>
      <c r="L26" s="118"/>
    </row>
    <row r="27" ht="15.75" customHeight="1">
      <c r="I27" s="117"/>
      <c r="K27" s="117"/>
      <c r="L27" s="118"/>
    </row>
    <row r="28" ht="15.75" customHeight="1">
      <c r="I28" s="117"/>
      <c r="K28" s="117"/>
      <c r="L28" s="118"/>
    </row>
    <row r="29" ht="15.75" customHeight="1">
      <c r="I29" s="117"/>
      <c r="K29" s="117"/>
      <c r="L29" s="118"/>
    </row>
    <row r="30" ht="15.75" customHeight="1">
      <c r="I30" s="117"/>
      <c r="K30" s="117"/>
      <c r="L30" s="118"/>
    </row>
    <row r="31" ht="15.75" customHeight="1">
      <c r="I31" s="117"/>
      <c r="K31" s="117"/>
      <c r="L31" s="118"/>
    </row>
    <row r="32" ht="15.75" customHeight="1">
      <c r="I32" s="117"/>
      <c r="K32" s="117"/>
      <c r="L32" s="118"/>
    </row>
    <row r="33" ht="15.75" customHeight="1">
      <c r="I33" s="117"/>
      <c r="K33" s="117"/>
      <c r="L33" s="118"/>
    </row>
    <row r="34" ht="15.75" customHeight="1">
      <c r="I34" s="117"/>
      <c r="K34" s="117"/>
      <c r="L34" s="118"/>
    </row>
    <row r="35" ht="15.75" customHeight="1">
      <c r="I35" s="117"/>
      <c r="K35" s="117"/>
      <c r="L35" s="118"/>
    </row>
    <row r="36" ht="15.75" customHeight="1">
      <c r="I36" s="117"/>
      <c r="K36" s="117"/>
      <c r="L36" s="118"/>
    </row>
    <row r="37" ht="15.75" customHeight="1">
      <c r="I37" s="117"/>
      <c r="K37" s="117"/>
      <c r="L37" s="118"/>
    </row>
    <row r="38" ht="15.75" customHeight="1">
      <c r="I38" s="117"/>
      <c r="K38" s="117"/>
      <c r="L38" s="118"/>
    </row>
    <row r="39" ht="15.75" customHeight="1">
      <c r="I39" s="117"/>
      <c r="K39" s="117"/>
      <c r="L39" s="118"/>
    </row>
    <row r="40" ht="15.75" customHeight="1">
      <c r="I40" s="117"/>
      <c r="K40" s="117"/>
      <c r="L40" s="118"/>
    </row>
    <row r="41" ht="15.75" customHeight="1">
      <c r="I41" s="117"/>
      <c r="K41" s="117"/>
      <c r="L41" s="118"/>
    </row>
    <row r="42" ht="15.75" customHeight="1">
      <c r="I42" s="117"/>
      <c r="K42" s="117"/>
      <c r="L42" s="118"/>
    </row>
    <row r="43" ht="15.75" customHeight="1">
      <c r="I43" s="117"/>
      <c r="K43" s="117"/>
      <c r="L43" s="118"/>
    </row>
    <row r="44" ht="15.75" customHeight="1">
      <c r="I44" s="117"/>
      <c r="K44" s="117"/>
      <c r="L44" s="118"/>
    </row>
    <row r="45" ht="15.75" customHeight="1">
      <c r="I45" s="117"/>
      <c r="K45" s="117"/>
      <c r="L45" s="118"/>
    </row>
    <row r="46" ht="15.75" customHeight="1">
      <c r="I46" s="117"/>
      <c r="K46" s="117"/>
      <c r="L46" s="118"/>
    </row>
    <row r="47" ht="15.75" customHeight="1">
      <c r="I47" s="117"/>
      <c r="K47" s="117"/>
      <c r="L47" s="118"/>
    </row>
    <row r="48" ht="15.75" customHeight="1">
      <c r="I48" s="117"/>
      <c r="K48" s="117"/>
      <c r="L48" s="118"/>
    </row>
    <row r="49" ht="15.75" customHeight="1">
      <c r="I49" s="117"/>
      <c r="K49" s="117"/>
      <c r="L49" s="118"/>
    </row>
    <row r="50" ht="15.75" customHeight="1">
      <c r="I50" s="117"/>
      <c r="K50" s="117"/>
      <c r="L50" s="118"/>
    </row>
    <row r="51" ht="15.75" customHeight="1">
      <c r="I51" s="117"/>
      <c r="K51" s="117"/>
      <c r="L51" s="118"/>
    </row>
    <row r="52" ht="15.75" customHeight="1">
      <c r="I52" s="117"/>
      <c r="K52" s="117"/>
      <c r="L52" s="118"/>
    </row>
    <row r="53" ht="15.75" customHeight="1">
      <c r="I53" s="117"/>
      <c r="K53" s="117"/>
      <c r="L53" s="118"/>
    </row>
    <row r="54" ht="15.75" customHeight="1">
      <c r="I54" s="117"/>
      <c r="K54" s="117"/>
      <c r="L54" s="118"/>
    </row>
    <row r="55" ht="15.75" customHeight="1">
      <c r="I55" s="117"/>
      <c r="K55" s="117"/>
      <c r="L55" s="118"/>
    </row>
    <row r="56" ht="15.75" customHeight="1">
      <c r="I56" s="117"/>
      <c r="K56" s="117"/>
      <c r="L56" s="118"/>
    </row>
    <row r="57" ht="15.75" customHeight="1">
      <c r="I57" s="117"/>
      <c r="K57" s="117"/>
      <c r="L57" s="118"/>
    </row>
    <row r="58" ht="15.75" customHeight="1">
      <c r="I58" s="117"/>
      <c r="K58" s="117"/>
      <c r="L58" s="118"/>
    </row>
    <row r="59" ht="15.75" customHeight="1">
      <c r="I59" s="117"/>
      <c r="K59" s="117"/>
      <c r="L59" s="118"/>
    </row>
    <row r="60" ht="15.75" customHeight="1">
      <c r="I60" s="117"/>
      <c r="K60" s="117"/>
      <c r="L60" s="118"/>
    </row>
    <row r="61" ht="15.75" customHeight="1">
      <c r="I61" s="117"/>
      <c r="K61" s="117"/>
      <c r="L61" s="118"/>
    </row>
    <row r="62" ht="15.75" customHeight="1">
      <c r="I62" s="117"/>
      <c r="K62" s="117"/>
      <c r="L62" s="118"/>
    </row>
    <row r="63" ht="15.75" customHeight="1">
      <c r="I63" s="117"/>
      <c r="K63" s="117"/>
      <c r="L63" s="118"/>
    </row>
    <row r="64" ht="15.75" customHeight="1">
      <c r="I64" s="117"/>
      <c r="K64" s="117"/>
      <c r="L64" s="118"/>
    </row>
    <row r="65" ht="15.75" customHeight="1">
      <c r="I65" s="117"/>
      <c r="K65" s="117"/>
      <c r="L65" s="118"/>
    </row>
    <row r="66" ht="15.75" customHeight="1">
      <c r="I66" s="117"/>
      <c r="K66" s="117"/>
      <c r="L66" s="118"/>
    </row>
    <row r="67" ht="15.75" customHeight="1">
      <c r="I67" s="117"/>
      <c r="K67" s="117"/>
      <c r="L67" s="118"/>
    </row>
    <row r="68" ht="15.75" customHeight="1">
      <c r="I68" s="117"/>
      <c r="K68" s="117"/>
      <c r="L68" s="118"/>
    </row>
    <row r="69" ht="15.75" customHeight="1">
      <c r="I69" s="117"/>
      <c r="K69" s="117"/>
      <c r="L69" s="118"/>
    </row>
    <row r="70" ht="15.75" customHeight="1">
      <c r="I70" s="117"/>
      <c r="K70" s="117"/>
      <c r="L70" s="118"/>
    </row>
    <row r="71" ht="15.75" customHeight="1">
      <c r="I71" s="117"/>
      <c r="K71" s="117"/>
      <c r="L71" s="118"/>
    </row>
    <row r="72" ht="15.75" customHeight="1">
      <c r="I72" s="117"/>
      <c r="K72" s="117"/>
      <c r="L72" s="118"/>
    </row>
    <row r="73" ht="15.75" customHeight="1">
      <c r="I73" s="117"/>
      <c r="K73" s="117"/>
      <c r="L73" s="118"/>
    </row>
    <row r="74" ht="15.75" customHeight="1">
      <c r="I74" s="117"/>
      <c r="K74" s="117"/>
      <c r="L74" s="118"/>
    </row>
    <row r="75" ht="15.75" customHeight="1">
      <c r="I75" s="117"/>
      <c r="K75" s="117"/>
      <c r="L75" s="118"/>
    </row>
    <row r="76" ht="15.75" customHeight="1">
      <c r="I76" s="117"/>
      <c r="K76" s="117"/>
      <c r="L76" s="118"/>
    </row>
    <row r="77" ht="15.75" customHeight="1">
      <c r="I77" s="117"/>
      <c r="K77" s="117"/>
      <c r="L77" s="118"/>
    </row>
    <row r="78" ht="15.75" customHeight="1">
      <c r="I78" s="117"/>
      <c r="K78" s="117"/>
      <c r="L78" s="118"/>
    </row>
    <row r="79" ht="15.75" customHeight="1">
      <c r="I79" s="117"/>
      <c r="K79" s="117"/>
      <c r="L79" s="118"/>
    </row>
    <row r="80" ht="15.75" customHeight="1">
      <c r="I80" s="117"/>
      <c r="K80" s="117"/>
      <c r="L80" s="118"/>
    </row>
    <row r="81" ht="15.75" customHeight="1">
      <c r="I81" s="117"/>
      <c r="K81" s="117"/>
      <c r="L81" s="118"/>
    </row>
    <row r="82" ht="15.75" customHeight="1">
      <c r="I82" s="117"/>
      <c r="K82" s="117"/>
      <c r="L82" s="118"/>
    </row>
    <row r="83" ht="15.75" customHeight="1">
      <c r="I83" s="117"/>
      <c r="K83" s="117"/>
      <c r="L83" s="118"/>
    </row>
    <row r="84" ht="15.75" customHeight="1">
      <c r="I84" s="117"/>
      <c r="K84" s="117"/>
      <c r="L84" s="118"/>
    </row>
    <row r="85" ht="15.75" customHeight="1">
      <c r="I85" s="117"/>
      <c r="K85" s="117"/>
      <c r="L85" s="118"/>
    </row>
    <row r="86" ht="15.75" customHeight="1">
      <c r="I86" s="117"/>
      <c r="K86" s="117"/>
      <c r="L86" s="118"/>
    </row>
    <row r="87" ht="15.75" customHeight="1">
      <c r="I87" s="117"/>
      <c r="K87" s="117"/>
      <c r="L87" s="118"/>
    </row>
    <row r="88" ht="15.75" customHeight="1">
      <c r="I88" s="117"/>
      <c r="K88" s="117"/>
      <c r="L88" s="118"/>
    </row>
    <row r="89" ht="15.75" customHeight="1">
      <c r="I89" s="117"/>
      <c r="K89" s="117"/>
      <c r="L89" s="118"/>
    </row>
    <row r="90" ht="15.75" customHeight="1">
      <c r="I90" s="117"/>
      <c r="K90" s="117"/>
      <c r="L90" s="118"/>
    </row>
    <row r="91" ht="15.75" customHeight="1">
      <c r="I91" s="117"/>
      <c r="K91" s="117"/>
      <c r="L91" s="118"/>
    </row>
    <row r="92" ht="15.75" customHeight="1">
      <c r="I92" s="117"/>
      <c r="K92" s="117"/>
      <c r="L92" s="118"/>
    </row>
    <row r="93" ht="15.75" customHeight="1">
      <c r="I93" s="117"/>
      <c r="K93" s="117"/>
      <c r="L93" s="118"/>
    </row>
    <row r="94" ht="15.75" customHeight="1">
      <c r="I94" s="117"/>
      <c r="K94" s="117"/>
      <c r="L94" s="118"/>
    </row>
    <row r="95" ht="15.75" customHeight="1">
      <c r="I95" s="117"/>
      <c r="K95" s="117"/>
      <c r="L95" s="118"/>
    </row>
    <row r="96" ht="15.75" customHeight="1">
      <c r="I96" s="117"/>
      <c r="K96" s="117"/>
      <c r="L96" s="118"/>
    </row>
    <row r="97" ht="15.75" customHeight="1">
      <c r="I97" s="117"/>
      <c r="K97" s="117"/>
      <c r="L97" s="118"/>
    </row>
    <row r="98" ht="15.75" customHeight="1">
      <c r="I98" s="117"/>
      <c r="K98" s="117"/>
      <c r="L98" s="118"/>
    </row>
    <row r="99" ht="15.75" customHeight="1">
      <c r="I99" s="117"/>
      <c r="K99" s="117"/>
      <c r="L99" s="118"/>
    </row>
    <row r="100" ht="15.75" customHeight="1">
      <c r="I100" s="117"/>
      <c r="K100" s="117"/>
      <c r="L100" s="118"/>
    </row>
    <row r="101" ht="15.75" customHeight="1">
      <c r="I101" s="117"/>
      <c r="K101" s="117"/>
      <c r="L101" s="118"/>
    </row>
    <row r="102" ht="15.75" customHeight="1">
      <c r="I102" s="117"/>
      <c r="K102" s="117"/>
      <c r="L102" s="118"/>
    </row>
    <row r="103" ht="15.75" customHeight="1">
      <c r="I103" s="117"/>
      <c r="K103" s="117"/>
      <c r="L103" s="118"/>
    </row>
    <row r="104" ht="15.75" customHeight="1">
      <c r="I104" s="117"/>
      <c r="K104" s="117"/>
      <c r="L104" s="118"/>
    </row>
    <row r="105" ht="15.75" customHeight="1">
      <c r="I105" s="117"/>
      <c r="K105" s="117"/>
      <c r="L105" s="118"/>
    </row>
    <row r="106" ht="15.75" customHeight="1">
      <c r="I106" s="117"/>
      <c r="K106" s="117"/>
      <c r="L106" s="118"/>
    </row>
    <row r="107" ht="15.75" customHeight="1">
      <c r="I107" s="117"/>
      <c r="K107" s="117"/>
      <c r="L107" s="118"/>
    </row>
    <row r="108" ht="15.75" customHeight="1">
      <c r="I108" s="117"/>
      <c r="K108" s="117"/>
      <c r="L108" s="118"/>
    </row>
    <row r="109" ht="15.75" customHeight="1">
      <c r="I109" s="117"/>
      <c r="K109" s="117"/>
      <c r="L109" s="118"/>
    </row>
    <row r="110" ht="15.75" customHeight="1">
      <c r="I110" s="117"/>
      <c r="K110" s="117"/>
      <c r="L110" s="118"/>
    </row>
    <row r="111" ht="15.75" customHeight="1">
      <c r="I111" s="117"/>
      <c r="K111" s="117"/>
      <c r="L111" s="118"/>
    </row>
    <row r="112" ht="15.75" customHeight="1">
      <c r="I112" s="117"/>
      <c r="K112" s="117"/>
      <c r="L112" s="118"/>
    </row>
    <row r="113" ht="15.75" customHeight="1">
      <c r="I113" s="117"/>
      <c r="K113" s="117"/>
      <c r="L113" s="118"/>
    </row>
    <row r="114" ht="15.75" customHeight="1">
      <c r="I114" s="117"/>
      <c r="K114" s="117"/>
      <c r="L114" s="118"/>
    </row>
    <row r="115" ht="15.75" customHeight="1">
      <c r="I115" s="117"/>
      <c r="K115" s="117"/>
      <c r="L115" s="118"/>
    </row>
    <row r="116" ht="15.75" customHeight="1">
      <c r="I116" s="117"/>
      <c r="K116" s="117"/>
      <c r="L116" s="118"/>
    </row>
    <row r="117" ht="15.75" customHeight="1">
      <c r="I117" s="117"/>
      <c r="K117" s="117"/>
      <c r="L117" s="118"/>
    </row>
    <row r="118" ht="15.75" customHeight="1">
      <c r="I118" s="117"/>
      <c r="K118" s="117"/>
      <c r="L118" s="118"/>
    </row>
    <row r="119" ht="15.75" customHeight="1">
      <c r="I119" s="117"/>
      <c r="K119" s="117"/>
      <c r="L119" s="118"/>
    </row>
    <row r="120" ht="15.75" customHeight="1">
      <c r="I120" s="117"/>
      <c r="K120" s="117"/>
      <c r="L120" s="118"/>
    </row>
    <row r="121" ht="15.75" customHeight="1">
      <c r="I121" s="117"/>
      <c r="K121" s="117"/>
      <c r="L121" s="118"/>
    </row>
    <row r="122" ht="15.75" customHeight="1">
      <c r="I122" s="117"/>
      <c r="K122" s="117"/>
      <c r="L122" s="118"/>
    </row>
    <row r="123" ht="15.75" customHeight="1">
      <c r="I123" s="117"/>
      <c r="K123" s="117"/>
      <c r="L123" s="118"/>
    </row>
    <row r="124" ht="15.75" customHeight="1">
      <c r="I124" s="117"/>
      <c r="K124" s="117"/>
      <c r="L124" s="118"/>
    </row>
    <row r="125" ht="15.75" customHeight="1">
      <c r="I125" s="117"/>
      <c r="K125" s="117"/>
      <c r="L125" s="118"/>
    </row>
    <row r="126" ht="15.75" customHeight="1">
      <c r="I126" s="117"/>
      <c r="K126" s="117"/>
      <c r="L126" s="118"/>
    </row>
    <row r="127" ht="15.75" customHeight="1">
      <c r="I127" s="117"/>
      <c r="K127" s="117"/>
      <c r="L127" s="118"/>
    </row>
    <row r="128" ht="15.75" customHeight="1">
      <c r="I128" s="117"/>
      <c r="K128" s="117"/>
      <c r="L128" s="118"/>
    </row>
    <row r="129" ht="15.75" customHeight="1">
      <c r="I129" s="117"/>
      <c r="K129" s="117"/>
      <c r="L129" s="118"/>
    </row>
    <row r="130" ht="15.75" customHeight="1">
      <c r="I130" s="117"/>
      <c r="K130" s="117"/>
      <c r="L130" s="118"/>
    </row>
    <row r="131" ht="15.75" customHeight="1">
      <c r="I131" s="117"/>
      <c r="K131" s="117"/>
      <c r="L131" s="118"/>
    </row>
    <row r="132" ht="15.75" customHeight="1">
      <c r="I132" s="117"/>
      <c r="K132" s="117"/>
      <c r="L132" s="118"/>
    </row>
    <row r="133" ht="15.75" customHeight="1">
      <c r="I133" s="117"/>
      <c r="K133" s="117"/>
      <c r="L133" s="118"/>
    </row>
    <row r="134" ht="15.75" customHeight="1">
      <c r="I134" s="117"/>
      <c r="K134" s="117"/>
      <c r="L134" s="118"/>
    </row>
    <row r="135" ht="15.75" customHeight="1">
      <c r="I135" s="117"/>
      <c r="K135" s="117"/>
      <c r="L135" s="118"/>
    </row>
    <row r="136" ht="15.75" customHeight="1">
      <c r="I136" s="117"/>
      <c r="K136" s="117"/>
      <c r="L136" s="118"/>
    </row>
    <row r="137" ht="15.75" customHeight="1">
      <c r="I137" s="117"/>
      <c r="K137" s="117"/>
      <c r="L137" s="118"/>
    </row>
    <row r="138" ht="15.75" customHeight="1">
      <c r="I138" s="117"/>
      <c r="K138" s="117"/>
      <c r="L138" s="118"/>
    </row>
    <row r="139" ht="15.75" customHeight="1">
      <c r="I139" s="117"/>
      <c r="K139" s="117"/>
      <c r="L139" s="118"/>
    </row>
    <row r="140" ht="15.75" customHeight="1">
      <c r="I140" s="117"/>
      <c r="K140" s="117"/>
      <c r="L140" s="118"/>
    </row>
    <row r="141" ht="15.75" customHeight="1">
      <c r="I141" s="117"/>
      <c r="K141" s="117"/>
      <c r="L141" s="118"/>
    </row>
    <row r="142" ht="15.75" customHeight="1">
      <c r="I142" s="117"/>
      <c r="K142" s="117"/>
      <c r="L142" s="118"/>
    </row>
    <row r="143" ht="15.75" customHeight="1">
      <c r="I143" s="117"/>
      <c r="K143" s="117"/>
      <c r="L143" s="118"/>
    </row>
    <row r="144" ht="15.75" customHeight="1">
      <c r="I144" s="117"/>
      <c r="K144" s="117"/>
      <c r="L144" s="118"/>
    </row>
    <row r="145" ht="15.75" customHeight="1">
      <c r="I145" s="117"/>
      <c r="K145" s="117"/>
      <c r="L145" s="118"/>
    </row>
    <row r="146" ht="15.75" customHeight="1">
      <c r="I146" s="117"/>
      <c r="K146" s="117"/>
      <c r="L146" s="118"/>
    </row>
    <row r="147" ht="15.75" customHeight="1">
      <c r="I147" s="117"/>
      <c r="K147" s="117"/>
      <c r="L147" s="118"/>
    </row>
    <row r="148" ht="15.75" customHeight="1">
      <c r="I148" s="117"/>
      <c r="K148" s="117"/>
      <c r="L148" s="118"/>
    </row>
    <row r="149" ht="15.75" customHeight="1">
      <c r="I149" s="117"/>
      <c r="K149" s="117"/>
      <c r="L149" s="118"/>
    </row>
    <row r="150" ht="15.75" customHeight="1">
      <c r="I150" s="117"/>
      <c r="K150" s="117"/>
      <c r="L150" s="118"/>
    </row>
    <row r="151" ht="15.75" customHeight="1">
      <c r="I151" s="117"/>
      <c r="K151" s="117"/>
      <c r="L151" s="118"/>
    </row>
    <row r="152" ht="15.75" customHeight="1">
      <c r="I152" s="117"/>
      <c r="K152" s="117"/>
      <c r="L152" s="118"/>
    </row>
    <row r="153" ht="15.75" customHeight="1">
      <c r="I153" s="117"/>
      <c r="K153" s="117"/>
      <c r="L153" s="118"/>
    </row>
    <row r="154" ht="15.75" customHeight="1">
      <c r="I154" s="117"/>
      <c r="K154" s="117"/>
      <c r="L154" s="118"/>
    </row>
    <row r="155" ht="15.75" customHeight="1">
      <c r="I155" s="117"/>
      <c r="K155" s="117"/>
      <c r="L155" s="118"/>
    </row>
    <row r="156" ht="15.75" customHeight="1">
      <c r="I156" s="117"/>
      <c r="K156" s="117"/>
      <c r="L156" s="118"/>
    </row>
    <row r="157" ht="15.75" customHeight="1">
      <c r="I157" s="117"/>
      <c r="K157" s="117"/>
      <c r="L157" s="118"/>
    </row>
    <row r="158" ht="15.75" customHeight="1">
      <c r="I158" s="117"/>
      <c r="K158" s="117"/>
      <c r="L158" s="118"/>
    </row>
    <row r="159" ht="15.75" customHeight="1">
      <c r="I159" s="117"/>
      <c r="K159" s="117"/>
      <c r="L159" s="118"/>
    </row>
    <row r="160" ht="15.75" customHeight="1">
      <c r="I160" s="117"/>
      <c r="K160" s="117"/>
      <c r="L160" s="118"/>
    </row>
    <row r="161" ht="15.75" customHeight="1">
      <c r="I161" s="117"/>
      <c r="K161" s="117"/>
      <c r="L161" s="118"/>
    </row>
    <row r="162" ht="15.75" customHeight="1">
      <c r="I162" s="117"/>
      <c r="K162" s="117"/>
      <c r="L162" s="118"/>
    </row>
    <row r="163" ht="15.75" customHeight="1">
      <c r="I163" s="117"/>
      <c r="K163" s="117"/>
      <c r="L163" s="118"/>
    </row>
    <row r="164" ht="15.75" customHeight="1">
      <c r="I164" s="117"/>
      <c r="K164" s="117"/>
      <c r="L164" s="118"/>
    </row>
    <row r="165" ht="15.75" customHeight="1">
      <c r="I165" s="117"/>
      <c r="K165" s="117"/>
      <c r="L165" s="118"/>
    </row>
    <row r="166" ht="15.75" customHeight="1">
      <c r="I166" s="117"/>
      <c r="K166" s="117"/>
      <c r="L166" s="118"/>
    </row>
    <row r="167" ht="15.75" customHeight="1">
      <c r="I167" s="117"/>
      <c r="K167" s="117"/>
      <c r="L167" s="118"/>
    </row>
    <row r="168" ht="15.75" customHeight="1">
      <c r="I168" s="117"/>
      <c r="K168" s="117"/>
      <c r="L168" s="118"/>
    </row>
    <row r="169" ht="15.75" customHeight="1">
      <c r="I169" s="117"/>
      <c r="K169" s="117"/>
      <c r="L169" s="118"/>
    </row>
    <row r="170" ht="15.75" customHeight="1">
      <c r="I170" s="117"/>
      <c r="K170" s="117"/>
      <c r="L170" s="118"/>
    </row>
    <row r="171" ht="15.75" customHeight="1">
      <c r="I171" s="117"/>
      <c r="K171" s="117"/>
      <c r="L171" s="118"/>
    </row>
    <row r="172" ht="15.75" customHeight="1">
      <c r="I172" s="117"/>
      <c r="K172" s="117"/>
      <c r="L172" s="118"/>
    </row>
    <row r="173" ht="15.75" customHeight="1">
      <c r="I173" s="117"/>
      <c r="K173" s="117"/>
      <c r="L173" s="118"/>
    </row>
    <row r="174" ht="15.75" customHeight="1">
      <c r="I174" s="117"/>
      <c r="K174" s="117"/>
      <c r="L174" s="118"/>
    </row>
    <row r="175" ht="15.75" customHeight="1">
      <c r="I175" s="117"/>
      <c r="K175" s="117"/>
      <c r="L175" s="118"/>
    </row>
    <row r="176" ht="15.75" customHeight="1">
      <c r="I176" s="117"/>
      <c r="K176" s="117"/>
      <c r="L176" s="118"/>
    </row>
    <row r="177" ht="15.75" customHeight="1">
      <c r="I177" s="117"/>
      <c r="K177" s="117"/>
      <c r="L177" s="118"/>
    </row>
    <row r="178" ht="15.75" customHeight="1">
      <c r="I178" s="117"/>
      <c r="K178" s="117"/>
      <c r="L178" s="118"/>
    </row>
    <row r="179" ht="15.75" customHeight="1">
      <c r="I179" s="117"/>
      <c r="K179" s="117"/>
      <c r="L179" s="118"/>
    </row>
    <row r="180" ht="15.75" customHeight="1">
      <c r="I180" s="117"/>
      <c r="K180" s="117"/>
      <c r="L180" s="118"/>
    </row>
    <row r="181" ht="15.75" customHeight="1">
      <c r="I181" s="117"/>
      <c r="K181" s="117"/>
      <c r="L181" s="118"/>
    </row>
    <row r="182" ht="15.75" customHeight="1">
      <c r="I182" s="117"/>
      <c r="K182" s="117"/>
      <c r="L182" s="118"/>
    </row>
    <row r="183" ht="15.75" customHeight="1">
      <c r="I183" s="117"/>
      <c r="K183" s="117"/>
      <c r="L183" s="118"/>
    </row>
    <row r="184" ht="15.75" customHeight="1">
      <c r="I184" s="117"/>
      <c r="K184" s="117"/>
      <c r="L184" s="118"/>
    </row>
    <row r="185" ht="15.75" customHeight="1">
      <c r="I185" s="117"/>
      <c r="K185" s="117"/>
      <c r="L185" s="118"/>
    </row>
    <row r="186" ht="15.75" customHeight="1">
      <c r="I186" s="117"/>
      <c r="K186" s="117"/>
      <c r="L186" s="118"/>
    </row>
    <row r="187" ht="15.75" customHeight="1">
      <c r="I187" s="117"/>
      <c r="K187" s="117"/>
      <c r="L187" s="118"/>
    </row>
    <row r="188" ht="15.75" customHeight="1">
      <c r="I188" s="117"/>
      <c r="K188" s="117"/>
      <c r="L188" s="118"/>
    </row>
    <row r="189" ht="15.75" customHeight="1">
      <c r="I189" s="117"/>
      <c r="K189" s="117"/>
      <c r="L189" s="118"/>
    </row>
    <row r="190" ht="15.75" customHeight="1">
      <c r="I190" s="117"/>
      <c r="K190" s="117"/>
      <c r="L190" s="118"/>
    </row>
    <row r="191" ht="15.75" customHeight="1">
      <c r="I191" s="117"/>
      <c r="K191" s="117"/>
      <c r="L191" s="118"/>
    </row>
    <row r="192" ht="15.75" customHeight="1">
      <c r="I192" s="117"/>
      <c r="K192" s="117"/>
      <c r="L192" s="118"/>
    </row>
    <row r="193" ht="15.75" customHeight="1">
      <c r="I193" s="117"/>
      <c r="K193" s="117"/>
      <c r="L193" s="118"/>
    </row>
    <row r="194" ht="15.75" customHeight="1">
      <c r="I194" s="117"/>
      <c r="K194" s="117"/>
      <c r="L194" s="118"/>
    </row>
    <row r="195" ht="15.75" customHeight="1">
      <c r="I195" s="117"/>
      <c r="K195" s="117"/>
      <c r="L195" s="118"/>
    </row>
    <row r="196" ht="15.75" customHeight="1">
      <c r="I196" s="117"/>
      <c r="K196" s="117"/>
      <c r="L196" s="118"/>
    </row>
    <row r="197" ht="15.75" customHeight="1">
      <c r="I197" s="117"/>
      <c r="K197" s="117"/>
      <c r="L197" s="118"/>
    </row>
    <row r="198" ht="15.75" customHeight="1">
      <c r="I198" s="117"/>
      <c r="K198" s="117"/>
      <c r="L198" s="118"/>
    </row>
    <row r="199" ht="15.75" customHeight="1">
      <c r="I199" s="117"/>
      <c r="K199" s="117"/>
      <c r="L199" s="118"/>
    </row>
    <row r="200" ht="15.75" customHeight="1">
      <c r="I200" s="117"/>
      <c r="K200" s="117"/>
      <c r="L200" s="118"/>
    </row>
    <row r="201" ht="15.75" customHeight="1">
      <c r="I201" s="117"/>
      <c r="K201" s="117"/>
      <c r="L201" s="118"/>
    </row>
    <row r="202" ht="15.75" customHeight="1">
      <c r="I202" s="117"/>
      <c r="K202" s="117"/>
      <c r="L202" s="118"/>
    </row>
    <row r="203" ht="15.75" customHeight="1">
      <c r="I203" s="117"/>
      <c r="K203" s="117"/>
      <c r="L203" s="118"/>
    </row>
    <row r="204" ht="15.75" customHeight="1">
      <c r="I204" s="117"/>
      <c r="K204" s="117"/>
      <c r="L204" s="118"/>
    </row>
    <row r="205" ht="15.75" customHeight="1">
      <c r="I205" s="117"/>
      <c r="K205" s="117"/>
      <c r="L205" s="118"/>
    </row>
    <row r="206" ht="15.75" customHeight="1">
      <c r="I206" s="117"/>
      <c r="K206" s="117"/>
      <c r="L206" s="118"/>
    </row>
    <row r="207" ht="15.75" customHeight="1">
      <c r="I207" s="117"/>
      <c r="K207" s="117"/>
      <c r="L207" s="118"/>
    </row>
    <row r="208" ht="15.75" customHeight="1">
      <c r="I208" s="117"/>
      <c r="K208" s="117"/>
      <c r="L208" s="118"/>
    </row>
    <row r="209" ht="15.75" customHeight="1">
      <c r="I209" s="117"/>
      <c r="K209" s="117"/>
      <c r="L209" s="118"/>
    </row>
    <row r="210" ht="15.75" customHeight="1">
      <c r="I210" s="117"/>
      <c r="K210" s="117"/>
      <c r="L210" s="118"/>
    </row>
    <row r="211" ht="15.75" customHeight="1">
      <c r="I211" s="117"/>
      <c r="K211" s="117"/>
      <c r="L211" s="118"/>
    </row>
    <row r="212" ht="15.75" customHeight="1">
      <c r="I212" s="117"/>
      <c r="K212" s="117"/>
      <c r="L212" s="118"/>
    </row>
    <row r="213" ht="15.75" customHeight="1">
      <c r="I213" s="117"/>
      <c r="K213" s="117"/>
      <c r="L213" s="118"/>
    </row>
    <row r="214" ht="15.75" customHeight="1">
      <c r="I214" s="117"/>
      <c r="K214" s="117"/>
      <c r="L214" s="118"/>
    </row>
    <row r="215" ht="15.75" customHeight="1">
      <c r="I215" s="117"/>
      <c r="K215" s="117"/>
      <c r="L215" s="118"/>
    </row>
    <row r="216" ht="15.75" customHeight="1">
      <c r="I216" s="117"/>
      <c r="K216" s="117"/>
      <c r="L216" s="118"/>
    </row>
    <row r="217" ht="15.75" customHeight="1">
      <c r="I217" s="117"/>
      <c r="K217" s="117"/>
      <c r="L217" s="118"/>
    </row>
    <row r="218" ht="15.75" customHeight="1">
      <c r="I218" s="117"/>
      <c r="K218" s="117"/>
      <c r="L218" s="118"/>
    </row>
    <row r="219" ht="15.75" customHeight="1">
      <c r="I219" s="117"/>
      <c r="K219" s="117"/>
      <c r="L219" s="118"/>
    </row>
    <row r="220" ht="15.75" customHeight="1">
      <c r="I220" s="117"/>
      <c r="K220" s="117"/>
      <c r="L220" s="118"/>
    </row>
    <row r="221" ht="15.75" customHeight="1">
      <c r="I221" s="117"/>
      <c r="K221" s="117"/>
      <c r="L221" s="118"/>
    </row>
    <row r="222" ht="15.75" customHeight="1">
      <c r="I222" s="117"/>
      <c r="K222" s="117"/>
      <c r="L222" s="118"/>
    </row>
    <row r="223" ht="15.75" customHeight="1">
      <c r="I223" s="117"/>
      <c r="K223" s="117"/>
      <c r="L223" s="118"/>
    </row>
    <row r="224" ht="15.75" customHeight="1">
      <c r="I224" s="117"/>
      <c r="K224" s="117"/>
      <c r="L224" s="118"/>
    </row>
    <row r="225" ht="15.75" customHeight="1">
      <c r="I225" s="117"/>
      <c r="K225" s="117"/>
      <c r="L225" s="118"/>
    </row>
    <row r="226" ht="15.75" customHeight="1">
      <c r="I226" s="117"/>
      <c r="K226" s="117"/>
      <c r="L226" s="118"/>
    </row>
    <row r="227" ht="15.75" customHeight="1">
      <c r="I227" s="117"/>
      <c r="K227" s="117"/>
      <c r="L227" s="118"/>
    </row>
    <row r="228" ht="15.75" customHeight="1">
      <c r="I228" s="117"/>
      <c r="K228" s="117"/>
      <c r="L228" s="118"/>
    </row>
    <row r="229" ht="15.75" customHeight="1">
      <c r="I229" s="117"/>
      <c r="K229" s="117"/>
      <c r="L229" s="118"/>
    </row>
    <row r="230" ht="15.75" customHeight="1">
      <c r="I230" s="117"/>
      <c r="K230" s="117"/>
      <c r="L230" s="118"/>
    </row>
    <row r="231" ht="15.75" customHeight="1">
      <c r="I231" s="117"/>
      <c r="K231" s="117"/>
      <c r="L231" s="118"/>
    </row>
    <row r="232" ht="15.75" customHeight="1">
      <c r="I232" s="117"/>
      <c r="K232" s="117"/>
      <c r="L232" s="118"/>
    </row>
    <row r="233" ht="15.75" customHeight="1">
      <c r="I233" s="117"/>
      <c r="K233" s="117"/>
      <c r="L233" s="118"/>
    </row>
    <row r="234" ht="15.75" customHeight="1">
      <c r="I234" s="117"/>
      <c r="K234" s="117"/>
      <c r="L234" s="118"/>
    </row>
    <row r="235" ht="15.75" customHeight="1">
      <c r="I235" s="117"/>
      <c r="K235" s="117"/>
      <c r="L235" s="118"/>
    </row>
    <row r="236" ht="15.75" customHeight="1">
      <c r="I236" s="117"/>
      <c r="K236" s="117"/>
      <c r="L236" s="118"/>
    </row>
    <row r="237" ht="15.75" customHeight="1">
      <c r="I237" s="117"/>
      <c r="K237" s="117"/>
      <c r="L237" s="118"/>
    </row>
    <row r="238" ht="15.75" customHeight="1">
      <c r="I238" s="117"/>
      <c r="K238" s="117"/>
      <c r="L238" s="118"/>
    </row>
    <row r="239" ht="15.75" customHeight="1">
      <c r="I239" s="117"/>
      <c r="K239" s="117"/>
      <c r="L239" s="118"/>
    </row>
    <row r="240" ht="15.75" customHeight="1">
      <c r="I240" s="117"/>
      <c r="K240" s="117"/>
      <c r="L240" s="118"/>
    </row>
    <row r="241" ht="15.75" customHeight="1">
      <c r="I241" s="117"/>
      <c r="K241" s="117"/>
      <c r="L241" s="118"/>
    </row>
    <row r="242" ht="15.75" customHeight="1">
      <c r="I242" s="117"/>
      <c r="K242" s="117"/>
      <c r="L242" s="118"/>
    </row>
    <row r="243" ht="15.75" customHeight="1">
      <c r="I243" s="117"/>
      <c r="K243" s="117"/>
      <c r="L243" s="118"/>
    </row>
    <row r="244" ht="15.75" customHeight="1">
      <c r="I244" s="117"/>
      <c r="K244" s="117"/>
      <c r="L244" s="118"/>
    </row>
    <row r="245" ht="15.75" customHeight="1">
      <c r="I245" s="117"/>
      <c r="K245" s="117"/>
      <c r="L245" s="118"/>
    </row>
    <row r="246" ht="15.75" customHeight="1">
      <c r="I246" s="117"/>
      <c r="K246" s="117"/>
      <c r="L246" s="118"/>
    </row>
    <row r="247" ht="15.75" customHeight="1">
      <c r="I247" s="117"/>
      <c r="K247" s="117"/>
      <c r="L247" s="118"/>
    </row>
    <row r="248" ht="15.75" customHeight="1">
      <c r="I248" s="117"/>
      <c r="K248" s="117"/>
      <c r="L248" s="118"/>
    </row>
    <row r="249" ht="15.75" customHeight="1">
      <c r="I249" s="117"/>
      <c r="K249" s="117"/>
      <c r="L249" s="118"/>
    </row>
    <row r="250" ht="15.75" customHeight="1">
      <c r="I250" s="117"/>
      <c r="K250" s="117"/>
      <c r="L250" s="118"/>
    </row>
    <row r="251" ht="15.75" customHeight="1">
      <c r="I251" s="117"/>
      <c r="K251" s="117"/>
      <c r="L251" s="118"/>
    </row>
    <row r="252" ht="15.75" customHeight="1">
      <c r="I252" s="117"/>
      <c r="K252" s="117"/>
      <c r="L252" s="118"/>
    </row>
    <row r="253" ht="15.75" customHeight="1">
      <c r="I253" s="117"/>
      <c r="K253" s="117"/>
      <c r="L253" s="118"/>
    </row>
    <row r="254" ht="15.75" customHeight="1">
      <c r="I254" s="117"/>
      <c r="K254" s="117"/>
      <c r="L254" s="118"/>
    </row>
    <row r="255" ht="15.75" customHeight="1">
      <c r="I255" s="117"/>
      <c r="K255" s="117"/>
      <c r="L255" s="118"/>
    </row>
    <row r="256" ht="15.75" customHeight="1">
      <c r="I256" s="117"/>
      <c r="K256" s="117"/>
      <c r="L256" s="118"/>
    </row>
    <row r="257" ht="15.75" customHeight="1">
      <c r="I257" s="117"/>
      <c r="K257" s="117"/>
      <c r="L257" s="118"/>
    </row>
    <row r="258" ht="15.75" customHeight="1">
      <c r="I258" s="117"/>
      <c r="K258" s="117"/>
      <c r="L258" s="118"/>
    </row>
    <row r="259" ht="15.75" customHeight="1">
      <c r="I259" s="117"/>
      <c r="K259" s="117"/>
      <c r="L259" s="118"/>
    </row>
    <row r="260" ht="15.75" customHeight="1">
      <c r="I260" s="117"/>
      <c r="K260" s="117"/>
      <c r="L260" s="118"/>
    </row>
    <row r="261" ht="15.75" customHeight="1">
      <c r="I261" s="117"/>
      <c r="K261" s="117"/>
      <c r="L261" s="118"/>
    </row>
    <row r="262" ht="15.75" customHeight="1">
      <c r="I262" s="117"/>
      <c r="K262" s="117"/>
      <c r="L262" s="118"/>
    </row>
    <row r="263" ht="15.75" customHeight="1">
      <c r="I263" s="117"/>
      <c r="K263" s="117"/>
      <c r="L263" s="118"/>
    </row>
    <row r="264" ht="15.75" customHeight="1">
      <c r="I264" s="117"/>
      <c r="K264" s="117"/>
      <c r="L264" s="118"/>
    </row>
    <row r="265" ht="15.75" customHeight="1">
      <c r="I265" s="117"/>
      <c r="K265" s="117"/>
      <c r="L265" s="118"/>
    </row>
    <row r="266" ht="15.75" customHeight="1">
      <c r="I266" s="117"/>
      <c r="K266" s="117"/>
      <c r="L266" s="118"/>
    </row>
    <row r="267" ht="15.75" customHeight="1">
      <c r="I267" s="117"/>
      <c r="K267" s="117"/>
      <c r="L267" s="118"/>
    </row>
    <row r="268" ht="15.75" customHeight="1">
      <c r="I268" s="117"/>
      <c r="K268" s="117"/>
      <c r="L268" s="118"/>
    </row>
    <row r="269" ht="15.75" customHeight="1">
      <c r="I269" s="117"/>
      <c r="K269" s="117"/>
      <c r="L269" s="118"/>
    </row>
    <row r="270" ht="15.75" customHeight="1">
      <c r="I270" s="117"/>
      <c r="K270" s="117"/>
      <c r="L270" s="118"/>
    </row>
    <row r="271" ht="15.75" customHeight="1">
      <c r="I271" s="117"/>
      <c r="K271" s="117"/>
      <c r="L271" s="118"/>
    </row>
    <row r="272" ht="15.75" customHeight="1">
      <c r="I272" s="117"/>
      <c r="K272" s="117"/>
      <c r="L272" s="118"/>
    </row>
    <row r="273" ht="15.75" customHeight="1">
      <c r="I273" s="117"/>
      <c r="K273" s="117"/>
      <c r="L273" s="118"/>
    </row>
    <row r="274" ht="15.75" customHeight="1">
      <c r="I274" s="117"/>
      <c r="K274" s="117"/>
      <c r="L274" s="118"/>
    </row>
    <row r="275" ht="15.75" customHeight="1">
      <c r="I275" s="117"/>
      <c r="K275" s="117"/>
      <c r="L275" s="118"/>
    </row>
    <row r="276" ht="15.75" customHeight="1">
      <c r="I276" s="117"/>
      <c r="K276" s="117"/>
      <c r="L276" s="118"/>
    </row>
    <row r="277" ht="15.75" customHeight="1">
      <c r="I277" s="117"/>
      <c r="K277" s="117"/>
      <c r="L277" s="118"/>
    </row>
    <row r="278" ht="15.75" customHeight="1">
      <c r="I278" s="117"/>
      <c r="K278" s="117"/>
      <c r="L278" s="118"/>
    </row>
    <row r="279" ht="15.75" customHeight="1">
      <c r="I279" s="117"/>
      <c r="K279" s="117"/>
      <c r="L279" s="118"/>
    </row>
    <row r="280" ht="15.75" customHeight="1">
      <c r="I280" s="117"/>
      <c r="K280" s="117"/>
      <c r="L280" s="118"/>
    </row>
    <row r="281" ht="15.75" customHeight="1">
      <c r="I281" s="117"/>
      <c r="K281" s="117"/>
      <c r="L281" s="118"/>
    </row>
    <row r="282" ht="15.75" customHeight="1">
      <c r="I282" s="117"/>
      <c r="K282" s="117"/>
      <c r="L282" s="118"/>
    </row>
    <row r="283" ht="15.75" customHeight="1">
      <c r="I283" s="117"/>
      <c r="K283" s="117"/>
      <c r="L283" s="118"/>
    </row>
    <row r="284" ht="15.75" customHeight="1">
      <c r="I284" s="117"/>
      <c r="K284" s="117"/>
      <c r="L284" s="118"/>
    </row>
    <row r="285" ht="15.75" customHeight="1">
      <c r="I285" s="117"/>
      <c r="K285" s="117"/>
      <c r="L285" s="118"/>
    </row>
    <row r="286" ht="15.75" customHeight="1">
      <c r="I286" s="117"/>
      <c r="K286" s="117"/>
      <c r="L286" s="118"/>
    </row>
    <row r="287" ht="15.75" customHeight="1">
      <c r="I287" s="117"/>
      <c r="K287" s="117"/>
      <c r="L287" s="118"/>
    </row>
    <row r="288" ht="15.75" customHeight="1">
      <c r="I288" s="117"/>
      <c r="K288" s="117"/>
      <c r="L288" s="118"/>
    </row>
    <row r="289" ht="15.75" customHeight="1">
      <c r="I289" s="117"/>
      <c r="K289" s="117"/>
      <c r="L289" s="118"/>
    </row>
    <row r="290" ht="15.75" customHeight="1">
      <c r="I290" s="117"/>
      <c r="K290" s="117"/>
      <c r="L290" s="118"/>
    </row>
    <row r="291" ht="15.75" customHeight="1">
      <c r="I291" s="117"/>
      <c r="K291" s="117"/>
      <c r="L291" s="118"/>
    </row>
    <row r="292" ht="15.75" customHeight="1">
      <c r="I292" s="117"/>
      <c r="K292" s="117"/>
      <c r="L292" s="118"/>
    </row>
    <row r="293" ht="15.75" customHeight="1">
      <c r="I293" s="117"/>
      <c r="K293" s="117"/>
      <c r="L293" s="118"/>
    </row>
    <row r="294" ht="15.75" customHeight="1">
      <c r="I294" s="117"/>
      <c r="K294" s="117"/>
      <c r="L294" s="118"/>
    </row>
    <row r="295" ht="15.75" customHeight="1">
      <c r="I295" s="117"/>
      <c r="K295" s="117"/>
      <c r="L295" s="118"/>
    </row>
    <row r="296" ht="15.75" customHeight="1">
      <c r="I296" s="117"/>
      <c r="K296" s="117"/>
      <c r="L296" s="118"/>
    </row>
    <row r="297" ht="15.75" customHeight="1">
      <c r="I297" s="117"/>
      <c r="K297" s="117"/>
      <c r="L297" s="118"/>
    </row>
    <row r="298" ht="15.75" customHeight="1">
      <c r="I298" s="117"/>
      <c r="K298" s="117"/>
      <c r="L298" s="118"/>
    </row>
    <row r="299" ht="15.75" customHeight="1">
      <c r="I299" s="117"/>
      <c r="K299" s="117"/>
      <c r="L299" s="118"/>
    </row>
    <row r="300" ht="15.75" customHeight="1">
      <c r="I300" s="117"/>
      <c r="K300" s="117"/>
      <c r="L300" s="118"/>
    </row>
    <row r="301" ht="15.75" customHeight="1">
      <c r="I301" s="117"/>
      <c r="K301" s="117"/>
      <c r="L301" s="118"/>
    </row>
    <row r="302" ht="15.75" customHeight="1">
      <c r="I302" s="117"/>
      <c r="K302" s="117"/>
      <c r="L302" s="118"/>
    </row>
    <row r="303" ht="15.75" customHeight="1">
      <c r="I303" s="117"/>
      <c r="K303" s="117"/>
      <c r="L303" s="118"/>
    </row>
    <row r="304" ht="15.75" customHeight="1">
      <c r="I304" s="117"/>
      <c r="K304" s="117"/>
      <c r="L304" s="118"/>
    </row>
    <row r="305" ht="15.75" customHeight="1">
      <c r="I305" s="117"/>
      <c r="K305" s="117"/>
      <c r="L305" s="118"/>
    </row>
    <row r="306" ht="15.75" customHeight="1">
      <c r="I306" s="117"/>
      <c r="K306" s="117"/>
      <c r="L306" s="118"/>
    </row>
    <row r="307" ht="15.75" customHeight="1">
      <c r="I307" s="117"/>
      <c r="K307" s="117"/>
      <c r="L307" s="118"/>
    </row>
    <row r="308" ht="15.75" customHeight="1">
      <c r="I308" s="117"/>
      <c r="K308" s="117"/>
      <c r="L308" s="118"/>
    </row>
    <row r="309" ht="15.75" customHeight="1">
      <c r="I309" s="117"/>
      <c r="K309" s="117"/>
      <c r="L309" s="118"/>
    </row>
    <row r="310" ht="15.75" customHeight="1">
      <c r="I310" s="117"/>
      <c r="K310" s="117"/>
      <c r="L310" s="118"/>
    </row>
    <row r="311" ht="15.75" customHeight="1">
      <c r="I311" s="117"/>
      <c r="K311" s="117"/>
      <c r="L311" s="118"/>
    </row>
    <row r="312" ht="15.75" customHeight="1">
      <c r="I312" s="117"/>
      <c r="K312" s="117"/>
      <c r="L312" s="118"/>
    </row>
    <row r="313" ht="15.75" customHeight="1">
      <c r="I313" s="117"/>
      <c r="K313" s="117"/>
      <c r="L313" s="118"/>
    </row>
    <row r="314" ht="15.75" customHeight="1">
      <c r="I314" s="117"/>
      <c r="K314" s="117"/>
      <c r="L314" s="118"/>
    </row>
    <row r="315" ht="15.75" customHeight="1">
      <c r="I315" s="117"/>
      <c r="K315" s="117"/>
      <c r="L315" s="118"/>
    </row>
    <row r="316" ht="15.75" customHeight="1">
      <c r="I316" s="117"/>
      <c r="K316" s="117"/>
      <c r="L316" s="118"/>
    </row>
    <row r="317" ht="15.75" customHeight="1">
      <c r="I317" s="117"/>
      <c r="K317" s="117"/>
      <c r="L317" s="118"/>
    </row>
    <row r="318" ht="15.75" customHeight="1">
      <c r="I318" s="117"/>
      <c r="K318" s="117"/>
      <c r="L318" s="118"/>
    </row>
    <row r="319" ht="15.75" customHeight="1">
      <c r="I319" s="117"/>
      <c r="K319" s="117"/>
      <c r="L319" s="118"/>
    </row>
    <row r="320" ht="15.75" customHeight="1">
      <c r="I320" s="117"/>
      <c r="K320" s="117"/>
      <c r="L320" s="118"/>
    </row>
    <row r="321" ht="15.75" customHeight="1">
      <c r="I321" s="117"/>
      <c r="K321" s="117"/>
      <c r="L321" s="118"/>
    </row>
    <row r="322" ht="15.75" customHeight="1">
      <c r="I322" s="117"/>
      <c r="K322" s="117"/>
      <c r="L322" s="118"/>
    </row>
    <row r="323" ht="15.75" customHeight="1">
      <c r="I323" s="117"/>
      <c r="K323" s="117"/>
      <c r="L323" s="118"/>
    </row>
    <row r="324" ht="15.75" customHeight="1">
      <c r="I324" s="117"/>
      <c r="K324" s="117"/>
      <c r="L324" s="118"/>
    </row>
    <row r="325" ht="15.75" customHeight="1">
      <c r="I325" s="117"/>
      <c r="K325" s="117"/>
      <c r="L325" s="118"/>
    </row>
    <row r="326" ht="15.75" customHeight="1">
      <c r="I326" s="117"/>
      <c r="K326" s="117"/>
      <c r="L326" s="118"/>
    </row>
    <row r="327" ht="15.75" customHeight="1">
      <c r="I327" s="117"/>
      <c r="K327" s="117"/>
      <c r="L327" s="118"/>
    </row>
    <row r="328" ht="15.75" customHeight="1">
      <c r="I328" s="117"/>
      <c r="K328" s="117"/>
      <c r="L328" s="118"/>
    </row>
    <row r="329" ht="15.75" customHeight="1">
      <c r="I329" s="117"/>
      <c r="K329" s="117"/>
      <c r="L329" s="118"/>
    </row>
    <row r="330" ht="15.75" customHeight="1">
      <c r="I330" s="117"/>
      <c r="K330" s="117"/>
      <c r="L330" s="118"/>
    </row>
    <row r="331" ht="15.75" customHeight="1">
      <c r="I331" s="117"/>
      <c r="K331" s="117"/>
      <c r="L331" s="118"/>
    </row>
    <row r="332" ht="15.75" customHeight="1">
      <c r="I332" s="117"/>
      <c r="K332" s="117"/>
      <c r="L332" s="118"/>
    </row>
    <row r="333" ht="15.75" customHeight="1">
      <c r="I333" s="117"/>
      <c r="K333" s="117"/>
      <c r="L333" s="118"/>
    </row>
    <row r="334" ht="15.75" customHeight="1">
      <c r="I334" s="117"/>
      <c r="K334" s="117"/>
      <c r="L334" s="118"/>
    </row>
    <row r="335" ht="15.75" customHeight="1">
      <c r="I335" s="117"/>
      <c r="K335" s="117"/>
      <c r="L335" s="118"/>
    </row>
    <row r="336" ht="15.75" customHeight="1">
      <c r="I336" s="117"/>
      <c r="K336" s="117"/>
      <c r="L336" s="118"/>
    </row>
    <row r="337" ht="15.75" customHeight="1">
      <c r="I337" s="117"/>
      <c r="K337" s="117"/>
      <c r="L337" s="118"/>
    </row>
    <row r="338" ht="15.75" customHeight="1">
      <c r="I338" s="117"/>
      <c r="K338" s="117"/>
      <c r="L338" s="118"/>
    </row>
    <row r="339" ht="15.75" customHeight="1">
      <c r="I339" s="117"/>
      <c r="K339" s="117"/>
      <c r="L339" s="118"/>
    </row>
    <row r="340" ht="15.75" customHeight="1">
      <c r="I340" s="117"/>
      <c r="K340" s="117"/>
      <c r="L340" s="118"/>
    </row>
    <row r="341" ht="15.75" customHeight="1">
      <c r="I341" s="117"/>
      <c r="K341" s="117"/>
      <c r="L341" s="118"/>
    </row>
    <row r="342" ht="15.75" customHeight="1">
      <c r="I342" s="117"/>
      <c r="K342" s="117"/>
      <c r="L342" s="118"/>
    </row>
    <row r="343" ht="15.75" customHeight="1">
      <c r="I343" s="117"/>
      <c r="K343" s="117"/>
      <c r="L343" s="118"/>
    </row>
    <row r="344" ht="15.75" customHeight="1">
      <c r="I344" s="117"/>
      <c r="K344" s="117"/>
      <c r="L344" s="118"/>
    </row>
    <row r="345" ht="15.75" customHeight="1">
      <c r="I345" s="117"/>
      <c r="K345" s="117"/>
      <c r="L345" s="118"/>
    </row>
    <row r="346" ht="15.75" customHeight="1">
      <c r="I346" s="117"/>
      <c r="K346" s="117"/>
      <c r="L346" s="118"/>
    </row>
    <row r="347" ht="15.75" customHeight="1">
      <c r="I347" s="117"/>
      <c r="K347" s="117"/>
      <c r="L347" s="118"/>
    </row>
    <row r="348" ht="15.75" customHeight="1">
      <c r="I348" s="117"/>
      <c r="K348" s="117"/>
      <c r="L348" s="118"/>
    </row>
    <row r="349" ht="15.75" customHeight="1">
      <c r="I349" s="117"/>
      <c r="K349" s="117"/>
      <c r="L349" s="118"/>
    </row>
    <row r="350" ht="15.75" customHeight="1">
      <c r="I350" s="117"/>
      <c r="K350" s="117"/>
      <c r="L350" s="118"/>
    </row>
    <row r="351" ht="15.75" customHeight="1">
      <c r="I351" s="117"/>
      <c r="K351" s="117"/>
      <c r="L351" s="118"/>
    </row>
    <row r="352" ht="15.75" customHeight="1">
      <c r="I352" s="117"/>
      <c r="K352" s="117"/>
      <c r="L352" s="118"/>
    </row>
    <row r="353" ht="15.75" customHeight="1">
      <c r="I353" s="117"/>
      <c r="K353" s="117"/>
      <c r="L353" s="118"/>
    </row>
    <row r="354" ht="15.75" customHeight="1">
      <c r="I354" s="117"/>
      <c r="K354" s="117"/>
      <c r="L354" s="118"/>
    </row>
    <row r="355" ht="15.75" customHeight="1">
      <c r="I355" s="117"/>
      <c r="K355" s="117"/>
      <c r="L355" s="118"/>
    </row>
    <row r="356" ht="15.75" customHeight="1">
      <c r="I356" s="117"/>
      <c r="K356" s="117"/>
      <c r="L356" s="118"/>
    </row>
    <row r="357" ht="15.75" customHeight="1">
      <c r="I357" s="117"/>
      <c r="K357" s="117"/>
      <c r="L357" s="118"/>
    </row>
    <row r="358" ht="15.75" customHeight="1">
      <c r="I358" s="117"/>
      <c r="K358" s="117"/>
      <c r="L358" s="118"/>
    </row>
    <row r="359" ht="15.75" customHeight="1">
      <c r="I359" s="117"/>
      <c r="K359" s="117"/>
      <c r="L359" s="118"/>
    </row>
    <row r="360" ht="15.75" customHeight="1">
      <c r="I360" s="117"/>
      <c r="K360" s="117"/>
      <c r="L360" s="118"/>
    </row>
    <row r="361" ht="15.75" customHeight="1">
      <c r="I361" s="117"/>
      <c r="K361" s="117"/>
      <c r="L361" s="118"/>
    </row>
    <row r="362" ht="15.75" customHeight="1">
      <c r="I362" s="117"/>
      <c r="K362" s="117"/>
      <c r="L362" s="118"/>
    </row>
    <row r="363" ht="15.75" customHeight="1">
      <c r="I363" s="117"/>
      <c r="K363" s="117"/>
      <c r="L363" s="118"/>
    </row>
    <row r="364" ht="15.75" customHeight="1">
      <c r="I364" s="117"/>
      <c r="K364" s="117"/>
      <c r="L364" s="118"/>
    </row>
    <row r="365" ht="15.75" customHeight="1">
      <c r="I365" s="117"/>
      <c r="K365" s="117"/>
      <c r="L365" s="118"/>
    </row>
    <row r="366" ht="15.75" customHeight="1">
      <c r="I366" s="117"/>
      <c r="K366" s="117"/>
      <c r="L366" s="118"/>
    </row>
    <row r="367" ht="15.75" customHeight="1">
      <c r="I367" s="117"/>
      <c r="K367" s="117"/>
      <c r="L367" s="118"/>
    </row>
    <row r="368" ht="15.75" customHeight="1">
      <c r="I368" s="117"/>
      <c r="K368" s="117"/>
      <c r="L368" s="118"/>
    </row>
    <row r="369" ht="15.75" customHeight="1">
      <c r="I369" s="117"/>
      <c r="K369" s="117"/>
      <c r="L369" s="118"/>
    </row>
    <row r="370" ht="15.75" customHeight="1">
      <c r="I370" s="117"/>
      <c r="K370" s="117"/>
      <c r="L370" s="118"/>
    </row>
    <row r="371" ht="15.75" customHeight="1">
      <c r="I371" s="117"/>
      <c r="K371" s="117"/>
      <c r="L371" s="118"/>
    </row>
    <row r="372" ht="15.75" customHeight="1">
      <c r="I372" s="117"/>
      <c r="K372" s="117"/>
      <c r="L372" s="118"/>
    </row>
    <row r="373" ht="15.75" customHeight="1">
      <c r="I373" s="117"/>
      <c r="K373" s="117"/>
      <c r="L373" s="118"/>
    </row>
    <row r="374" ht="15.75" customHeight="1">
      <c r="I374" s="117"/>
      <c r="K374" s="117"/>
      <c r="L374" s="118"/>
    </row>
    <row r="375" ht="15.75" customHeight="1">
      <c r="I375" s="117"/>
      <c r="K375" s="117"/>
      <c r="L375" s="118"/>
    </row>
    <row r="376" ht="15.75" customHeight="1">
      <c r="I376" s="117"/>
      <c r="K376" s="117"/>
      <c r="L376" s="118"/>
    </row>
    <row r="377" ht="15.75" customHeight="1">
      <c r="I377" s="117"/>
      <c r="K377" s="117"/>
      <c r="L377" s="118"/>
    </row>
    <row r="378" ht="15.75" customHeight="1">
      <c r="I378" s="117"/>
      <c r="K378" s="117"/>
      <c r="L378" s="118"/>
    </row>
    <row r="379" ht="15.75" customHeight="1">
      <c r="I379" s="117"/>
      <c r="K379" s="117"/>
      <c r="L379" s="118"/>
    </row>
    <row r="380" ht="15.75" customHeight="1">
      <c r="I380" s="117"/>
      <c r="K380" s="117"/>
      <c r="L380" s="118"/>
    </row>
    <row r="381" ht="15.75" customHeight="1">
      <c r="I381" s="117"/>
      <c r="K381" s="117"/>
      <c r="L381" s="118"/>
    </row>
    <row r="382" ht="15.75" customHeight="1">
      <c r="I382" s="117"/>
      <c r="K382" s="117"/>
      <c r="L382" s="118"/>
    </row>
    <row r="383" ht="15.75" customHeight="1">
      <c r="I383" s="117"/>
      <c r="K383" s="117"/>
      <c r="L383" s="118"/>
    </row>
    <row r="384" ht="15.75" customHeight="1">
      <c r="I384" s="117"/>
      <c r="K384" s="117"/>
      <c r="L384" s="118"/>
    </row>
    <row r="385" ht="15.75" customHeight="1">
      <c r="I385" s="117"/>
      <c r="K385" s="117"/>
      <c r="L385" s="118"/>
    </row>
    <row r="386" ht="15.75" customHeight="1">
      <c r="I386" s="117"/>
      <c r="K386" s="117"/>
      <c r="L386" s="118"/>
    </row>
    <row r="387" ht="15.75" customHeight="1">
      <c r="I387" s="117"/>
      <c r="K387" s="117"/>
      <c r="L387" s="118"/>
    </row>
    <row r="388" ht="15.75" customHeight="1">
      <c r="I388" s="117"/>
      <c r="K388" s="117"/>
      <c r="L388" s="118"/>
    </row>
    <row r="389" ht="15.75" customHeight="1">
      <c r="I389" s="117"/>
      <c r="K389" s="117"/>
      <c r="L389" s="118"/>
    </row>
    <row r="390" ht="15.75" customHeight="1">
      <c r="I390" s="117"/>
      <c r="K390" s="117"/>
      <c r="L390" s="118"/>
    </row>
    <row r="391" ht="15.75" customHeight="1">
      <c r="I391" s="117"/>
      <c r="K391" s="117"/>
      <c r="L391" s="118"/>
    </row>
    <row r="392" ht="15.75" customHeight="1">
      <c r="I392" s="117"/>
      <c r="K392" s="117"/>
      <c r="L392" s="118"/>
    </row>
    <row r="393" ht="15.75" customHeight="1">
      <c r="I393" s="117"/>
      <c r="K393" s="117"/>
      <c r="L393" s="118"/>
    </row>
    <row r="394" ht="15.75" customHeight="1">
      <c r="I394" s="117"/>
      <c r="K394" s="117"/>
      <c r="L394" s="118"/>
    </row>
    <row r="395" ht="15.75" customHeight="1">
      <c r="I395" s="117"/>
      <c r="K395" s="117"/>
      <c r="L395" s="118"/>
    </row>
    <row r="396" ht="15.75" customHeight="1">
      <c r="I396" s="117"/>
      <c r="K396" s="117"/>
      <c r="L396" s="118"/>
    </row>
    <row r="397" ht="15.75" customHeight="1">
      <c r="I397" s="117"/>
      <c r="K397" s="117"/>
      <c r="L397" s="118"/>
    </row>
    <row r="398" ht="15.75" customHeight="1">
      <c r="I398" s="117"/>
      <c r="K398" s="117"/>
      <c r="L398" s="118"/>
    </row>
    <row r="399" ht="15.75" customHeight="1">
      <c r="I399" s="117"/>
      <c r="K399" s="117"/>
      <c r="L399" s="118"/>
    </row>
    <row r="400" ht="15.75" customHeight="1">
      <c r="I400" s="117"/>
      <c r="K400" s="117"/>
      <c r="L400" s="118"/>
    </row>
    <row r="401" ht="15.75" customHeight="1">
      <c r="I401" s="117"/>
      <c r="K401" s="117"/>
      <c r="L401" s="118"/>
    </row>
    <row r="402" ht="15.75" customHeight="1">
      <c r="I402" s="117"/>
      <c r="K402" s="117"/>
      <c r="L402" s="118"/>
    </row>
    <row r="403" ht="15.75" customHeight="1">
      <c r="I403" s="117"/>
      <c r="K403" s="117"/>
      <c r="L403" s="118"/>
    </row>
    <row r="404" ht="15.75" customHeight="1">
      <c r="I404" s="117"/>
      <c r="K404" s="117"/>
      <c r="L404" s="118"/>
    </row>
    <row r="405" ht="15.75" customHeight="1">
      <c r="I405" s="117"/>
      <c r="K405" s="117"/>
      <c r="L405" s="118"/>
    </row>
    <row r="406" ht="15.75" customHeight="1">
      <c r="I406" s="117"/>
      <c r="K406" s="117"/>
      <c r="L406" s="118"/>
    </row>
    <row r="407" ht="15.75" customHeight="1">
      <c r="I407" s="117"/>
      <c r="K407" s="117"/>
      <c r="L407" s="118"/>
    </row>
    <row r="408" ht="15.75" customHeight="1">
      <c r="I408" s="117"/>
      <c r="K408" s="117"/>
      <c r="L408" s="118"/>
    </row>
    <row r="409" ht="15.75" customHeight="1">
      <c r="I409" s="117"/>
      <c r="K409" s="117"/>
      <c r="L409" s="118"/>
    </row>
    <row r="410" ht="15.75" customHeight="1">
      <c r="I410" s="117"/>
      <c r="K410" s="117"/>
      <c r="L410" s="118"/>
    </row>
    <row r="411" ht="15.75" customHeight="1">
      <c r="I411" s="117"/>
      <c r="K411" s="117"/>
      <c r="L411" s="118"/>
    </row>
    <row r="412" ht="15.75" customHeight="1">
      <c r="I412" s="117"/>
      <c r="K412" s="117"/>
      <c r="L412" s="118"/>
    </row>
    <row r="413" ht="15.75" customHeight="1">
      <c r="I413" s="117"/>
      <c r="K413" s="117"/>
      <c r="L413" s="118"/>
    </row>
    <row r="414" ht="15.75" customHeight="1">
      <c r="I414" s="117"/>
      <c r="K414" s="117"/>
      <c r="L414" s="118"/>
    </row>
    <row r="415" ht="15.75" customHeight="1">
      <c r="I415" s="117"/>
      <c r="K415" s="117"/>
      <c r="L415" s="118"/>
    </row>
    <row r="416" ht="15.75" customHeight="1">
      <c r="I416" s="117"/>
      <c r="K416" s="117"/>
      <c r="L416" s="118"/>
    </row>
    <row r="417" ht="15.75" customHeight="1">
      <c r="I417" s="117"/>
      <c r="K417" s="117"/>
      <c r="L417" s="118"/>
    </row>
    <row r="418" ht="15.75" customHeight="1">
      <c r="I418" s="117"/>
      <c r="K418" s="117"/>
      <c r="L418" s="118"/>
    </row>
    <row r="419" ht="15.75" customHeight="1">
      <c r="I419" s="117"/>
      <c r="K419" s="117"/>
      <c r="L419" s="118"/>
    </row>
    <row r="420" ht="15.75" customHeight="1">
      <c r="I420" s="117"/>
      <c r="K420" s="117"/>
      <c r="L420" s="118"/>
    </row>
    <row r="421" ht="15.75" customHeight="1">
      <c r="I421" s="117"/>
      <c r="K421" s="117"/>
      <c r="L421" s="118"/>
    </row>
    <row r="422" ht="15.75" customHeight="1">
      <c r="I422" s="117"/>
      <c r="K422" s="117"/>
      <c r="L422" s="118"/>
    </row>
    <row r="423" ht="15.75" customHeight="1">
      <c r="I423" s="117"/>
      <c r="K423" s="117"/>
      <c r="L423" s="118"/>
    </row>
    <row r="424" ht="15.75" customHeight="1">
      <c r="I424" s="117"/>
      <c r="K424" s="117"/>
      <c r="L424" s="118"/>
    </row>
    <row r="425" ht="15.75" customHeight="1">
      <c r="I425" s="117"/>
      <c r="K425" s="117"/>
      <c r="L425" s="118"/>
    </row>
    <row r="426" ht="15.75" customHeight="1">
      <c r="I426" s="117"/>
      <c r="K426" s="117"/>
      <c r="L426" s="118"/>
    </row>
    <row r="427" ht="15.75" customHeight="1">
      <c r="I427" s="117"/>
      <c r="K427" s="117"/>
      <c r="L427" s="118"/>
    </row>
    <row r="428" ht="15.75" customHeight="1">
      <c r="I428" s="117"/>
      <c r="K428" s="117"/>
      <c r="L428" s="118"/>
    </row>
    <row r="429" ht="15.75" customHeight="1">
      <c r="I429" s="117"/>
      <c r="K429" s="117"/>
      <c r="L429" s="118"/>
    </row>
    <row r="430" ht="15.75" customHeight="1">
      <c r="I430" s="117"/>
      <c r="K430" s="117"/>
      <c r="L430" s="118"/>
    </row>
    <row r="431" ht="15.75" customHeight="1">
      <c r="I431" s="117"/>
      <c r="K431" s="117"/>
      <c r="L431" s="118"/>
    </row>
    <row r="432" ht="15.75" customHeight="1">
      <c r="I432" s="117"/>
      <c r="K432" s="117"/>
      <c r="L432" s="118"/>
    </row>
    <row r="433" ht="15.75" customHeight="1">
      <c r="I433" s="117"/>
      <c r="K433" s="117"/>
      <c r="L433" s="118"/>
    </row>
    <row r="434" ht="15.75" customHeight="1">
      <c r="I434" s="117"/>
      <c r="K434" s="117"/>
      <c r="L434" s="118"/>
    </row>
    <row r="435" ht="15.75" customHeight="1">
      <c r="I435" s="117"/>
      <c r="K435" s="117"/>
      <c r="L435" s="118"/>
    </row>
    <row r="436" ht="15.75" customHeight="1">
      <c r="I436" s="117"/>
      <c r="K436" s="117"/>
      <c r="L436" s="118"/>
    </row>
    <row r="437" ht="15.75" customHeight="1">
      <c r="I437" s="117"/>
      <c r="K437" s="117"/>
      <c r="L437" s="118"/>
    </row>
    <row r="438" ht="15.75" customHeight="1">
      <c r="I438" s="117"/>
      <c r="K438" s="117"/>
      <c r="L438" s="118"/>
    </row>
    <row r="439" ht="15.75" customHeight="1">
      <c r="I439" s="117"/>
      <c r="K439" s="117"/>
      <c r="L439" s="118"/>
    </row>
    <row r="440" ht="15.75" customHeight="1">
      <c r="I440" s="117"/>
      <c r="K440" s="117"/>
      <c r="L440" s="118"/>
    </row>
    <row r="441" ht="15.75" customHeight="1">
      <c r="I441" s="117"/>
      <c r="K441" s="117"/>
      <c r="L441" s="118"/>
    </row>
    <row r="442" ht="15.75" customHeight="1">
      <c r="I442" s="117"/>
      <c r="K442" s="117"/>
      <c r="L442" s="118"/>
    </row>
    <row r="443" ht="15.75" customHeight="1">
      <c r="I443" s="117"/>
      <c r="K443" s="117"/>
      <c r="L443" s="118"/>
    </row>
    <row r="444" ht="15.75" customHeight="1">
      <c r="I444" s="117"/>
      <c r="K444" s="117"/>
      <c r="L444" s="118"/>
    </row>
    <row r="445" ht="15.75" customHeight="1">
      <c r="I445" s="117"/>
      <c r="K445" s="117"/>
      <c r="L445" s="118"/>
    </row>
    <row r="446" ht="15.75" customHeight="1">
      <c r="I446" s="117"/>
      <c r="K446" s="117"/>
      <c r="L446" s="118"/>
    </row>
    <row r="447" ht="15.75" customHeight="1">
      <c r="I447" s="117"/>
      <c r="K447" s="117"/>
      <c r="L447" s="118"/>
    </row>
    <row r="448" ht="15.75" customHeight="1">
      <c r="I448" s="117"/>
      <c r="K448" s="117"/>
      <c r="L448" s="118"/>
    </row>
    <row r="449" ht="15.75" customHeight="1">
      <c r="I449" s="117"/>
      <c r="K449" s="117"/>
      <c r="L449" s="118"/>
    </row>
    <row r="450" ht="15.75" customHeight="1">
      <c r="I450" s="117"/>
      <c r="K450" s="117"/>
      <c r="L450" s="118"/>
    </row>
    <row r="451" ht="15.75" customHeight="1">
      <c r="I451" s="117"/>
      <c r="K451" s="117"/>
      <c r="L451" s="118"/>
    </row>
    <row r="452" ht="15.75" customHeight="1">
      <c r="I452" s="117"/>
      <c r="K452" s="117"/>
      <c r="L452" s="118"/>
    </row>
    <row r="453" ht="15.75" customHeight="1">
      <c r="I453" s="117"/>
      <c r="K453" s="117"/>
      <c r="L453" s="118"/>
    </row>
    <row r="454" ht="15.75" customHeight="1">
      <c r="I454" s="117"/>
      <c r="K454" s="117"/>
      <c r="L454" s="118"/>
    </row>
    <row r="455" ht="15.75" customHeight="1">
      <c r="I455" s="117"/>
      <c r="K455" s="117"/>
      <c r="L455" s="118"/>
    </row>
    <row r="456" ht="15.75" customHeight="1">
      <c r="I456" s="117"/>
      <c r="K456" s="117"/>
      <c r="L456" s="118"/>
    </row>
    <row r="457" ht="15.75" customHeight="1">
      <c r="I457" s="117"/>
      <c r="K457" s="117"/>
      <c r="L457" s="118"/>
    </row>
    <row r="458" ht="15.75" customHeight="1">
      <c r="I458" s="117"/>
      <c r="K458" s="117"/>
      <c r="L458" s="118"/>
    </row>
    <row r="459" ht="15.75" customHeight="1">
      <c r="I459" s="117"/>
      <c r="K459" s="117"/>
      <c r="L459" s="118"/>
    </row>
    <row r="460" ht="15.75" customHeight="1">
      <c r="I460" s="117"/>
      <c r="K460" s="117"/>
      <c r="L460" s="118"/>
    </row>
    <row r="461" ht="15.75" customHeight="1">
      <c r="I461" s="117"/>
      <c r="K461" s="117"/>
      <c r="L461" s="118"/>
    </row>
    <row r="462" ht="15.75" customHeight="1">
      <c r="I462" s="117"/>
      <c r="K462" s="117"/>
      <c r="L462" s="118"/>
    </row>
    <row r="463" ht="15.75" customHeight="1">
      <c r="I463" s="117"/>
      <c r="K463" s="117"/>
      <c r="L463" s="118"/>
    </row>
    <row r="464" ht="15.75" customHeight="1">
      <c r="I464" s="117"/>
      <c r="K464" s="117"/>
      <c r="L464" s="118"/>
    </row>
    <row r="465" ht="15.75" customHeight="1">
      <c r="I465" s="117"/>
      <c r="K465" s="117"/>
      <c r="L465" s="118"/>
    </row>
    <row r="466" ht="15.75" customHeight="1">
      <c r="I466" s="117"/>
      <c r="K466" s="117"/>
      <c r="L466" s="118"/>
    </row>
    <row r="467" ht="15.75" customHeight="1">
      <c r="I467" s="117"/>
      <c r="K467" s="117"/>
      <c r="L467" s="118"/>
    </row>
    <row r="468" ht="15.75" customHeight="1">
      <c r="I468" s="117"/>
      <c r="K468" s="117"/>
      <c r="L468" s="118"/>
    </row>
    <row r="469" ht="15.75" customHeight="1">
      <c r="I469" s="117"/>
      <c r="K469" s="117"/>
      <c r="L469" s="118"/>
    </row>
    <row r="470" ht="15.75" customHeight="1">
      <c r="I470" s="117"/>
      <c r="K470" s="117"/>
      <c r="L470" s="118"/>
    </row>
    <row r="471" ht="15.75" customHeight="1">
      <c r="I471" s="117"/>
      <c r="K471" s="117"/>
      <c r="L471" s="118"/>
    </row>
    <row r="472" ht="15.75" customHeight="1">
      <c r="I472" s="117"/>
      <c r="K472" s="117"/>
      <c r="L472" s="118"/>
    </row>
    <row r="473" ht="15.75" customHeight="1">
      <c r="I473" s="117"/>
      <c r="K473" s="117"/>
      <c r="L473" s="118"/>
    </row>
    <row r="474" ht="15.75" customHeight="1">
      <c r="I474" s="117"/>
      <c r="K474" s="117"/>
      <c r="L474" s="118"/>
    </row>
    <row r="475" ht="15.75" customHeight="1">
      <c r="I475" s="117"/>
      <c r="K475" s="117"/>
      <c r="L475" s="118"/>
    </row>
    <row r="476" ht="15.75" customHeight="1">
      <c r="I476" s="117"/>
      <c r="K476" s="117"/>
      <c r="L476" s="118"/>
    </row>
    <row r="477" ht="15.75" customHeight="1">
      <c r="I477" s="117"/>
      <c r="K477" s="117"/>
      <c r="L477" s="118"/>
    </row>
    <row r="478" ht="15.75" customHeight="1">
      <c r="I478" s="117"/>
      <c r="K478" s="117"/>
      <c r="L478" s="118"/>
    </row>
    <row r="479" ht="15.75" customHeight="1">
      <c r="I479" s="117"/>
      <c r="K479" s="117"/>
      <c r="L479" s="118"/>
    </row>
    <row r="480" ht="15.75" customHeight="1">
      <c r="I480" s="117"/>
      <c r="K480" s="117"/>
      <c r="L480" s="118"/>
    </row>
    <row r="481" ht="15.75" customHeight="1">
      <c r="I481" s="117"/>
      <c r="K481" s="117"/>
      <c r="L481" s="118"/>
    </row>
    <row r="482" ht="15.75" customHeight="1">
      <c r="I482" s="117"/>
      <c r="K482" s="117"/>
      <c r="L482" s="118"/>
    </row>
    <row r="483" ht="15.75" customHeight="1">
      <c r="I483" s="117"/>
      <c r="K483" s="117"/>
      <c r="L483" s="118"/>
    </row>
    <row r="484" ht="15.75" customHeight="1">
      <c r="I484" s="117"/>
      <c r="K484" s="117"/>
      <c r="L484" s="118"/>
    </row>
    <row r="485" ht="15.75" customHeight="1">
      <c r="I485" s="117"/>
      <c r="K485" s="117"/>
      <c r="L485" s="118"/>
    </row>
    <row r="486" ht="15.75" customHeight="1">
      <c r="I486" s="117"/>
      <c r="K486" s="117"/>
      <c r="L486" s="118"/>
    </row>
    <row r="487" ht="15.75" customHeight="1">
      <c r="I487" s="117"/>
      <c r="K487" s="117"/>
      <c r="L487" s="118"/>
    </row>
    <row r="488" ht="15.75" customHeight="1">
      <c r="I488" s="117"/>
      <c r="K488" s="117"/>
      <c r="L488" s="118"/>
    </row>
    <row r="489" ht="15.75" customHeight="1">
      <c r="I489" s="117"/>
      <c r="K489" s="117"/>
      <c r="L489" s="118"/>
    </row>
    <row r="490" ht="15.75" customHeight="1">
      <c r="I490" s="117"/>
      <c r="K490" s="117"/>
      <c r="L490" s="118"/>
    </row>
    <row r="491" ht="15.75" customHeight="1">
      <c r="I491" s="117"/>
      <c r="K491" s="117"/>
      <c r="L491" s="118"/>
    </row>
    <row r="492" ht="15.75" customHeight="1">
      <c r="I492" s="117"/>
      <c r="K492" s="117"/>
      <c r="L492" s="118"/>
    </row>
    <row r="493" ht="15.75" customHeight="1">
      <c r="I493" s="117"/>
      <c r="K493" s="117"/>
      <c r="L493" s="118"/>
    </row>
    <row r="494" ht="15.75" customHeight="1">
      <c r="I494" s="117"/>
      <c r="K494" s="117"/>
      <c r="L494" s="118"/>
    </row>
    <row r="495" ht="15.75" customHeight="1">
      <c r="I495" s="117"/>
      <c r="K495" s="117"/>
      <c r="L495" s="118"/>
    </row>
    <row r="496" ht="15.75" customHeight="1">
      <c r="I496" s="117"/>
      <c r="K496" s="117"/>
      <c r="L496" s="118"/>
    </row>
    <row r="497" ht="15.75" customHeight="1">
      <c r="I497" s="117"/>
      <c r="K497" s="117"/>
      <c r="L497" s="118"/>
    </row>
    <row r="498" ht="15.75" customHeight="1">
      <c r="I498" s="117"/>
      <c r="K498" s="117"/>
      <c r="L498" s="118"/>
    </row>
    <row r="499" ht="15.75" customHeight="1">
      <c r="I499" s="117"/>
      <c r="K499" s="117"/>
      <c r="L499" s="118"/>
    </row>
    <row r="500" ht="15.75" customHeight="1">
      <c r="I500" s="117"/>
      <c r="K500" s="117"/>
      <c r="L500" s="118"/>
    </row>
    <row r="501" ht="15.75" customHeight="1">
      <c r="I501" s="117"/>
      <c r="K501" s="117"/>
      <c r="L501" s="118"/>
    </row>
    <row r="502" ht="15.75" customHeight="1">
      <c r="I502" s="117"/>
      <c r="K502" s="117"/>
      <c r="L502" s="118"/>
    </row>
    <row r="503" ht="15.75" customHeight="1">
      <c r="I503" s="117"/>
      <c r="K503" s="117"/>
      <c r="L503" s="118"/>
    </row>
    <row r="504" ht="15.75" customHeight="1">
      <c r="I504" s="117"/>
      <c r="K504" s="117"/>
      <c r="L504" s="118"/>
    </row>
    <row r="505" ht="15.75" customHeight="1">
      <c r="I505" s="117"/>
      <c r="K505" s="117"/>
      <c r="L505" s="118"/>
    </row>
    <row r="506" ht="15.75" customHeight="1">
      <c r="I506" s="117"/>
      <c r="K506" s="117"/>
      <c r="L506" s="118"/>
    </row>
    <row r="507" ht="15.75" customHeight="1">
      <c r="I507" s="117"/>
      <c r="K507" s="117"/>
      <c r="L507" s="118"/>
    </row>
    <row r="508" ht="15.75" customHeight="1">
      <c r="I508" s="117"/>
      <c r="K508" s="117"/>
      <c r="L508" s="118"/>
    </row>
    <row r="509" ht="15.75" customHeight="1">
      <c r="I509" s="117"/>
      <c r="K509" s="117"/>
      <c r="L509" s="118"/>
    </row>
    <row r="510" ht="15.75" customHeight="1">
      <c r="I510" s="117"/>
      <c r="K510" s="117"/>
      <c r="L510" s="118"/>
    </row>
    <row r="511" ht="15.75" customHeight="1">
      <c r="I511" s="117"/>
      <c r="K511" s="117"/>
      <c r="L511" s="118"/>
    </row>
    <row r="512" ht="15.75" customHeight="1">
      <c r="I512" s="117"/>
      <c r="K512" s="117"/>
      <c r="L512" s="118"/>
    </row>
    <row r="513" ht="15.75" customHeight="1">
      <c r="I513" s="117"/>
      <c r="K513" s="117"/>
      <c r="L513" s="118"/>
    </row>
    <row r="514" ht="15.75" customHeight="1">
      <c r="I514" s="117"/>
      <c r="K514" s="117"/>
      <c r="L514" s="118"/>
    </row>
    <row r="515" ht="15.75" customHeight="1">
      <c r="I515" s="117"/>
      <c r="K515" s="117"/>
      <c r="L515" s="118"/>
    </row>
    <row r="516" ht="15.75" customHeight="1">
      <c r="I516" s="117"/>
      <c r="K516" s="117"/>
      <c r="L516" s="118"/>
    </row>
    <row r="517" ht="15.75" customHeight="1">
      <c r="I517" s="117"/>
      <c r="K517" s="117"/>
      <c r="L517" s="118"/>
    </row>
    <row r="518" ht="15.75" customHeight="1">
      <c r="I518" s="117"/>
      <c r="K518" s="117"/>
      <c r="L518" s="118"/>
    </row>
    <row r="519" ht="15.75" customHeight="1">
      <c r="I519" s="117"/>
      <c r="K519" s="117"/>
      <c r="L519" s="118"/>
    </row>
    <row r="520" ht="15.75" customHeight="1">
      <c r="I520" s="117"/>
      <c r="K520" s="117"/>
      <c r="L520" s="118"/>
    </row>
    <row r="521" ht="15.75" customHeight="1">
      <c r="I521" s="117"/>
      <c r="K521" s="117"/>
      <c r="L521" s="118"/>
    </row>
    <row r="522" ht="15.75" customHeight="1">
      <c r="I522" s="117"/>
      <c r="K522" s="117"/>
      <c r="L522" s="118"/>
    </row>
    <row r="523" ht="15.75" customHeight="1">
      <c r="I523" s="117"/>
      <c r="K523" s="117"/>
      <c r="L523" s="118"/>
    </row>
    <row r="524" ht="15.75" customHeight="1">
      <c r="I524" s="117"/>
      <c r="K524" s="117"/>
      <c r="L524" s="118"/>
    </row>
    <row r="525" ht="15.75" customHeight="1">
      <c r="I525" s="117"/>
      <c r="K525" s="117"/>
      <c r="L525" s="118"/>
    </row>
    <row r="526" ht="15.75" customHeight="1">
      <c r="I526" s="117"/>
      <c r="K526" s="117"/>
      <c r="L526" s="118"/>
    </row>
    <row r="527" ht="15.75" customHeight="1">
      <c r="I527" s="117"/>
      <c r="K527" s="117"/>
      <c r="L527" s="118"/>
    </row>
    <row r="528" ht="15.75" customHeight="1">
      <c r="I528" s="117"/>
      <c r="K528" s="117"/>
      <c r="L528" s="118"/>
    </row>
    <row r="529" ht="15.75" customHeight="1">
      <c r="I529" s="117"/>
      <c r="K529" s="117"/>
      <c r="L529" s="118"/>
    </row>
    <row r="530" ht="15.75" customHeight="1">
      <c r="I530" s="117"/>
      <c r="K530" s="117"/>
      <c r="L530" s="118"/>
    </row>
    <row r="531" ht="15.75" customHeight="1">
      <c r="I531" s="117"/>
      <c r="K531" s="117"/>
      <c r="L531" s="118"/>
    </row>
    <row r="532" ht="15.75" customHeight="1">
      <c r="I532" s="117"/>
      <c r="K532" s="117"/>
      <c r="L532" s="118"/>
    </row>
    <row r="533" ht="15.75" customHeight="1">
      <c r="I533" s="117"/>
      <c r="K533" s="117"/>
      <c r="L533" s="118"/>
    </row>
    <row r="534" ht="15.75" customHeight="1">
      <c r="I534" s="117"/>
      <c r="K534" s="117"/>
      <c r="L534" s="118"/>
    </row>
    <row r="535" ht="15.75" customHeight="1">
      <c r="I535" s="117"/>
      <c r="K535" s="117"/>
      <c r="L535" s="118"/>
    </row>
    <row r="536" ht="15.75" customHeight="1">
      <c r="I536" s="117"/>
      <c r="K536" s="117"/>
      <c r="L536" s="118"/>
    </row>
    <row r="537" ht="15.75" customHeight="1">
      <c r="I537" s="117"/>
      <c r="K537" s="117"/>
      <c r="L537" s="118"/>
    </row>
    <row r="538" ht="15.75" customHeight="1">
      <c r="I538" s="117"/>
      <c r="K538" s="117"/>
      <c r="L538" s="118"/>
    </row>
    <row r="539" ht="15.75" customHeight="1">
      <c r="I539" s="117"/>
      <c r="K539" s="117"/>
      <c r="L539" s="118"/>
    </row>
    <row r="540" ht="15.75" customHeight="1">
      <c r="I540" s="117"/>
      <c r="K540" s="117"/>
      <c r="L540" s="118"/>
    </row>
    <row r="541" ht="15.75" customHeight="1">
      <c r="I541" s="117"/>
      <c r="K541" s="117"/>
      <c r="L541" s="118"/>
    </row>
    <row r="542" ht="15.75" customHeight="1">
      <c r="I542" s="117"/>
      <c r="K542" s="117"/>
      <c r="L542" s="118"/>
    </row>
    <row r="543" ht="15.75" customHeight="1">
      <c r="I543" s="117"/>
      <c r="K543" s="117"/>
      <c r="L543" s="118"/>
    </row>
    <row r="544" ht="15.75" customHeight="1">
      <c r="I544" s="117"/>
      <c r="K544" s="117"/>
      <c r="L544" s="118"/>
    </row>
    <row r="545" ht="15.75" customHeight="1">
      <c r="I545" s="117"/>
      <c r="K545" s="117"/>
      <c r="L545" s="118"/>
    </row>
    <row r="546" ht="15.75" customHeight="1">
      <c r="I546" s="117"/>
      <c r="K546" s="117"/>
      <c r="L546" s="118"/>
    </row>
    <row r="547" ht="15.75" customHeight="1">
      <c r="I547" s="117"/>
      <c r="K547" s="117"/>
      <c r="L547" s="118"/>
    </row>
    <row r="548" ht="15.75" customHeight="1">
      <c r="I548" s="117"/>
      <c r="K548" s="117"/>
      <c r="L548" s="118"/>
    </row>
    <row r="549" ht="15.75" customHeight="1">
      <c r="I549" s="117"/>
      <c r="K549" s="117"/>
      <c r="L549" s="118"/>
    </row>
    <row r="550" ht="15.75" customHeight="1">
      <c r="I550" s="117"/>
      <c r="K550" s="117"/>
      <c r="L550" s="118"/>
    </row>
    <row r="551" ht="15.75" customHeight="1">
      <c r="I551" s="117"/>
      <c r="K551" s="117"/>
      <c r="L551" s="118"/>
    </row>
    <row r="552" ht="15.75" customHeight="1">
      <c r="I552" s="117"/>
      <c r="K552" s="117"/>
      <c r="L552" s="118"/>
    </row>
    <row r="553" ht="15.75" customHeight="1">
      <c r="I553" s="117"/>
      <c r="K553" s="117"/>
      <c r="L553" s="118"/>
    </row>
    <row r="554" ht="15.75" customHeight="1">
      <c r="I554" s="117"/>
      <c r="K554" s="117"/>
      <c r="L554" s="118"/>
    </row>
    <row r="555" ht="15.75" customHeight="1">
      <c r="I555" s="117"/>
      <c r="K555" s="117"/>
      <c r="L555" s="118"/>
    </row>
    <row r="556" ht="15.75" customHeight="1">
      <c r="I556" s="117"/>
      <c r="K556" s="117"/>
      <c r="L556" s="118"/>
    </row>
    <row r="557" ht="15.75" customHeight="1">
      <c r="I557" s="117"/>
      <c r="K557" s="117"/>
      <c r="L557" s="118"/>
    </row>
    <row r="558" ht="15.75" customHeight="1">
      <c r="I558" s="117"/>
      <c r="K558" s="117"/>
      <c r="L558" s="118"/>
    </row>
    <row r="559" ht="15.75" customHeight="1">
      <c r="I559" s="117"/>
      <c r="K559" s="117"/>
      <c r="L559" s="118"/>
    </row>
    <row r="560" ht="15.75" customHeight="1">
      <c r="I560" s="117"/>
      <c r="K560" s="117"/>
      <c r="L560" s="118"/>
    </row>
    <row r="561" ht="15.75" customHeight="1">
      <c r="I561" s="117"/>
      <c r="K561" s="117"/>
      <c r="L561" s="118"/>
    </row>
    <row r="562" ht="15.75" customHeight="1">
      <c r="I562" s="117"/>
      <c r="K562" s="117"/>
      <c r="L562" s="118"/>
    </row>
    <row r="563" ht="15.75" customHeight="1">
      <c r="I563" s="117"/>
      <c r="K563" s="117"/>
      <c r="L563" s="118"/>
    </row>
    <row r="564" ht="15.75" customHeight="1">
      <c r="I564" s="117"/>
      <c r="K564" s="117"/>
      <c r="L564" s="118"/>
    </row>
    <row r="565" ht="15.75" customHeight="1">
      <c r="I565" s="117"/>
      <c r="K565" s="117"/>
      <c r="L565" s="118"/>
    </row>
    <row r="566" ht="15.75" customHeight="1">
      <c r="I566" s="117"/>
      <c r="K566" s="117"/>
      <c r="L566" s="118"/>
    </row>
    <row r="567" ht="15.75" customHeight="1">
      <c r="I567" s="117"/>
      <c r="K567" s="117"/>
      <c r="L567" s="118"/>
    </row>
    <row r="568" ht="15.75" customHeight="1">
      <c r="I568" s="117"/>
      <c r="K568" s="117"/>
      <c r="L568" s="118"/>
    </row>
    <row r="569" ht="15.75" customHeight="1">
      <c r="I569" s="117"/>
      <c r="K569" s="117"/>
      <c r="L569" s="118"/>
    </row>
    <row r="570" ht="15.75" customHeight="1">
      <c r="I570" s="117"/>
      <c r="K570" s="117"/>
      <c r="L570" s="118"/>
    </row>
    <row r="571" ht="15.75" customHeight="1">
      <c r="I571" s="117"/>
      <c r="K571" s="117"/>
      <c r="L571" s="118"/>
    </row>
    <row r="572" ht="15.75" customHeight="1">
      <c r="I572" s="117"/>
      <c r="K572" s="117"/>
      <c r="L572" s="118"/>
    </row>
    <row r="573" ht="15.75" customHeight="1">
      <c r="I573" s="117"/>
      <c r="K573" s="117"/>
      <c r="L573" s="118"/>
    </row>
    <row r="574" ht="15.75" customHeight="1">
      <c r="I574" s="117"/>
      <c r="K574" s="117"/>
      <c r="L574" s="118"/>
    </row>
    <row r="575" ht="15.75" customHeight="1">
      <c r="I575" s="117"/>
      <c r="K575" s="117"/>
      <c r="L575" s="118"/>
    </row>
    <row r="576" ht="15.75" customHeight="1">
      <c r="I576" s="117"/>
      <c r="K576" s="117"/>
      <c r="L576" s="118"/>
    </row>
    <row r="577" ht="15.75" customHeight="1">
      <c r="I577" s="117"/>
      <c r="K577" s="117"/>
      <c r="L577" s="118"/>
    </row>
    <row r="578" ht="15.75" customHeight="1">
      <c r="I578" s="117"/>
      <c r="K578" s="117"/>
      <c r="L578" s="118"/>
    </row>
    <row r="579" ht="15.75" customHeight="1">
      <c r="I579" s="117"/>
      <c r="K579" s="117"/>
      <c r="L579" s="118"/>
    </row>
    <row r="580" ht="15.75" customHeight="1">
      <c r="I580" s="117"/>
      <c r="K580" s="117"/>
      <c r="L580" s="118"/>
    </row>
    <row r="581" ht="15.75" customHeight="1">
      <c r="I581" s="117"/>
      <c r="K581" s="117"/>
      <c r="L581" s="118"/>
    </row>
    <row r="582" ht="15.75" customHeight="1">
      <c r="I582" s="117"/>
      <c r="K582" s="117"/>
      <c r="L582" s="118"/>
    </row>
    <row r="583" ht="15.75" customHeight="1">
      <c r="I583" s="117"/>
      <c r="K583" s="117"/>
      <c r="L583" s="118"/>
    </row>
    <row r="584" ht="15.75" customHeight="1">
      <c r="I584" s="117"/>
      <c r="K584" s="117"/>
      <c r="L584" s="118"/>
    </row>
    <row r="585" ht="15.75" customHeight="1">
      <c r="I585" s="117"/>
      <c r="K585" s="117"/>
      <c r="L585" s="118"/>
    </row>
    <row r="586" ht="15.75" customHeight="1">
      <c r="I586" s="117"/>
      <c r="K586" s="117"/>
      <c r="L586" s="118"/>
    </row>
    <row r="587" ht="15.75" customHeight="1">
      <c r="I587" s="117"/>
      <c r="K587" s="117"/>
      <c r="L587" s="118"/>
    </row>
    <row r="588" ht="15.75" customHeight="1">
      <c r="I588" s="117"/>
      <c r="K588" s="117"/>
      <c r="L588" s="118"/>
    </row>
    <row r="589" ht="15.75" customHeight="1">
      <c r="I589" s="117"/>
      <c r="K589" s="117"/>
      <c r="L589" s="118"/>
    </row>
    <row r="590" ht="15.75" customHeight="1">
      <c r="I590" s="117"/>
      <c r="K590" s="117"/>
      <c r="L590" s="118"/>
    </row>
    <row r="591" ht="15.75" customHeight="1">
      <c r="I591" s="117"/>
      <c r="K591" s="117"/>
      <c r="L591" s="118"/>
    </row>
    <row r="592" ht="15.75" customHeight="1">
      <c r="I592" s="117"/>
      <c r="K592" s="117"/>
      <c r="L592" s="118"/>
    </row>
    <row r="593" ht="15.75" customHeight="1">
      <c r="I593" s="117"/>
      <c r="K593" s="117"/>
      <c r="L593" s="118"/>
    </row>
    <row r="594" ht="15.75" customHeight="1">
      <c r="I594" s="117"/>
      <c r="K594" s="117"/>
      <c r="L594" s="118"/>
    </row>
    <row r="595" ht="15.75" customHeight="1">
      <c r="I595" s="117"/>
      <c r="K595" s="117"/>
      <c r="L595" s="118"/>
    </row>
    <row r="596" ht="15.75" customHeight="1">
      <c r="I596" s="117"/>
      <c r="K596" s="117"/>
      <c r="L596" s="118"/>
    </row>
    <row r="597" ht="15.75" customHeight="1">
      <c r="I597" s="117"/>
      <c r="K597" s="117"/>
      <c r="L597" s="118"/>
    </row>
    <row r="598" ht="15.75" customHeight="1">
      <c r="I598" s="117"/>
      <c r="K598" s="117"/>
      <c r="L598" s="118"/>
    </row>
    <row r="599" ht="15.75" customHeight="1">
      <c r="I599" s="117"/>
      <c r="K599" s="117"/>
      <c r="L599" s="118"/>
    </row>
    <row r="600" ht="15.75" customHeight="1">
      <c r="I600" s="117"/>
      <c r="K600" s="117"/>
      <c r="L600" s="118"/>
    </row>
    <row r="601" ht="15.75" customHeight="1">
      <c r="I601" s="117"/>
      <c r="K601" s="117"/>
      <c r="L601" s="118"/>
    </row>
    <row r="602" ht="15.75" customHeight="1">
      <c r="I602" s="117"/>
      <c r="K602" s="117"/>
      <c r="L602" s="118"/>
    </row>
    <row r="603" ht="15.75" customHeight="1">
      <c r="I603" s="117"/>
      <c r="K603" s="117"/>
      <c r="L603" s="118"/>
    </row>
    <row r="604" ht="15.75" customHeight="1">
      <c r="I604" s="117"/>
      <c r="K604" s="117"/>
      <c r="L604" s="118"/>
    </row>
    <row r="605" ht="15.75" customHeight="1">
      <c r="I605" s="117"/>
      <c r="K605" s="117"/>
      <c r="L605" s="118"/>
    </row>
    <row r="606" ht="15.75" customHeight="1">
      <c r="I606" s="117"/>
      <c r="K606" s="117"/>
      <c r="L606" s="118"/>
    </row>
    <row r="607" ht="15.75" customHeight="1">
      <c r="I607" s="117"/>
      <c r="K607" s="117"/>
      <c r="L607" s="118"/>
    </row>
    <row r="608" ht="15.75" customHeight="1">
      <c r="I608" s="117"/>
      <c r="K608" s="117"/>
      <c r="L608" s="118"/>
    </row>
    <row r="609" ht="15.75" customHeight="1">
      <c r="I609" s="117"/>
      <c r="K609" s="117"/>
      <c r="L609" s="118"/>
    </row>
    <row r="610" ht="15.75" customHeight="1">
      <c r="I610" s="117"/>
      <c r="K610" s="117"/>
      <c r="L610" s="118"/>
    </row>
    <row r="611" ht="15.75" customHeight="1">
      <c r="I611" s="117"/>
      <c r="K611" s="117"/>
      <c r="L611" s="118"/>
    </row>
    <row r="612" ht="15.75" customHeight="1">
      <c r="I612" s="117"/>
      <c r="K612" s="117"/>
      <c r="L612" s="118"/>
    </row>
    <row r="613" ht="15.75" customHeight="1">
      <c r="I613" s="117"/>
      <c r="K613" s="117"/>
      <c r="L613" s="118"/>
    </row>
    <row r="614" ht="15.75" customHeight="1">
      <c r="I614" s="117"/>
      <c r="K614" s="117"/>
      <c r="L614" s="118"/>
    </row>
    <row r="615" ht="15.75" customHeight="1">
      <c r="I615" s="117"/>
      <c r="K615" s="117"/>
      <c r="L615" s="118"/>
    </row>
    <row r="616" ht="15.75" customHeight="1">
      <c r="I616" s="117"/>
      <c r="K616" s="117"/>
      <c r="L616" s="118"/>
    </row>
    <row r="617" ht="15.75" customHeight="1">
      <c r="I617" s="117"/>
      <c r="K617" s="117"/>
      <c r="L617" s="118"/>
    </row>
    <row r="618" ht="15.75" customHeight="1">
      <c r="I618" s="117"/>
      <c r="K618" s="117"/>
      <c r="L618" s="118"/>
    </row>
    <row r="619" ht="15.75" customHeight="1">
      <c r="I619" s="117"/>
      <c r="K619" s="117"/>
      <c r="L619" s="118"/>
    </row>
    <row r="620" ht="15.75" customHeight="1">
      <c r="I620" s="117"/>
      <c r="K620" s="117"/>
      <c r="L620" s="118"/>
    </row>
    <row r="621" ht="15.75" customHeight="1">
      <c r="I621" s="117"/>
      <c r="K621" s="117"/>
      <c r="L621" s="118"/>
    </row>
    <row r="622" ht="15.75" customHeight="1">
      <c r="I622" s="117"/>
      <c r="K622" s="117"/>
      <c r="L622" s="118"/>
    </row>
    <row r="623" ht="15.75" customHeight="1">
      <c r="I623" s="117"/>
      <c r="K623" s="117"/>
      <c r="L623" s="118"/>
    </row>
    <row r="624" ht="15.75" customHeight="1">
      <c r="I624" s="117"/>
      <c r="K624" s="117"/>
      <c r="L624" s="118"/>
    </row>
    <row r="625" ht="15.75" customHeight="1">
      <c r="I625" s="117"/>
      <c r="K625" s="117"/>
      <c r="L625" s="118"/>
    </row>
    <row r="626" ht="15.75" customHeight="1">
      <c r="I626" s="117"/>
      <c r="K626" s="117"/>
      <c r="L626" s="118"/>
    </row>
    <row r="627" ht="15.75" customHeight="1">
      <c r="I627" s="117"/>
      <c r="K627" s="117"/>
      <c r="L627" s="118"/>
    </row>
    <row r="628" ht="15.75" customHeight="1">
      <c r="I628" s="117"/>
      <c r="K628" s="117"/>
      <c r="L628" s="118"/>
    </row>
    <row r="629" ht="15.75" customHeight="1">
      <c r="I629" s="117"/>
      <c r="K629" s="117"/>
      <c r="L629" s="118"/>
    </row>
    <row r="630" ht="15.75" customHeight="1">
      <c r="I630" s="117"/>
      <c r="K630" s="117"/>
      <c r="L630" s="118"/>
    </row>
    <row r="631" ht="15.75" customHeight="1">
      <c r="I631" s="117"/>
      <c r="K631" s="117"/>
      <c r="L631" s="118"/>
    </row>
    <row r="632" ht="15.75" customHeight="1">
      <c r="I632" s="117"/>
      <c r="K632" s="117"/>
      <c r="L632" s="118"/>
    </row>
    <row r="633" ht="15.75" customHeight="1">
      <c r="I633" s="117"/>
      <c r="K633" s="117"/>
      <c r="L633" s="118"/>
    </row>
    <row r="634" ht="15.75" customHeight="1">
      <c r="I634" s="117"/>
      <c r="K634" s="117"/>
      <c r="L634" s="118"/>
    </row>
    <row r="635" ht="15.75" customHeight="1">
      <c r="I635" s="117"/>
      <c r="K635" s="117"/>
      <c r="L635" s="118"/>
    </row>
    <row r="636" ht="15.75" customHeight="1">
      <c r="I636" s="117"/>
      <c r="K636" s="117"/>
      <c r="L636" s="118"/>
    </row>
    <row r="637" ht="15.75" customHeight="1">
      <c r="I637" s="117"/>
      <c r="K637" s="117"/>
      <c r="L637" s="118"/>
    </row>
    <row r="638" ht="15.75" customHeight="1">
      <c r="I638" s="117"/>
      <c r="K638" s="117"/>
      <c r="L638" s="118"/>
    </row>
    <row r="639" ht="15.75" customHeight="1">
      <c r="I639" s="117"/>
      <c r="K639" s="117"/>
      <c r="L639" s="118"/>
    </row>
    <row r="640" ht="15.75" customHeight="1">
      <c r="I640" s="117"/>
      <c r="K640" s="117"/>
      <c r="L640" s="118"/>
    </row>
    <row r="641" ht="15.75" customHeight="1">
      <c r="I641" s="117"/>
      <c r="K641" s="117"/>
      <c r="L641" s="118"/>
    </row>
    <row r="642" ht="15.75" customHeight="1">
      <c r="I642" s="117"/>
      <c r="K642" s="117"/>
      <c r="L642" s="118"/>
    </row>
    <row r="643" ht="15.75" customHeight="1">
      <c r="I643" s="117"/>
      <c r="K643" s="117"/>
      <c r="L643" s="118"/>
    </row>
    <row r="644" ht="15.75" customHeight="1">
      <c r="I644" s="117"/>
      <c r="K644" s="117"/>
      <c r="L644" s="118"/>
    </row>
    <row r="645" ht="15.75" customHeight="1">
      <c r="I645" s="117"/>
      <c r="K645" s="117"/>
      <c r="L645" s="118"/>
    </row>
    <row r="646" ht="15.75" customHeight="1">
      <c r="I646" s="117"/>
      <c r="K646" s="117"/>
      <c r="L646" s="118"/>
    </row>
    <row r="647" ht="15.75" customHeight="1">
      <c r="I647" s="117"/>
      <c r="K647" s="117"/>
      <c r="L647" s="118"/>
    </row>
    <row r="648" ht="15.75" customHeight="1">
      <c r="I648" s="117"/>
      <c r="K648" s="117"/>
      <c r="L648" s="118"/>
    </row>
    <row r="649" ht="15.75" customHeight="1">
      <c r="I649" s="117"/>
      <c r="K649" s="117"/>
      <c r="L649" s="118"/>
    </row>
    <row r="650" ht="15.75" customHeight="1">
      <c r="I650" s="117"/>
      <c r="K650" s="117"/>
      <c r="L650" s="118"/>
    </row>
    <row r="651" ht="15.75" customHeight="1">
      <c r="I651" s="117"/>
      <c r="K651" s="117"/>
      <c r="L651" s="118"/>
    </row>
    <row r="652" ht="15.75" customHeight="1">
      <c r="I652" s="117"/>
      <c r="K652" s="117"/>
      <c r="L652" s="118"/>
    </row>
    <row r="653" ht="15.75" customHeight="1">
      <c r="I653" s="117"/>
      <c r="K653" s="117"/>
      <c r="L653" s="118"/>
    </row>
    <row r="654" ht="15.75" customHeight="1">
      <c r="I654" s="117"/>
      <c r="K654" s="117"/>
      <c r="L654" s="118"/>
    </row>
    <row r="655" ht="15.75" customHeight="1">
      <c r="I655" s="117"/>
      <c r="K655" s="117"/>
      <c r="L655" s="118"/>
    </row>
    <row r="656" ht="15.75" customHeight="1">
      <c r="I656" s="117"/>
      <c r="K656" s="117"/>
      <c r="L656" s="118"/>
    </row>
    <row r="657" ht="15.75" customHeight="1">
      <c r="I657" s="117"/>
      <c r="K657" s="117"/>
      <c r="L657" s="118"/>
    </row>
    <row r="658" ht="15.75" customHeight="1">
      <c r="I658" s="117"/>
      <c r="K658" s="117"/>
      <c r="L658" s="118"/>
    </row>
    <row r="659" ht="15.75" customHeight="1">
      <c r="I659" s="117"/>
      <c r="K659" s="117"/>
      <c r="L659" s="118"/>
    </row>
    <row r="660" ht="15.75" customHeight="1">
      <c r="I660" s="117"/>
      <c r="K660" s="117"/>
      <c r="L660" s="118"/>
    </row>
    <row r="661" ht="15.75" customHeight="1">
      <c r="I661" s="117"/>
      <c r="K661" s="117"/>
      <c r="L661" s="118"/>
    </row>
    <row r="662" ht="15.75" customHeight="1">
      <c r="I662" s="117"/>
      <c r="K662" s="117"/>
      <c r="L662" s="118"/>
    </row>
    <row r="663" ht="15.75" customHeight="1">
      <c r="I663" s="117"/>
      <c r="K663" s="117"/>
      <c r="L663" s="118"/>
    </row>
    <row r="664" ht="15.75" customHeight="1">
      <c r="I664" s="117"/>
      <c r="K664" s="117"/>
      <c r="L664" s="118"/>
    </row>
    <row r="665" ht="15.75" customHeight="1">
      <c r="I665" s="117"/>
      <c r="K665" s="117"/>
      <c r="L665" s="118"/>
    </row>
    <row r="666" ht="15.75" customHeight="1">
      <c r="I666" s="117"/>
      <c r="K666" s="117"/>
      <c r="L666" s="118"/>
    </row>
    <row r="667" ht="15.75" customHeight="1">
      <c r="I667" s="117"/>
      <c r="K667" s="117"/>
      <c r="L667" s="118"/>
    </row>
    <row r="668" ht="15.75" customHeight="1">
      <c r="I668" s="117"/>
      <c r="K668" s="117"/>
      <c r="L668" s="118"/>
    </row>
    <row r="669" ht="15.75" customHeight="1">
      <c r="I669" s="117"/>
      <c r="K669" s="117"/>
      <c r="L669" s="118"/>
    </row>
    <row r="670" ht="15.75" customHeight="1">
      <c r="I670" s="117"/>
      <c r="K670" s="117"/>
      <c r="L670" s="118"/>
    </row>
    <row r="671" ht="15.75" customHeight="1">
      <c r="I671" s="117"/>
      <c r="K671" s="117"/>
      <c r="L671" s="118"/>
    </row>
    <row r="672" ht="15.75" customHeight="1">
      <c r="I672" s="117"/>
      <c r="K672" s="117"/>
      <c r="L672" s="118"/>
    </row>
    <row r="673" ht="15.75" customHeight="1">
      <c r="I673" s="117"/>
      <c r="K673" s="117"/>
      <c r="L673" s="118"/>
    </row>
    <row r="674" ht="15.75" customHeight="1">
      <c r="I674" s="117"/>
      <c r="K674" s="117"/>
      <c r="L674" s="118"/>
    </row>
    <row r="675" ht="15.75" customHeight="1">
      <c r="I675" s="117"/>
      <c r="K675" s="117"/>
      <c r="L675" s="118"/>
    </row>
    <row r="676" ht="15.75" customHeight="1">
      <c r="I676" s="117"/>
      <c r="K676" s="117"/>
      <c r="L676" s="118"/>
    </row>
    <row r="677" ht="15.75" customHeight="1">
      <c r="I677" s="117"/>
      <c r="K677" s="117"/>
      <c r="L677" s="118"/>
    </row>
    <row r="678" ht="15.75" customHeight="1">
      <c r="I678" s="117"/>
      <c r="K678" s="117"/>
      <c r="L678" s="118"/>
    </row>
    <row r="679" ht="15.75" customHeight="1">
      <c r="I679" s="117"/>
      <c r="K679" s="117"/>
      <c r="L679" s="118"/>
    </row>
    <row r="680" ht="15.75" customHeight="1">
      <c r="I680" s="117"/>
      <c r="K680" s="117"/>
      <c r="L680" s="118"/>
    </row>
    <row r="681" ht="15.75" customHeight="1">
      <c r="I681" s="117"/>
      <c r="K681" s="117"/>
      <c r="L681" s="118"/>
    </row>
    <row r="682" ht="15.75" customHeight="1">
      <c r="I682" s="117"/>
      <c r="K682" s="117"/>
      <c r="L682" s="118"/>
    </row>
    <row r="683" ht="15.75" customHeight="1">
      <c r="I683" s="117"/>
      <c r="K683" s="117"/>
      <c r="L683" s="118"/>
    </row>
    <row r="684" ht="15.75" customHeight="1">
      <c r="I684" s="117"/>
      <c r="K684" s="117"/>
      <c r="L684" s="118"/>
    </row>
    <row r="685" ht="15.75" customHeight="1">
      <c r="I685" s="117"/>
      <c r="K685" s="117"/>
      <c r="L685" s="118"/>
    </row>
    <row r="686" ht="15.75" customHeight="1">
      <c r="I686" s="117"/>
      <c r="K686" s="117"/>
      <c r="L686" s="118"/>
    </row>
    <row r="687" ht="15.75" customHeight="1">
      <c r="I687" s="117"/>
      <c r="K687" s="117"/>
      <c r="L687" s="118"/>
    </row>
    <row r="688" ht="15.75" customHeight="1">
      <c r="I688" s="117"/>
      <c r="K688" s="117"/>
      <c r="L688" s="118"/>
    </row>
    <row r="689" ht="15.75" customHeight="1">
      <c r="I689" s="117"/>
      <c r="K689" s="117"/>
      <c r="L689" s="118"/>
    </row>
    <row r="690" ht="15.75" customHeight="1">
      <c r="I690" s="117"/>
      <c r="K690" s="117"/>
      <c r="L690" s="118"/>
    </row>
    <row r="691" ht="15.75" customHeight="1">
      <c r="I691" s="117"/>
      <c r="K691" s="117"/>
      <c r="L691" s="118"/>
    </row>
    <row r="692" ht="15.75" customHeight="1">
      <c r="I692" s="117"/>
      <c r="K692" s="117"/>
      <c r="L692" s="118"/>
    </row>
    <row r="693" ht="15.75" customHeight="1">
      <c r="I693" s="117"/>
      <c r="K693" s="117"/>
      <c r="L693" s="118"/>
    </row>
    <row r="694" ht="15.75" customHeight="1">
      <c r="I694" s="117"/>
      <c r="K694" s="117"/>
      <c r="L694" s="118"/>
    </row>
    <row r="695" ht="15.75" customHeight="1">
      <c r="I695" s="117"/>
      <c r="K695" s="117"/>
      <c r="L695" s="118"/>
    </row>
    <row r="696" ht="15.75" customHeight="1">
      <c r="I696" s="117"/>
      <c r="K696" s="117"/>
      <c r="L696" s="118"/>
    </row>
    <row r="697" ht="15.75" customHeight="1">
      <c r="I697" s="117"/>
      <c r="K697" s="117"/>
      <c r="L697" s="118"/>
    </row>
    <row r="698" ht="15.75" customHeight="1">
      <c r="I698" s="117"/>
      <c r="K698" s="117"/>
      <c r="L698" s="118"/>
    </row>
    <row r="699" ht="15.75" customHeight="1">
      <c r="I699" s="117"/>
      <c r="K699" s="117"/>
      <c r="L699" s="118"/>
    </row>
    <row r="700" ht="15.75" customHeight="1">
      <c r="I700" s="117"/>
      <c r="K700" s="117"/>
      <c r="L700" s="118"/>
    </row>
    <row r="701" ht="15.75" customHeight="1">
      <c r="I701" s="117"/>
      <c r="K701" s="117"/>
      <c r="L701" s="118"/>
    </row>
    <row r="702" ht="15.75" customHeight="1">
      <c r="I702" s="117"/>
      <c r="K702" s="117"/>
      <c r="L702" s="118"/>
    </row>
    <row r="703" ht="15.75" customHeight="1">
      <c r="I703" s="117"/>
      <c r="K703" s="117"/>
      <c r="L703" s="118"/>
    </row>
    <row r="704" ht="15.75" customHeight="1">
      <c r="I704" s="117"/>
      <c r="K704" s="117"/>
      <c r="L704" s="118"/>
    </row>
    <row r="705" ht="15.75" customHeight="1">
      <c r="I705" s="117"/>
      <c r="K705" s="117"/>
      <c r="L705" s="118"/>
    </row>
    <row r="706" ht="15.75" customHeight="1">
      <c r="I706" s="117"/>
      <c r="K706" s="117"/>
      <c r="L706" s="118"/>
    </row>
    <row r="707" ht="15.75" customHeight="1">
      <c r="I707" s="117"/>
      <c r="K707" s="117"/>
      <c r="L707" s="118"/>
    </row>
    <row r="708" ht="15.75" customHeight="1">
      <c r="I708" s="117"/>
      <c r="K708" s="117"/>
      <c r="L708" s="118"/>
    </row>
    <row r="709" ht="15.75" customHeight="1">
      <c r="I709" s="117"/>
      <c r="K709" s="117"/>
      <c r="L709" s="118"/>
    </row>
    <row r="710" ht="15.75" customHeight="1">
      <c r="I710" s="117"/>
      <c r="K710" s="117"/>
      <c r="L710" s="118"/>
    </row>
    <row r="711" ht="15.75" customHeight="1">
      <c r="I711" s="117"/>
      <c r="K711" s="117"/>
      <c r="L711" s="118"/>
    </row>
    <row r="712" ht="15.75" customHeight="1">
      <c r="I712" s="117"/>
      <c r="K712" s="117"/>
      <c r="L712" s="118"/>
    </row>
    <row r="713" ht="15.75" customHeight="1">
      <c r="I713" s="117"/>
      <c r="K713" s="117"/>
      <c r="L713" s="118"/>
    </row>
    <row r="714" ht="15.75" customHeight="1">
      <c r="I714" s="117"/>
      <c r="K714" s="117"/>
      <c r="L714" s="118"/>
    </row>
    <row r="715" ht="15.75" customHeight="1">
      <c r="I715" s="117"/>
      <c r="K715" s="117"/>
      <c r="L715" s="118"/>
    </row>
    <row r="716" ht="15.75" customHeight="1">
      <c r="I716" s="117"/>
      <c r="K716" s="117"/>
      <c r="L716" s="118"/>
    </row>
    <row r="717" ht="15.75" customHeight="1">
      <c r="I717" s="117"/>
      <c r="K717" s="117"/>
      <c r="L717" s="118"/>
    </row>
    <row r="718" ht="15.75" customHeight="1">
      <c r="I718" s="117"/>
      <c r="K718" s="117"/>
      <c r="L718" s="118"/>
    </row>
    <row r="719" ht="15.75" customHeight="1">
      <c r="I719" s="117"/>
      <c r="K719" s="117"/>
      <c r="L719" s="118"/>
    </row>
    <row r="720" ht="15.75" customHeight="1">
      <c r="I720" s="117"/>
      <c r="K720" s="117"/>
      <c r="L720" s="118"/>
    </row>
    <row r="721" ht="15.75" customHeight="1">
      <c r="I721" s="117"/>
      <c r="K721" s="117"/>
      <c r="L721" s="118"/>
    </row>
    <row r="722" ht="15.75" customHeight="1">
      <c r="I722" s="117"/>
      <c r="K722" s="117"/>
      <c r="L722" s="118"/>
    </row>
    <row r="723" ht="15.75" customHeight="1">
      <c r="I723" s="117"/>
      <c r="K723" s="117"/>
      <c r="L723" s="118"/>
    </row>
    <row r="724" ht="15.75" customHeight="1">
      <c r="I724" s="117"/>
      <c r="K724" s="117"/>
      <c r="L724" s="118"/>
    </row>
    <row r="725" ht="15.75" customHeight="1">
      <c r="I725" s="117"/>
      <c r="K725" s="117"/>
      <c r="L725" s="118"/>
    </row>
    <row r="726" ht="15.75" customHeight="1">
      <c r="I726" s="117"/>
      <c r="K726" s="117"/>
      <c r="L726" s="118"/>
    </row>
    <row r="727" ht="15.75" customHeight="1">
      <c r="I727" s="117"/>
      <c r="K727" s="117"/>
      <c r="L727" s="118"/>
    </row>
    <row r="728" ht="15.75" customHeight="1">
      <c r="I728" s="117"/>
      <c r="K728" s="117"/>
      <c r="L728" s="118"/>
    </row>
    <row r="729" ht="15.75" customHeight="1">
      <c r="I729" s="117"/>
      <c r="K729" s="117"/>
      <c r="L729" s="118"/>
    </row>
    <row r="730" ht="15.75" customHeight="1">
      <c r="I730" s="117"/>
      <c r="K730" s="117"/>
      <c r="L730" s="118"/>
    </row>
    <row r="731" ht="15.75" customHeight="1">
      <c r="I731" s="117"/>
      <c r="K731" s="117"/>
      <c r="L731" s="118"/>
    </row>
    <row r="732" ht="15.75" customHeight="1">
      <c r="I732" s="117"/>
      <c r="K732" s="117"/>
      <c r="L732" s="118"/>
    </row>
    <row r="733" ht="15.75" customHeight="1">
      <c r="I733" s="117"/>
      <c r="K733" s="117"/>
      <c r="L733" s="118"/>
    </row>
    <row r="734" ht="15.75" customHeight="1">
      <c r="I734" s="117"/>
      <c r="K734" s="117"/>
      <c r="L734" s="118"/>
    </row>
    <row r="735" ht="15.75" customHeight="1">
      <c r="I735" s="117"/>
      <c r="K735" s="117"/>
      <c r="L735" s="118"/>
    </row>
    <row r="736" ht="15.75" customHeight="1">
      <c r="I736" s="117"/>
      <c r="K736" s="117"/>
      <c r="L736" s="118"/>
    </row>
    <row r="737" ht="15.75" customHeight="1">
      <c r="I737" s="117"/>
      <c r="K737" s="117"/>
      <c r="L737" s="118"/>
    </row>
    <row r="738" ht="15.75" customHeight="1">
      <c r="I738" s="117"/>
      <c r="K738" s="117"/>
      <c r="L738" s="118"/>
    </row>
    <row r="739" ht="15.75" customHeight="1">
      <c r="I739" s="117"/>
      <c r="K739" s="117"/>
      <c r="L739" s="118"/>
    </row>
    <row r="740" ht="15.75" customHeight="1">
      <c r="I740" s="117"/>
      <c r="K740" s="117"/>
      <c r="L740" s="118"/>
    </row>
    <row r="741" ht="15.75" customHeight="1">
      <c r="I741" s="117"/>
      <c r="K741" s="117"/>
      <c r="L741" s="118"/>
    </row>
    <row r="742" ht="15.75" customHeight="1">
      <c r="I742" s="117"/>
      <c r="K742" s="117"/>
      <c r="L742" s="118"/>
    </row>
    <row r="743" ht="15.75" customHeight="1">
      <c r="I743" s="117"/>
      <c r="K743" s="117"/>
      <c r="L743" s="118"/>
    </row>
    <row r="744" ht="15.75" customHeight="1">
      <c r="I744" s="117"/>
      <c r="K744" s="117"/>
      <c r="L744" s="118"/>
    </row>
    <row r="745" ht="15.75" customHeight="1">
      <c r="I745" s="117"/>
      <c r="K745" s="117"/>
      <c r="L745" s="118"/>
    </row>
    <row r="746" ht="15.75" customHeight="1">
      <c r="I746" s="117"/>
      <c r="K746" s="117"/>
      <c r="L746" s="118"/>
    </row>
    <row r="747" ht="15.75" customHeight="1">
      <c r="I747" s="117"/>
      <c r="K747" s="117"/>
      <c r="L747" s="118"/>
    </row>
    <row r="748" ht="15.75" customHeight="1">
      <c r="I748" s="117"/>
      <c r="K748" s="117"/>
      <c r="L748" s="118"/>
    </row>
    <row r="749" ht="15.75" customHeight="1">
      <c r="I749" s="117"/>
      <c r="K749" s="117"/>
      <c r="L749" s="118"/>
    </row>
    <row r="750" ht="15.75" customHeight="1">
      <c r="I750" s="117"/>
      <c r="K750" s="117"/>
      <c r="L750" s="118"/>
    </row>
    <row r="751" ht="15.75" customHeight="1">
      <c r="I751" s="117"/>
      <c r="K751" s="117"/>
      <c r="L751" s="118"/>
    </row>
    <row r="752" ht="15.75" customHeight="1">
      <c r="I752" s="117"/>
      <c r="K752" s="117"/>
      <c r="L752" s="118"/>
    </row>
    <row r="753" ht="15.75" customHeight="1">
      <c r="I753" s="117"/>
      <c r="K753" s="117"/>
      <c r="L753" s="118"/>
    </row>
    <row r="754" ht="15.75" customHeight="1">
      <c r="I754" s="117"/>
      <c r="K754" s="117"/>
      <c r="L754" s="118"/>
    </row>
    <row r="755" ht="15.75" customHeight="1">
      <c r="I755" s="117"/>
      <c r="K755" s="117"/>
      <c r="L755" s="118"/>
    </row>
    <row r="756" ht="15.75" customHeight="1">
      <c r="I756" s="117"/>
      <c r="K756" s="117"/>
      <c r="L756" s="118"/>
    </row>
    <row r="757" ht="15.75" customHeight="1">
      <c r="I757" s="117"/>
      <c r="K757" s="117"/>
      <c r="L757" s="118"/>
    </row>
    <row r="758" ht="15.75" customHeight="1">
      <c r="I758" s="117"/>
      <c r="K758" s="117"/>
      <c r="L758" s="118"/>
    </row>
    <row r="759" ht="15.75" customHeight="1">
      <c r="I759" s="117"/>
      <c r="K759" s="117"/>
      <c r="L759" s="118"/>
    </row>
    <row r="760" ht="15.75" customHeight="1">
      <c r="I760" s="117"/>
      <c r="K760" s="117"/>
      <c r="L760" s="118"/>
    </row>
    <row r="761" ht="15.75" customHeight="1">
      <c r="I761" s="117"/>
      <c r="K761" s="117"/>
      <c r="L761" s="118"/>
    </row>
    <row r="762" ht="15.75" customHeight="1">
      <c r="I762" s="117"/>
      <c r="K762" s="117"/>
      <c r="L762" s="118"/>
    </row>
    <row r="763" ht="15.75" customHeight="1">
      <c r="I763" s="117"/>
      <c r="K763" s="117"/>
      <c r="L763" s="118"/>
    </row>
    <row r="764" ht="15.75" customHeight="1">
      <c r="I764" s="117"/>
      <c r="K764" s="117"/>
      <c r="L764" s="118"/>
    </row>
    <row r="765" ht="15.75" customHeight="1">
      <c r="I765" s="117"/>
      <c r="K765" s="117"/>
      <c r="L765" s="118"/>
    </row>
    <row r="766" ht="15.75" customHeight="1">
      <c r="I766" s="117"/>
      <c r="K766" s="117"/>
      <c r="L766" s="118"/>
    </row>
    <row r="767" ht="15.75" customHeight="1">
      <c r="I767" s="117"/>
      <c r="K767" s="117"/>
      <c r="L767" s="118"/>
    </row>
    <row r="768" ht="15.75" customHeight="1">
      <c r="I768" s="117"/>
      <c r="K768" s="117"/>
      <c r="L768" s="118"/>
    </row>
    <row r="769" ht="15.75" customHeight="1">
      <c r="I769" s="117"/>
      <c r="K769" s="117"/>
      <c r="L769" s="118"/>
    </row>
    <row r="770" ht="15.75" customHeight="1">
      <c r="I770" s="117"/>
      <c r="K770" s="117"/>
      <c r="L770" s="118"/>
    </row>
    <row r="771" ht="15.75" customHeight="1">
      <c r="I771" s="117"/>
      <c r="K771" s="117"/>
      <c r="L771" s="118"/>
    </row>
    <row r="772" ht="15.75" customHeight="1">
      <c r="I772" s="117"/>
      <c r="K772" s="117"/>
      <c r="L772" s="118"/>
    </row>
    <row r="773" ht="15.75" customHeight="1">
      <c r="I773" s="117"/>
      <c r="K773" s="117"/>
      <c r="L773" s="118"/>
    </row>
    <row r="774" ht="15.75" customHeight="1">
      <c r="I774" s="117"/>
      <c r="K774" s="117"/>
      <c r="L774" s="118"/>
    </row>
    <row r="775" ht="15.75" customHeight="1">
      <c r="I775" s="117"/>
      <c r="K775" s="117"/>
      <c r="L775" s="118"/>
    </row>
    <row r="776" ht="15.75" customHeight="1">
      <c r="I776" s="117"/>
      <c r="K776" s="117"/>
      <c r="L776" s="118"/>
    </row>
    <row r="777" ht="15.75" customHeight="1">
      <c r="I777" s="117"/>
      <c r="K777" s="117"/>
      <c r="L777" s="118"/>
    </row>
    <row r="778" ht="15.75" customHeight="1">
      <c r="I778" s="117"/>
      <c r="K778" s="117"/>
      <c r="L778" s="118"/>
    </row>
    <row r="779" ht="15.75" customHeight="1">
      <c r="I779" s="117"/>
      <c r="K779" s="117"/>
      <c r="L779" s="118"/>
    </row>
    <row r="780" ht="15.75" customHeight="1">
      <c r="I780" s="117"/>
      <c r="K780" s="117"/>
      <c r="L780" s="118"/>
    </row>
    <row r="781" ht="15.75" customHeight="1">
      <c r="I781" s="117"/>
      <c r="K781" s="117"/>
      <c r="L781" s="118"/>
    </row>
    <row r="782" ht="15.75" customHeight="1">
      <c r="I782" s="117"/>
      <c r="K782" s="117"/>
      <c r="L782" s="118"/>
    </row>
    <row r="783" ht="15.75" customHeight="1">
      <c r="I783" s="117"/>
      <c r="K783" s="117"/>
      <c r="L783" s="118"/>
    </row>
    <row r="784" ht="15.75" customHeight="1">
      <c r="I784" s="117"/>
      <c r="K784" s="117"/>
      <c r="L784" s="118"/>
    </row>
    <row r="785" ht="15.75" customHeight="1">
      <c r="I785" s="117"/>
      <c r="K785" s="117"/>
      <c r="L785" s="118"/>
    </row>
    <row r="786" ht="15.75" customHeight="1">
      <c r="I786" s="117"/>
      <c r="K786" s="117"/>
      <c r="L786" s="118"/>
    </row>
    <row r="787" ht="15.75" customHeight="1">
      <c r="I787" s="117"/>
      <c r="K787" s="117"/>
      <c r="L787" s="118"/>
    </row>
    <row r="788" ht="15.75" customHeight="1">
      <c r="I788" s="117"/>
      <c r="K788" s="117"/>
      <c r="L788" s="118"/>
    </row>
    <row r="789" ht="15.75" customHeight="1">
      <c r="I789" s="117"/>
      <c r="K789" s="117"/>
      <c r="L789" s="118"/>
    </row>
    <row r="790" ht="15.75" customHeight="1">
      <c r="I790" s="117"/>
      <c r="K790" s="117"/>
      <c r="L790" s="118"/>
    </row>
    <row r="791" ht="15.75" customHeight="1">
      <c r="I791" s="117"/>
      <c r="K791" s="117"/>
      <c r="L791" s="118"/>
    </row>
    <row r="792" ht="15.75" customHeight="1">
      <c r="I792" s="117"/>
      <c r="K792" s="117"/>
      <c r="L792" s="118"/>
    </row>
    <row r="793" ht="15.75" customHeight="1">
      <c r="I793" s="117"/>
      <c r="K793" s="117"/>
      <c r="L793" s="118"/>
    </row>
    <row r="794" ht="15.75" customHeight="1">
      <c r="I794" s="117"/>
      <c r="K794" s="117"/>
      <c r="L794" s="118"/>
    </row>
    <row r="795" ht="15.75" customHeight="1">
      <c r="I795" s="117"/>
      <c r="K795" s="117"/>
      <c r="L795" s="118"/>
    </row>
    <row r="796" ht="15.75" customHeight="1">
      <c r="I796" s="117"/>
      <c r="K796" s="117"/>
      <c r="L796" s="118"/>
    </row>
    <row r="797" ht="15.75" customHeight="1">
      <c r="I797" s="117"/>
      <c r="K797" s="117"/>
      <c r="L797" s="118"/>
    </row>
    <row r="798" ht="15.75" customHeight="1">
      <c r="I798" s="117"/>
      <c r="K798" s="117"/>
      <c r="L798" s="118"/>
    </row>
    <row r="799" ht="15.75" customHeight="1">
      <c r="I799" s="117"/>
      <c r="K799" s="117"/>
      <c r="L799" s="118"/>
    </row>
    <row r="800" ht="15.75" customHeight="1">
      <c r="I800" s="117"/>
      <c r="K800" s="117"/>
      <c r="L800" s="118"/>
    </row>
    <row r="801" ht="15.75" customHeight="1">
      <c r="I801" s="117"/>
      <c r="K801" s="117"/>
      <c r="L801" s="118"/>
    </row>
    <row r="802" ht="15.75" customHeight="1">
      <c r="I802" s="117"/>
      <c r="K802" s="117"/>
      <c r="L802" s="118"/>
    </row>
    <row r="803" ht="15.75" customHeight="1">
      <c r="I803" s="117"/>
      <c r="K803" s="117"/>
      <c r="L803" s="118"/>
    </row>
    <row r="804" ht="15.75" customHeight="1">
      <c r="I804" s="117"/>
      <c r="K804" s="117"/>
      <c r="L804" s="118"/>
    </row>
    <row r="805" ht="15.75" customHeight="1">
      <c r="I805" s="117"/>
      <c r="K805" s="117"/>
      <c r="L805" s="118"/>
    </row>
    <row r="806" ht="15.75" customHeight="1">
      <c r="I806" s="117"/>
      <c r="K806" s="117"/>
      <c r="L806" s="118"/>
    </row>
    <row r="807" ht="15.75" customHeight="1">
      <c r="I807" s="117"/>
      <c r="K807" s="117"/>
      <c r="L807" s="118"/>
    </row>
    <row r="808" ht="15.75" customHeight="1">
      <c r="I808" s="117"/>
      <c r="K808" s="117"/>
      <c r="L808" s="118"/>
    </row>
    <row r="809" ht="15.75" customHeight="1">
      <c r="I809" s="117"/>
      <c r="K809" s="117"/>
      <c r="L809" s="118"/>
    </row>
    <row r="810" ht="15.75" customHeight="1">
      <c r="I810" s="117"/>
      <c r="K810" s="117"/>
      <c r="L810" s="118"/>
    </row>
    <row r="811" ht="15.75" customHeight="1">
      <c r="I811" s="117"/>
      <c r="K811" s="117"/>
      <c r="L811" s="118"/>
    </row>
    <row r="812" ht="15.75" customHeight="1">
      <c r="I812" s="117"/>
      <c r="K812" s="117"/>
      <c r="L812" s="118"/>
    </row>
    <row r="813" ht="15.75" customHeight="1">
      <c r="I813" s="117"/>
      <c r="K813" s="117"/>
      <c r="L813" s="118"/>
    </row>
    <row r="814" ht="15.75" customHeight="1">
      <c r="I814" s="117"/>
      <c r="K814" s="117"/>
      <c r="L814" s="118"/>
    </row>
    <row r="815" ht="15.75" customHeight="1">
      <c r="I815" s="117"/>
      <c r="K815" s="117"/>
      <c r="L815" s="118"/>
    </row>
    <row r="816" ht="15.75" customHeight="1">
      <c r="I816" s="117"/>
      <c r="K816" s="117"/>
      <c r="L816" s="118"/>
    </row>
    <row r="817" ht="15.75" customHeight="1">
      <c r="I817" s="117"/>
      <c r="K817" s="117"/>
      <c r="L817" s="118"/>
    </row>
    <row r="818" ht="15.75" customHeight="1">
      <c r="I818" s="117"/>
      <c r="K818" s="117"/>
      <c r="L818" s="118"/>
    </row>
    <row r="819" ht="15.75" customHeight="1">
      <c r="I819" s="117"/>
      <c r="K819" s="117"/>
      <c r="L819" s="118"/>
    </row>
    <row r="820" ht="15.75" customHeight="1">
      <c r="I820" s="117"/>
      <c r="K820" s="117"/>
      <c r="L820" s="118"/>
    </row>
    <row r="821" ht="15.75" customHeight="1">
      <c r="I821" s="117"/>
      <c r="K821" s="117"/>
      <c r="L821" s="118"/>
    </row>
    <row r="822" ht="15.75" customHeight="1">
      <c r="I822" s="117"/>
      <c r="K822" s="117"/>
      <c r="L822" s="118"/>
    </row>
    <row r="823" ht="15.75" customHeight="1">
      <c r="I823" s="117"/>
      <c r="K823" s="117"/>
      <c r="L823" s="118"/>
    </row>
    <row r="824" ht="15.75" customHeight="1">
      <c r="I824" s="117"/>
      <c r="K824" s="117"/>
      <c r="L824" s="118"/>
    </row>
    <row r="825" ht="15.75" customHeight="1">
      <c r="I825" s="117"/>
      <c r="K825" s="117"/>
      <c r="L825" s="118"/>
    </row>
    <row r="826" ht="15.75" customHeight="1">
      <c r="I826" s="117"/>
      <c r="K826" s="117"/>
      <c r="L826" s="118"/>
    </row>
    <row r="827" ht="15.75" customHeight="1">
      <c r="I827" s="117"/>
      <c r="K827" s="117"/>
      <c r="L827" s="118"/>
    </row>
    <row r="828" ht="15.75" customHeight="1">
      <c r="I828" s="117"/>
      <c r="K828" s="117"/>
      <c r="L828" s="118"/>
    </row>
    <row r="829" ht="15.75" customHeight="1">
      <c r="I829" s="117"/>
      <c r="K829" s="117"/>
      <c r="L829" s="118"/>
    </row>
    <row r="830" ht="15.75" customHeight="1">
      <c r="I830" s="117"/>
      <c r="K830" s="117"/>
      <c r="L830" s="118"/>
    </row>
    <row r="831" ht="15.75" customHeight="1">
      <c r="I831" s="117"/>
      <c r="K831" s="117"/>
      <c r="L831" s="118"/>
    </row>
    <row r="832" ht="15.75" customHeight="1">
      <c r="I832" s="117"/>
      <c r="K832" s="117"/>
      <c r="L832" s="118"/>
    </row>
    <row r="833" ht="15.75" customHeight="1">
      <c r="I833" s="117"/>
      <c r="K833" s="117"/>
      <c r="L833" s="118"/>
    </row>
    <row r="834" ht="15.75" customHeight="1">
      <c r="I834" s="117"/>
      <c r="K834" s="117"/>
      <c r="L834" s="118"/>
    </row>
    <row r="835" ht="15.75" customHeight="1">
      <c r="I835" s="117"/>
      <c r="K835" s="117"/>
      <c r="L835" s="118"/>
    </row>
    <row r="836" ht="15.75" customHeight="1">
      <c r="I836" s="117"/>
      <c r="K836" s="117"/>
      <c r="L836" s="118"/>
    </row>
    <row r="837" ht="15.75" customHeight="1">
      <c r="I837" s="117"/>
      <c r="K837" s="117"/>
      <c r="L837" s="118"/>
    </row>
    <row r="838" ht="15.75" customHeight="1">
      <c r="I838" s="117"/>
      <c r="K838" s="117"/>
      <c r="L838" s="118"/>
    </row>
    <row r="839" ht="15.75" customHeight="1">
      <c r="I839" s="117"/>
      <c r="K839" s="117"/>
      <c r="L839" s="118"/>
    </row>
    <row r="840" ht="15.75" customHeight="1">
      <c r="I840" s="117"/>
      <c r="K840" s="117"/>
      <c r="L840" s="118"/>
    </row>
    <row r="841" ht="15.75" customHeight="1">
      <c r="I841" s="117"/>
      <c r="K841" s="117"/>
      <c r="L841" s="118"/>
    </row>
    <row r="842" ht="15.75" customHeight="1">
      <c r="I842" s="117"/>
      <c r="K842" s="117"/>
      <c r="L842" s="118"/>
    </row>
    <row r="843" ht="15.75" customHeight="1">
      <c r="I843" s="117"/>
      <c r="K843" s="117"/>
      <c r="L843" s="118"/>
    </row>
    <row r="844" ht="15.75" customHeight="1">
      <c r="I844" s="117"/>
      <c r="K844" s="117"/>
      <c r="L844" s="118"/>
    </row>
    <row r="845" ht="15.75" customHeight="1">
      <c r="I845" s="117"/>
      <c r="K845" s="117"/>
      <c r="L845" s="118"/>
    </row>
    <row r="846" ht="15.75" customHeight="1">
      <c r="I846" s="117"/>
      <c r="K846" s="117"/>
      <c r="L846" s="118"/>
    </row>
    <row r="847" ht="15.75" customHeight="1">
      <c r="I847" s="117"/>
      <c r="K847" s="117"/>
      <c r="L847" s="118"/>
    </row>
    <row r="848" ht="15.75" customHeight="1">
      <c r="I848" s="117"/>
      <c r="K848" s="117"/>
      <c r="L848" s="118"/>
    </row>
    <row r="849" ht="15.75" customHeight="1">
      <c r="I849" s="117"/>
      <c r="K849" s="117"/>
      <c r="L849" s="118"/>
    </row>
    <row r="850" ht="15.75" customHeight="1">
      <c r="I850" s="117"/>
      <c r="K850" s="117"/>
      <c r="L850" s="118"/>
    </row>
    <row r="851" ht="15.75" customHeight="1">
      <c r="I851" s="117"/>
      <c r="K851" s="117"/>
      <c r="L851" s="118"/>
    </row>
    <row r="852" ht="15.75" customHeight="1">
      <c r="I852" s="117"/>
      <c r="K852" s="117"/>
      <c r="L852" s="118"/>
    </row>
    <row r="853" ht="15.75" customHeight="1">
      <c r="I853" s="117"/>
      <c r="K853" s="117"/>
      <c r="L853" s="118"/>
    </row>
    <row r="854" ht="15.75" customHeight="1">
      <c r="I854" s="117"/>
      <c r="K854" s="117"/>
      <c r="L854" s="118"/>
    </row>
    <row r="855" ht="15.75" customHeight="1">
      <c r="I855" s="117"/>
      <c r="K855" s="117"/>
      <c r="L855" s="118"/>
    </row>
    <row r="856" ht="15.75" customHeight="1">
      <c r="I856" s="117"/>
      <c r="K856" s="117"/>
      <c r="L856" s="118"/>
    </row>
    <row r="857" ht="15.75" customHeight="1">
      <c r="I857" s="117"/>
      <c r="K857" s="117"/>
      <c r="L857" s="118"/>
    </row>
    <row r="858" ht="15.75" customHeight="1">
      <c r="I858" s="117"/>
      <c r="K858" s="117"/>
      <c r="L858" s="118"/>
    </row>
    <row r="859" ht="15.75" customHeight="1">
      <c r="I859" s="117"/>
      <c r="K859" s="117"/>
      <c r="L859" s="118"/>
    </row>
    <row r="860" ht="15.75" customHeight="1">
      <c r="I860" s="117"/>
      <c r="K860" s="117"/>
      <c r="L860" s="118"/>
    </row>
    <row r="861" ht="15.75" customHeight="1">
      <c r="I861" s="117"/>
      <c r="K861" s="117"/>
      <c r="L861" s="118"/>
    </row>
    <row r="862" ht="15.75" customHeight="1">
      <c r="I862" s="117"/>
      <c r="K862" s="117"/>
      <c r="L862" s="118"/>
    </row>
    <row r="863" ht="15.75" customHeight="1">
      <c r="I863" s="117"/>
      <c r="K863" s="117"/>
      <c r="L863" s="118"/>
    </row>
    <row r="864" ht="15.75" customHeight="1">
      <c r="I864" s="117"/>
      <c r="K864" s="117"/>
      <c r="L864" s="118"/>
    </row>
    <row r="865" ht="15.75" customHeight="1">
      <c r="I865" s="117"/>
      <c r="K865" s="117"/>
      <c r="L865" s="118"/>
    </row>
    <row r="866" ht="15.75" customHeight="1">
      <c r="I866" s="117"/>
      <c r="K866" s="117"/>
      <c r="L866" s="118"/>
    </row>
    <row r="867" ht="15.75" customHeight="1">
      <c r="I867" s="117"/>
      <c r="K867" s="117"/>
      <c r="L867" s="118"/>
    </row>
    <row r="868" ht="15.75" customHeight="1">
      <c r="I868" s="117"/>
      <c r="K868" s="117"/>
      <c r="L868" s="118"/>
    </row>
    <row r="869" ht="15.75" customHeight="1">
      <c r="I869" s="117"/>
      <c r="K869" s="117"/>
      <c r="L869" s="118"/>
    </row>
    <row r="870" ht="15.75" customHeight="1">
      <c r="I870" s="117"/>
      <c r="K870" s="117"/>
      <c r="L870" s="118"/>
    </row>
    <row r="871" ht="15.75" customHeight="1">
      <c r="I871" s="117"/>
      <c r="K871" s="117"/>
      <c r="L871" s="118"/>
    </row>
    <row r="872" ht="15.75" customHeight="1">
      <c r="I872" s="117"/>
      <c r="K872" s="117"/>
      <c r="L872" s="118"/>
    </row>
    <row r="873" ht="15.75" customHeight="1">
      <c r="I873" s="117"/>
      <c r="K873" s="117"/>
      <c r="L873" s="118"/>
    </row>
    <row r="874" ht="15.75" customHeight="1">
      <c r="I874" s="117"/>
      <c r="K874" s="117"/>
      <c r="L874" s="118"/>
    </row>
    <row r="875" ht="15.75" customHeight="1">
      <c r="I875" s="117"/>
      <c r="K875" s="117"/>
      <c r="L875" s="118"/>
    </row>
    <row r="876" ht="15.75" customHeight="1">
      <c r="I876" s="117"/>
      <c r="K876" s="117"/>
      <c r="L876" s="118"/>
    </row>
    <row r="877" ht="15.75" customHeight="1">
      <c r="I877" s="117"/>
      <c r="K877" s="117"/>
      <c r="L877" s="118"/>
    </row>
    <row r="878" ht="15.75" customHeight="1">
      <c r="I878" s="117"/>
      <c r="K878" s="117"/>
      <c r="L878" s="118"/>
    </row>
    <row r="879" ht="15.75" customHeight="1">
      <c r="I879" s="117"/>
      <c r="K879" s="117"/>
      <c r="L879" s="118"/>
    </row>
    <row r="880" ht="15.75" customHeight="1">
      <c r="I880" s="117"/>
      <c r="K880" s="117"/>
      <c r="L880" s="118"/>
    </row>
    <row r="881" ht="15.75" customHeight="1">
      <c r="I881" s="117"/>
      <c r="K881" s="117"/>
      <c r="L881" s="118"/>
    </row>
    <row r="882" ht="15.75" customHeight="1">
      <c r="I882" s="117"/>
      <c r="K882" s="117"/>
      <c r="L882" s="118"/>
    </row>
    <row r="883" ht="15.75" customHeight="1">
      <c r="I883" s="117"/>
      <c r="K883" s="117"/>
      <c r="L883" s="118"/>
    </row>
    <row r="884" ht="15.75" customHeight="1">
      <c r="I884" s="117"/>
      <c r="K884" s="117"/>
      <c r="L884" s="118"/>
    </row>
    <row r="885" ht="15.75" customHeight="1">
      <c r="I885" s="117"/>
      <c r="K885" s="117"/>
      <c r="L885" s="118"/>
    </row>
    <row r="886" ht="15.75" customHeight="1">
      <c r="I886" s="117"/>
      <c r="K886" s="117"/>
      <c r="L886" s="118"/>
    </row>
    <row r="887" ht="15.75" customHeight="1">
      <c r="I887" s="117"/>
      <c r="K887" s="117"/>
      <c r="L887" s="118"/>
    </row>
    <row r="888" ht="15.75" customHeight="1">
      <c r="I888" s="117"/>
      <c r="K888" s="117"/>
      <c r="L888" s="118"/>
    </row>
    <row r="889" ht="15.75" customHeight="1">
      <c r="I889" s="117"/>
      <c r="K889" s="117"/>
      <c r="L889" s="118"/>
    </row>
    <row r="890" ht="15.75" customHeight="1">
      <c r="I890" s="117"/>
      <c r="K890" s="117"/>
      <c r="L890" s="118"/>
    </row>
    <row r="891" ht="15.75" customHeight="1">
      <c r="I891" s="117"/>
      <c r="K891" s="117"/>
      <c r="L891" s="118"/>
    </row>
    <row r="892" ht="15.75" customHeight="1">
      <c r="I892" s="117"/>
      <c r="K892" s="117"/>
      <c r="L892" s="118"/>
    </row>
    <row r="893" ht="15.75" customHeight="1">
      <c r="I893" s="117"/>
      <c r="K893" s="117"/>
      <c r="L893" s="118"/>
    </row>
    <row r="894" ht="15.75" customHeight="1">
      <c r="I894" s="117"/>
      <c r="K894" s="117"/>
      <c r="L894" s="118"/>
    </row>
    <row r="895" ht="15.75" customHeight="1">
      <c r="I895" s="117"/>
      <c r="K895" s="117"/>
      <c r="L895" s="118"/>
    </row>
    <row r="896" ht="15.75" customHeight="1">
      <c r="I896" s="117"/>
      <c r="K896" s="117"/>
      <c r="L896" s="118"/>
    </row>
    <row r="897" ht="15.75" customHeight="1">
      <c r="I897" s="117"/>
      <c r="K897" s="117"/>
      <c r="L897" s="118"/>
    </row>
    <row r="898" ht="15.75" customHeight="1">
      <c r="I898" s="117"/>
      <c r="K898" s="117"/>
      <c r="L898" s="118"/>
    </row>
    <row r="899" ht="15.75" customHeight="1">
      <c r="I899" s="117"/>
      <c r="K899" s="117"/>
      <c r="L899" s="118"/>
    </row>
    <row r="900" ht="15.75" customHeight="1">
      <c r="I900" s="117"/>
      <c r="K900" s="117"/>
      <c r="L900" s="118"/>
    </row>
    <row r="901" ht="15.75" customHeight="1">
      <c r="I901" s="117"/>
      <c r="K901" s="117"/>
      <c r="L901" s="118"/>
    </row>
    <row r="902" ht="15.75" customHeight="1">
      <c r="I902" s="117"/>
      <c r="K902" s="117"/>
      <c r="L902" s="118"/>
    </row>
    <row r="903" ht="15.75" customHeight="1">
      <c r="I903" s="117"/>
      <c r="K903" s="117"/>
      <c r="L903" s="118"/>
    </row>
    <row r="904" ht="15.75" customHeight="1">
      <c r="I904" s="117"/>
      <c r="K904" s="117"/>
      <c r="L904" s="118"/>
    </row>
    <row r="905" ht="15.75" customHeight="1">
      <c r="I905" s="117"/>
      <c r="K905" s="117"/>
      <c r="L905" s="118"/>
    </row>
    <row r="906" ht="15.75" customHeight="1">
      <c r="I906" s="117"/>
      <c r="K906" s="117"/>
      <c r="L906" s="118"/>
    </row>
    <row r="907" ht="15.75" customHeight="1">
      <c r="I907" s="117"/>
      <c r="K907" s="117"/>
      <c r="L907" s="118"/>
    </row>
    <row r="908" ht="15.75" customHeight="1">
      <c r="I908" s="117"/>
      <c r="K908" s="117"/>
      <c r="L908" s="118"/>
    </row>
    <row r="909" ht="15.75" customHeight="1">
      <c r="I909" s="117"/>
      <c r="K909" s="117"/>
      <c r="L909" s="118"/>
    </row>
    <row r="910" ht="15.75" customHeight="1">
      <c r="I910" s="117"/>
      <c r="K910" s="117"/>
      <c r="L910" s="118"/>
    </row>
    <row r="911" ht="15.75" customHeight="1">
      <c r="I911" s="117"/>
      <c r="K911" s="117"/>
      <c r="L911" s="118"/>
    </row>
    <row r="912" ht="15.75" customHeight="1">
      <c r="I912" s="117"/>
      <c r="K912" s="117"/>
      <c r="L912" s="118"/>
    </row>
    <row r="913" ht="15.75" customHeight="1">
      <c r="I913" s="117"/>
      <c r="K913" s="117"/>
      <c r="L913" s="118"/>
    </row>
    <row r="914" ht="15.75" customHeight="1">
      <c r="I914" s="117"/>
      <c r="K914" s="117"/>
      <c r="L914" s="118"/>
    </row>
    <row r="915" ht="15.75" customHeight="1">
      <c r="I915" s="117"/>
      <c r="K915" s="117"/>
      <c r="L915" s="118"/>
    </row>
    <row r="916" ht="15.75" customHeight="1">
      <c r="I916" s="117"/>
      <c r="K916" s="117"/>
      <c r="L916" s="118"/>
    </row>
    <row r="917" ht="15.75" customHeight="1">
      <c r="I917" s="117"/>
      <c r="K917" s="117"/>
      <c r="L917" s="118"/>
    </row>
    <row r="918" ht="15.75" customHeight="1">
      <c r="I918" s="117"/>
      <c r="K918" s="117"/>
      <c r="L918" s="118"/>
    </row>
    <row r="919" ht="15.75" customHeight="1">
      <c r="I919" s="117"/>
      <c r="K919" s="117"/>
      <c r="L919" s="118"/>
    </row>
    <row r="920" ht="15.75" customHeight="1">
      <c r="I920" s="117"/>
      <c r="K920" s="117"/>
      <c r="L920" s="118"/>
    </row>
    <row r="921" ht="15.75" customHeight="1">
      <c r="I921" s="117"/>
      <c r="K921" s="117"/>
      <c r="L921" s="118"/>
    </row>
    <row r="922" ht="15.75" customHeight="1">
      <c r="I922" s="117"/>
      <c r="K922" s="117"/>
      <c r="L922" s="118"/>
    </row>
    <row r="923" ht="15.75" customHeight="1">
      <c r="I923" s="117"/>
      <c r="K923" s="117"/>
      <c r="L923" s="118"/>
    </row>
    <row r="924" ht="15.75" customHeight="1">
      <c r="I924" s="117"/>
      <c r="K924" s="117"/>
      <c r="L924" s="118"/>
    </row>
    <row r="925" ht="15.75" customHeight="1">
      <c r="I925" s="117"/>
      <c r="K925" s="117"/>
      <c r="L925" s="118"/>
    </row>
    <row r="926" ht="15.75" customHeight="1">
      <c r="I926" s="117"/>
      <c r="K926" s="117"/>
      <c r="L926" s="118"/>
    </row>
    <row r="927" ht="15.75" customHeight="1">
      <c r="I927" s="117"/>
      <c r="K927" s="117"/>
      <c r="L927" s="118"/>
    </row>
    <row r="928" ht="15.75" customHeight="1">
      <c r="I928" s="117"/>
      <c r="K928" s="117"/>
      <c r="L928" s="118"/>
    </row>
    <row r="929" ht="15.75" customHeight="1">
      <c r="I929" s="117"/>
      <c r="K929" s="117"/>
      <c r="L929" s="118"/>
    </row>
    <row r="930" ht="15.75" customHeight="1">
      <c r="I930" s="117"/>
      <c r="K930" s="117"/>
      <c r="L930" s="118"/>
    </row>
    <row r="931" ht="15.75" customHeight="1">
      <c r="I931" s="117"/>
      <c r="K931" s="117"/>
      <c r="L931" s="118"/>
    </row>
    <row r="932" ht="15.75" customHeight="1">
      <c r="I932" s="117"/>
      <c r="K932" s="117"/>
      <c r="L932" s="118"/>
    </row>
    <row r="933" ht="15.75" customHeight="1">
      <c r="I933" s="117"/>
      <c r="K933" s="117"/>
      <c r="L933" s="118"/>
    </row>
    <row r="934" ht="15.75" customHeight="1">
      <c r="I934" s="117"/>
      <c r="K934" s="117"/>
      <c r="L934" s="118"/>
    </row>
    <row r="935" ht="15.75" customHeight="1">
      <c r="I935" s="117"/>
      <c r="K935" s="117"/>
      <c r="L935" s="118"/>
    </row>
    <row r="936" ht="15.75" customHeight="1">
      <c r="I936" s="117"/>
      <c r="K936" s="117"/>
      <c r="L936" s="118"/>
    </row>
    <row r="937" ht="15.75" customHeight="1">
      <c r="I937" s="117"/>
      <c r="K937" s="117"/>
      <c r="L937" s="118"/>
    </row>
    <row r="938" ht="15.75" customHeight="1">
      <c r="I938" s="117"/>
      <c r="K938" s="117"/>
      <c r="L938" s="118"/>
    </row>
    <row r="939" ht="15.75" customHeight="1">
      <c r="I939" s="117"/>
      <c r="K939" s="117"/>
      <c r="L939" s="118"/>
    </row>
    <row r="940" ht="15.75" customHeight="1">
      <c r="I940" s="117"/>
      <c r="K940" s="117"/>
      <c r="L940" s="118"/>
    </row>
    <row r="941" ht="15.75" customHeight="1">
      <c r="I941" s="117"/>
      <c r="K941" s="117"/>
      <c r="L941" s="118"/>
    </row>
    <row r="942" ht="15.75" customHeight="1">
      <c r="I942" s="117"/>
      <c r="K942" s="117"/>
      <c r="L942" s="118"/>
    </row>
    <row r="943" ht="15.75" customHeight="1">
      <c r="I943" s="117"/>
      <c r="K943" s="117"/>
      <c r="L943" s="118"/>
    </row>
    <row r="944" ht="15.75" customHeight="1">
      <c r="I944" s="117"/>
      <c r="K944" s="117"/>
      <c r="L944" s="118"/>
    </row>
    <row r="945" ht="15.75" customHeight="1">
      <c r="I945" s="117"/>
      <c r="K945" s="117"/>
      <c r="L945" s="118"/>
    </row>
    <row r="946" ht="15.75" customHeight="1">
      <c r="I946" s="117"/>
      <c r="K946" s="117"/>
      <c r="L946" s="118"/>
    </row>
  </sheetData>
  <mergeCells count="15">
    <mergeCell ref="H4:H9"/>
    <mergeCell ref="I4:I9"/>
    <mergeCell ref="J4:J9"/>
    <mergeCell ref="K4:K9"/>
    <mergeCell ref="L4:L9"/>
    <mergeCell ref="M4:M9"/>
    <mergeCell ref="A10:B10"/>
    <mergeCell ref="A11:B11"/>
    <mergeCell ref="A4:A9"/>
    <mergeCell ref="B4:B9"/>
    <mergeCell ref="C4:C9"/>
    <mergeCell ref="D4:D9"/>
    <mergeCell ref="E4:E9"/>
    <mergeCell ref="F4:F9"/>
    <mergeCell ref="G4:G9"/>
  </mergeCells>
  <conditionalFormatting sqref="F12:F19">
    <cfRule type="cellIs" dxfId="8" priority="1" operator="equal">
      <formula>"Positive"</formula>
    </cfRule>
  </conditionalFormatting>
  <conditionalFormatting sqref="F12:F19">
    <cfRule type="containsText" dxfId="9" priority="2" operator="containsText" text="Negative">
      <formula>NOT(ISERROR(SEARCH(("Negative"),(F12))))</formula>
    </cfRule>
  </conditionalFormatting>
  <conditionalFormatting sqref="G10:M11">
    <cfRule type="cellIs" dxfId="4" priority="3" operator="equal">
      <formula>"Positive"</formula>
    </cfRule>
  </conditionalFormatting>
  <conditionalFormatting sqref="G10:M11">
    <cfRule type="containsText" dxfId="5" priority="4" operator="containsText" text="Negative">
      <formula>NOT(ISERROR(SEARCH(("Negative"),(G10))))</formula>
    </cfRule>
  </conditionalFormatting>
  <conditionalFormatting sqref="G12:G19">
    <cfRule type="containsText" dxfId="10" priority="5" operator="containsText" text="High">
      <formula>NOT(ISERROR(SEARCH(("High"),(G12))))</formula>
    </cfRule>
  </conditionalFormatting>
  <conditionalFormatting sqref="G12:G19">
    <cfRule type="cellIs" dxfId="11" priority="6" operator="equal">
      <formula>"Medium"</formula>
    </cfRule>
  </conditionalFormatting>
  <conditionalFormatting sqref="G12:G19">
    <cfRule type="containsText" dxfId="12" priority="7" operator="containsText" text="Low">
      <formula>NOT(ISERROR(SEARCH(("Low"),(G12))))</formula>
    </cfRule>
  </conditionalFormatting>
  <conditionalFormatting sqref="L1:L19">
    <cfRule type="containsText" dxfId="13" priority="8" operator="containsText" text="Deferred">
      <formula>NOT(ISERROR(SEARCH(("Deferred"),(L1))))</formula>
    </cfRule>
  </conditionalFormatting>
  <conditionalFormatting sqref="L1:L19">
    <cfRule type="containsText" dxfId="14" priority="9" operator="containsText" text="Not Start">
      <formula>NOT(ISERROR(SEARCH(("Not Start"),(L1))))</formula>
    </cfRule>
  </conditionalFormatting>
  <conditionalFormatting sqref="L1:L19">
    <cfRule type="containsText" dxfId="15" priority="10" operator="containsText" text="Blocked">
      <formula>NOT(ISERROR(SEARCH(("Blocked"),(L1))))</formula>
    </cfRule>
  </conditionalFormatting>
  <conditionalFormatting sqref="L1:L19">
    <cfRule type="containsText" dxfId="6" priority="11" operator="containsText" text="FAIL">
      <formula>NOT(ISERROR(SEARCH(("FAIL"),(L1))))</formula>
    </cfRule>
  </conditionalFormatting>
  <conditionalFormatting sqref="L1:L19">
    <cfRule type="cellIs" dxfId="7" priority="12" operator="equal">
      <formula>"PASS"</formula>
    </cfRule>
  </conditionalFormatting>
  <conditionalFormatting sqref="L12:L19">
    <cfRule type="cellIs" dxfId="16" priority="13" operator="equal">
      <formula>"N/A"</formula>
    </cfRule>
  </conditionalFormatting>
  <conditionalFormatting sqref="L12:L19">
    <cfRule type="containsText" dxfId="17" priority="14" operator="containsText" text="N/A">
      <formula>NOT(ISERROR(SEARCH(("N/A"),(L12))))</formula>
    </cfRule>
  </conditionalFormatting>
  <conditionalFormatting sqref="L12:L19">
    <cfRule type="containsText" dxfId="18" priority="15" operator="containsText" text="In Progress">
      <formula>NOT(ISERROR(SEARCH(("In Progress"),(L12))))</formula>
    </cfRule>
  </conditionalFormatting>
  <conditionalFormatting sqref="M10:M11">
    <cfRule type="expression" dxfId="6" priority="16" stopIfTrue="1">
      <formula>NOT(ISERROR(SEARCH("Negative",M10)))</formula>
    </cfRule>
  </conditionalFormatting>
  <conditionalFormatting sqref="M10:M11">
    <cfRule type="expression" dxfId="7" priority="17" stopIfTrue="1">
      <formula>NOT(ISERROR(SEARCH("Positive",M10)))</formula>
    </cfRule>
  </conditionalFormatting>
  <conditionalFormatting sqref="L1:L946">
    <cfRule type="cellIs" dxfId="19" priority="18" operator="equal">
      <formula>"In Progress"</formula>
    </cfRule>
  </conditionalFormatting>
  <conditionalFormatting sqref="G10:M11">
    <cfRule type="expression" dxfId="6" priority="19" stopIfTrue="1">
      <formula>NOT(ISERROR(SEARCH("Negative",G10)))</formula>
    </cfRule>
  </conditionalFormatting>
  <conditionalFormatting sqref="G10:M11">
    <cfRule type="expression" dxfId="7" priority="20" stopIfTrue="1">
      <formula>NOT(ISERROR(SEARCH("Positive",G10)))</formula>
    </cfRule>
  </conditionalFormatting>
  <dataValidations>
    <dataValidation type="list" allowBlank="1" sqref="L12:L19">
      <formula1>"PASS,FAIL,In Progress,Blocked,Not Start,N/A,Deferred"</formula1>
    </dataValidation>
    <dataValidation type="list" allowBlank="1" showErrorMessage="1" sqref="F12:F19">
      <formula1>"Positive,Negative"</formula1>
    </dataValidation>
    <dataValidation type="list" allowBlank="1" showErrorMessage="1" sqref="G12:G19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16.0"/>
    <col customWidth="1" min="2" max="2" width="18.0"/>
    <col customWidth="1" min="3" max="3" width="39.0"/>
    <col customWidth="1" min="4" max="4" width="29.25"/>
    <col customWidth="1" min="5" max="5" width="30.88"/>
    <col customWidth="1" min="6" max="6" width="24.63"/>
    <col customWidth="1" min="7" max="7" width="32.0"/>
    <col customWidth="1" min="8" max="8" width="21.25"/>
    <col customWidth="1" min="9" max="10" width="20.0"/>
    <col customWidth="1" min="11" max="11" width="11.38"/>
    <col customWidth="1" min="12" max="26" width="9.13"/>
  </cols>
  <sheetData>
    <row r="1" ht="30.75" customHeight="1">
      <c r="A1" s="190" t="s">
        <v>1257</v>
      </c>
      <c r="B1" s="190" t="s">
        <v>1258</v>
      </c>
      <c r="C1" s="191" t="s">
        <v>1259</v>
      </c>
      <c r="D1" s="190" t="s">
        <v>1260</v>
      </c>
      <c r="E1" s="190" t="s">
        <v>1261</v>
      </c>
      <c r="F1" s="190" t="s">
        <v>1262</v>
      </c>
      <c r="G1" s="190" t="s">
        <v>1263</v>
      </c>
      <c r="H1" s="190" t="s">
        <v>1264</v>
      </c>
      <c r="I1" s="190" t="s">
        <v>1265</v>
      </c>
      <c r="J1" s="190" t="s">
        <v>1266</v>
      </c>
      <c r="K1" s="192"/>
      <c r="L1" s="192"/>
      <c r="M1" s="192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4"/>
    </row>
    <row r="2" ht="14.25" customHeight="1">
      <c r="A2" s="195"/>
      <c r="B2" s="196"/>
      <c r="C2" s="197"/>
      <c r="D2" s="198"/>
      <c r="E2" s="195"/>
      <c r="F2" s="195"/>
      <c r="G2" s="199"/>
      <c r="H2" s="195"/>
      <c r="I2" s="195"/>
      <c r="J2" s="195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ht="14.25" customHeight="1">
      <c r="A3" s="195"/>
      <c r="B3" s="196"/>
      <c r="C3" s="197"/>
      <c r="D3" s="198"/>
      <c r="E3" s="195"/>
      <c r="F3" s="195"/>
      <c r="G3" s="199"/>
      <c r="H3" s="195"/>
      <c r="I3" s="195"/>
      <c r="J3" s="195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ht="14.2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ht="14.25" customHeight="1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4.25" customHeight="1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4.25" customHeight="1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4.25" customHeight="1">
      <c r="A8" s="203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4.25" customHeight="1">
      <c r="A9" s="203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4.25" customHeight="1">
      <c r="A10" s="203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4.25" customHeight="1">
      <c r="A11" s="203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4.25" customHeight="1">
      <c r="A12" s="203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4.25" customHeight="1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4.25" customHeight="1">
      <c r="A14" s="203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4.25" customHeight="1">
      <c r="A15" s="203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4.25" customHeight="1">
      <c r="A16" s="203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4.25" customHeight="1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4.25" customHeight="1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4.25" customHeight="1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4.25" customHeight="1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4.25" customHeight="1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4.25" customHeight="1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4.25" customHeight="1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4.25" customHeight="1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4.25" customHeight="1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4.25" customHeight="1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4.25" customHeight="1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4.25" customHeight="1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4.25" customHeight="1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4.25" customHeight="1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4.25" customHeight="1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4.25" customHeight="1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4.25" customHeight="1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4.25" customHeight="1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4.25" customHeight="1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4.25" customHeight="1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4.25" customHeight="1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4.25" customHeight="1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4.25" customHeight="1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4.25" customHeight="1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4.25" customHeight="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4.25" customHeight="1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4.25" customHeight="1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4.25" customHeight="1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4.25" customHeight="1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4.25" customHeight="1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4.25" customHeight="1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4.25" customHeight="1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4.25" customHeight="1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4.25" customHeight="1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4.25" customHeight="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4.25" customHeight="1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4.25" customHeight="1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4.25" customHeight="1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4.25" customHeight="1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4.25" customHeight="1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4.25" customHeight="1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4.25" customHeight="1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4.25" customHeight="1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4.25" customHeight="1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4.25" customHeight="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4.25" customHeight="1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4.25" customHeight="1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4.25" customHeight="1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4.25" customHeight="1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4.25" customHeight="1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4.25" customHeight="1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4.2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4.2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4.25" customHeigh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4.25" customHeight="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4.25" customHeight="1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4.25" customHeight="1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4.25" customHeight="1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4.25" customHeight="1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4.25" customHeight="1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4.25" customHeight="1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4.25" customHeight="1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4.25" customHeight="1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4.25" customHeight="1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4.25" customHeight="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4.25" customHeight="1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4.25" customHeight="1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4.25" customHeight="1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4.25" customHeight="1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4.25" customHeight="1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4.25" customHeight="1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4.25" customHeight="1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4.25" customHeight="1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4.25" customHeight="1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4.25" customHeight="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4.25" customHeight="1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4.25" customHeight="1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4.25" customHeight="1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4.25" customHeight="1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4.25" customHeight="1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4.25" customHeight="1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4.25" customHeight="1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4.25" customHeight="1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4.25" customHeight="1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4.25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4.25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4.25" customHeight="1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4.25" customHeight="1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4.25" customHeight="1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4.25" customHeight="1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4.25" customHeight="1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4.25" customHeight="1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4.25" customHeight="1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4.25" customHeight="1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4.25" customHeight="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4.25" customHeight="1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4.25" customHeight="1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4.25" customHeight="1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4.25" customHeight="1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4.25" customHeight="1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4.25" customHeight="1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4.25" customHeight="1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4.25" customHeight="1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4.25" customHeight="1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4.25" customHeight="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4.25" customHeight="1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4.25" customHeight="1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4.25" customHeight="1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4.25" customHeight="1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4.25" customHeight="1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4.25" customHeight="1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4.25" customHeight="1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4.25" customHeight="1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4.25" customHeight="1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4.25" customHeight="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4.25" customHeight="1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4.25" customHeight="1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4.25" customHeight="1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4.25" customHeight="1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4.25" customHeight="1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4.25" customHeight="1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4.25" customHeight="1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4.25" customHeight="1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4.25" customHeight="1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4.25" customHeight="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4.25" customHeight="1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4.25" customHeight="1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4.25" customHeight="1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4.25" customHeight="1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4.25" customHeight="1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4.25" customHeight="1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4.25" customHeight="1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4.25" customHeight="1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4.25" customHeight="1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4.25" customHeight="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4.25" customHeight="1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4.25" customHeight="1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4.25" customHeight="1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4.25" customHeight="1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4.25" customHeight="1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4.25" customHeight="1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4.25" customHeight="1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4.25" customHeight="1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4.25" customHeight="1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4.25" customHeight="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4.25" customHeight="1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4.25" customHeight="1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4.25" customHeight="1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4.25" customHeight="1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4.25" customHeight="1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4.25" customHeight="1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4.25" customHeight="1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4.25" customHeight="1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4.25" customHeight="1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4.25" customHeight="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4.25" customHeight="1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4.25" customHeight="1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4.25" customHeight="1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4.25" customHeight="1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4.25" customHeight="1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4.25" customHeight="1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4.25" customHeight="1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4.25" customHeight="1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4.25" customHeight="1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4.25" customHeight="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4.25" customHeight="1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4.25" customHeight="1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4.25" customHeight="1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4.25" customHeight="1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4.25" customHeight="1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4.25" customHeight="1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4.25" customHeight="1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4.25" customHeight="1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4.25" customHeight="1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4.25" customHeight="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4.25" customHeight="1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4.25" customHeight="1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4.25" customHeight="1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4.25" customHeight="1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4.25" customHeight="1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4.25" customHeight="1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4.25" customHeight="1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4.25" customHeight="1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4.25" customHeight="1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4.25" customHeight="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4.25" customHeight="1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4.25" customHeight="1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4.25" customHeight="1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4.2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4.25" customHeight="1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4.25" customHeight="1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4.25" customHeight="1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4.25" customHeight="1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4.25" customHeight="1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4.25" customHeight="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4.25" customHeight="1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4.25" customHeight="1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4.25" customHeight="1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4.25" customHeight="1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4.25" customHeight="1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4.25" customHeight="1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4.25" customHeight="1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4.25" customHeight="1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4.25" customHeight="1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4.25" customHeight="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4.25" customHeight="1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4.25" customHeight="1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4.25" customHeight="1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4.25" customHeight="1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4.25" customHeight="1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4.25" customHeight="1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4.25" customHeight="1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4.25" customHeight="1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4.25" customHeight="1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4.25" customHeight="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4.25" customHeight="1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4.25" customHeight="1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4.25" customHeight="1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4.25" customHeight="1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4.25" customHeight="1">
      <c r="A236" s="203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4.25" customHeight="1">
      <c r="A237" s="203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4.25" customHeight="1">
      <c r="A238" s="203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4.25" customHeight="1">
      <c r="A239" s="203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4.25" customHeight="1">
      <c r="A240" s="203"/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4.25" customHeight="1">
      <c r="A241" s="203"/>
      <c r="B241" s="203"/>
      <c r="C241" s="203"/>
      <c r="D241" s="203"/>
      <c r="E241" s="203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4.25" customHeight="1">
      <c r="A242" s="203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4.25" customHeight="1">
      <c r="A243" s="203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4.25" customHeight="1">
      <c r="A244" s="203"/>
      <c r="B244" s="203"/>
      <c r="C244" s="203"/>
      <c r="D244" s="203"/>
      <c r="E244" s="203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4.25" customHeight="1">
      <c r="A245" s="203"/>
      <c r="B245" s="203"/>
      <c r="C245" s="203"/>
      <c r="D245" s="203"/>
      <c r="E245" s="203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4.25" customHeight="1">
      <c r="A246" s="203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4.25" customHeight="1">
      <c r="A247" s="203"/>
      <c r="B247" s="203"/>
      <c r="C247" s="203"/>
      <c r="D247" s="203"/>
      <c r="E247" s="203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4.25" customHeight="1">
      <c r="A248" s="203"/>
      <c r="B248" s="203"/>
      <c r="C248" s="203"/>
      <c r="D248" s="203"/>
      <c r="E248" s="203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4.25" customHeight="1">
      <c r="A249" s="203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4.25" customHeight="1">
      <c r="A250" s="203"/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4.25" customHeight="1">
      <c r="A251" s="203"/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4.25" customHeight="1">
      <c r="A252" s="203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4.25" customHeight="1">
      <c r="A253" s="203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4.25" customHeight="1">
      <c r="A254" s="203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4.25" customHeight="1">
      <c r="A255" s="203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4.25" customHeight="1">
      <c r="A256" s="203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4.25" customHeight="1">
      <c r="A257" s="203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4.25" customHeight="1">
      <c r="A258" s="203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4.25" customHeight="1">
      <c r="A259" s="203"/>
      <c r="B259" s="203"/>
      <c r="C259" s="203"/>
      <c r="D259" s="203"/>
      <c r="E259" s="203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4.25" customHeight="1">
      <c r="A260" s="203"/>
      <c r="B260" s="203"/>
      <c r="C260" s="203"/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4.25" customHeight="1">
      <c r="A261" s="203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4.25" customHeight="1">
      <c r="A262" s="203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4.25" customHeight="1">
      <c r="A263" s="203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4.25" customHeight="1">
      <c r="A264" s="203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4.25" customHeight="1">
      <c r="A265" s="203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4.25" customHeight="1">
      <c r="A266" s="203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4.25" customHeight="1">
      <c r="A267" s="203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4.25" customHeight="1">
      <c r="A268" s="203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4.25" customHeight="1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4.25" customHeight="1">
      <c r="A270" s="203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4.25" customHeight="1">
      <c r="A271" s="203"/>
      <c r="B271" s="203"/>
      <c r="C271" s="203"/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4.25" customHeight="1">
      <c r="A272" s="203"/>
      <c r="B272" s="203"/>
      <c r="C272" s="203"/>
      <c r="D272" s="203"/>
      <c r="E272" s="203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4.25" customHeight="1">
      <c r="A273" s="203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4.25" customHeight="1">
      <c r="A274" s="203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4.25" customHeight="1">
      <c r="A275" s="203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4.25" customHeight="1">
      <c r="A276" s="203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4.25" customHeight="1">
      <c r="A277" s="203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4.25" customHeight="1">
      <c r="A278" s="203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4.25" customHeight="1">
      <c r="A279" s="203"/>
      <c r="B279" s="203"/>
      <c r="C279" s="203"/>
      <c r="D279" s="203"/>
      <c r="E279" s="203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4.25" customHeight="1">
      <c r="A280" s="203"/>
      <c r="B280" s="203"/>
      <c r="C280" s="203"/>
      <c r="D280" s="203"/>
      <c r="E280" s="203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4.25" customHeight="1">
      <c r="A281" s="203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4.25" customHeight="1">
      <c r="A282" s="203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4.25" customHeight="1">
      <c r="A283" s="203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4.25" customHeight="1">
      <c r="A284" s="203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4.25" customHeight="1">
      <c r="A285" s="203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4.25" customHeight="1">
      <c r="A286" s="203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4.25" customHeight="1">
      <c r="A287" s="203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4.25" customHeight="1">
      <c r="A288" s="203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4.25" customHeight="1">
      <c r="A289" s="203"/>
      <c r="B289" s="203"/>
      <c r="C289" s="203"/>
      <c r="D289" s="203"/>
      <c r="E289" s="203"/>
      <c r="F289" s="203"/>
      <c r="G289" s="203"/>
      <c r="H289" s="203"/>
      <c r="I289" s="203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4.25" customHeight="1">
      <c r="A290" s="203"/>
      <c r="B290" s="203"/>
      <c r="C290" s="203"/>
      <c r="D290" s="203"/>
      <c r="E290" s="203"/>
      <c r="F290" s="203"/>
      <c r="G290" s="203"/>
      <c r="H290" s="203"/>
      <c r="I290" s="203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4.25" customHeight="1">
      <c r="A291" s="203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4.25" customHeight="1">
      <c r="A292" s="203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4.25" customHeight="1">
      <c r="A293" s="203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4.25" customHeight="1">
      <c r="A294" s="203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4.25" customHeight="1">
      <c r="A295" s="203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4.25" customHeight="1">
      <c r="A296" s="203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4.25" customHeight="1">
      <c r="A297" s="203"/>
      <c r="B297" s="203"/>
      <c r="C297" s="203"/>
      <c r="D297" s="203"/>
      <c r="E297" s="203"/>
      <c r="F297" s="203"/>
      <c r="G297" s="203"/>
      <c r="H297" s="203"/>
      <c r="I297" s="203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4.25" customHeight="1">
      <c r="A298" s="203"/>
      <c r="B298" s="203"/>
      <c r="C298" s="203"/>
      <c r="D298" s="203"/>
      <c r="E298" s="203"/>
      <c r="F298" s="203"/>
      <c r="G298" s="203"/>
      <c r="H298" s="203"/>
      <c r="I298" s="203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4.25" customHeight="1">
      <c r="A299" s="203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4.25" customHeight="1">
      <c r="A300" s="203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4.25" customHeight="1">
      <c r="A301" s="203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4.25" customHeight="1">
      <c r="A302" s="203"/>
      <c r="B302" s="203"/>
      <c r="C302" s="203"/>
      <c r="D302" s="203"/>
      <c r="E302" s="203"/>
      <c r="F302" s="203"/>
      <c r="G302" s="203"/>
      <c r="H302" s="203"/>
      <c r="I302" s="203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4.25" customHeight="1">
      <c r="A303" s="203"/>
      <c r="B303" s="203"/>
      <c r="C303" s="203"/>
      <c r="D303" s="203"/>
      <c r="E303" s="203"/>
      <c r="F303" s="203"/>
      <c r="G303" s="203"/>
      <c r="H303" s="203"/>
      <c r="I303" s="203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4.25" customHeight="1">
      <c r="A304" s="203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4.25" customHeight="1">
      <c r="A305" s="203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4.25" customHeight="1">
      <c r="A306" s="203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4.25" customHeight="1">
      <c r="A307" s="203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4.25" customHeight="1">
      <c r="A308" s="203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4.25" customHeight="1">
      <c r="A309" s="203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4.25" customHeight="1">
      <c r="A310" s="203"/>
      <c r="B310" s="203"/>
      <c r="C310" s="203"/>
      <c r="D310" s="203"/>
      <c r="E310" s="203"/>
      <c r="F310" s="203"/>
      <c r="G310" s="203"/>
      <c r="H310" s="203"/>
      <c r="I310" s="203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4.25" customHeight="1">
      <c r="A311" s="203"/>
      <c r="B311" s="203"/>
      <c r="C311" s="203"/>
      <c r="D311" s="203"/>
      <c r="E311" s="203"/>
      <c r="F311" s="203"/>
      <c r="G311" s="203"/>
      <c r="H311" s="203"/>
      <c r="I311" s="203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4.25" customHeight="1">
      <c r="A312" s="203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4.25" customHeight="1">
      <c r="A313" s="203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4.25" customHeight="1">
      <c r="A314" s="203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4.25" customHeight="1">
      <c r="A315" s="203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4.25" customHeight="1">
      <c r="A316" s="203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4.25" customHeight="1">
      <c r="A317" s="203"/>
      <c r="B317" s="203"/>
      <c r="C317" s="203"/>
      <c r="D317" s="203"/>
      <c r="E317" s="203"/>
      <c r="F317" s="203"/>
      <c r="G317" s="203"/>
      <c r="H317" s="203"/>
      <c r="I317" s="203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4.25" customHeight="1">
      <c r="A318" s="203"/>
      <c r="B318" s="203"/>
      <c r="C318" s="203"/>
      <c r="D318" s="203"/>
      <c r="E318" s="203"/>
      <c r="F318" s="203"/>
      <c r="G318" s="203"/>
      <c r="H318" s="203"/>
      <c r="I318" s="203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4.25" customHeight="1">
      <c r="A319" s="203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4.25" customHeight="1">
      <c r="A320" s="203"/>
      <c r="B320" s="203"/>
      <c r="C320" s="203"/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4.25" customHeight="1">
      <c r="A321" s="203"/>
      <c r="B321" s="203"/>
      <c r="C321" s="203"/>
      <c r="D321" s="203"/>
      <c r="E321" s="203"/>
      <c r="F321" s="203"/>
      <c r="G321" s="203"/>
      <c r="H321" s="203"/>
      <c r="I321" s="203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4.25" customHeight="1">
      <c r="A322" s="203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4.25" customHeight="1">
      <c r="A323" s="203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4.25" customHeight="1">
      <c r="A324" s="203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4.25" customHeight="1">
      <c r="A325" s="203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ht="14.25" customHeight="1">
      <c r="A326" s="203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ht="14.25" customHeight="1">
      <c r="A327" s="203"/>
      <c r="B327" s="203"/>
      <c r="C327" s="203"/>
      <c r="D327" s="203"/>
      <c r="E327" s="203"/>
      <c r="F327" s="203"/>
      <c r="G327" s="203"/>
      <c r="H327" s="203"/>
      <c r="I327" s="203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ht="14.25" customHeight="1">
      <c r="A328" s="203"/>
      <c r="B328" s="203"/>
      <c r="C328" s="203"/>
      <c r="D328" s="203"/>
      <c r="E328" s="203"/>
      <c r="F328" s="203"/>
      <c r="G328" s="203"/>
      <c r="H328" s="203"/>
      <c r="I328" s="203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ht="14.25" customHeight="1">
      <c r="A329" s="203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ht="14.25" customHeight="1">
      <c r="A330" s="203"/>
      <c r="B330" s="203"/>
      <c r="C330" s="203"/>
      <c r="D330" s="203"/>
      <c r="E330" s="203"/>
      <c r="F330" s="203"/>
      <c r="G330" s="203"/>
      <c r="H330" s="203"/>
      <c r="I330" s="203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ht="14.25" customHeight="1">
      <c r="A331" s="203"/>
      <c r="B331" s="203"/>
      <c r="C331" s="203"/>
      <c r="D331" s="203"/>
      <c r="E331" s="203"/>
      <c r="F331" s="203"/>
      <c r="G331" s="203"/>
      <c r="H331" s="203"/>
      <c r="I331" s="203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ht="14.25" customHeight="1">
      <c r="A332" s="203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ht="14.25" customHeight="1">
      <c r="A333" s="203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ht="14.25" customHeight="1">
      <c r="A334" s="203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ht="14.25" customHeight="1">
      <c r="A335" s="203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ht="14.25" customHeight="1">
      <c r="A336" s="203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ht="14.25" customHeight="1">
      <c r="A337" s="203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ht="14.25" customHeight="1">
      <c r="A338" s="203"/>
      <c r="B338" s="203"/>
      <c r="C338" s="203"/>
      <c r="D338" s="203"/>
      <c r="E338" s="203"/>
      <c r="F338" s="203"/>
      <c r="G338" s="203"/>
      <c r="H338" s="203"/>
      <c r="I338" s="203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ht="14.25" customHeight="1">
      <c r="A339" s="203"/>
      <c r="B339" s="203"/>
      <c r="C339" s="203"/>
      <c r="D339" s="203"/>
      <c r="E339" s="203"/>
      <c r="F339" s="203"/>
      <c r="G339" s="203"/>
      <c r="H339" s="203"/>
      <c r="I339" s="203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ht="14.25" customHeight="1">
      <c r="A340" s="203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ht="14.25" customHeight="1">
      <c r="A341" s="203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ht="14.25" customHeight="1">
      <c r="A342" s="203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ht="14.25" customHeight="1">
      <c r="A343" s="203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ht="14.25" customHeight="1">
      <c r="A344" s="203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ht="14.25" customHeight="1">
      <c r="A345" s="203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ht="14.25" customHeight="1">
      <c r="A346" s="203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ht="14.25" customHeight="1">
      <c r="A347" s="203"/>
      <c r="B347" s="203"/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 ht="14.25" customHeight="1">
      <c r="A348" s="203"/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 ht="14.25" customHeight="1">
      <c r="A349" s="203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 ht="14.25" customHeight="1">
      <c r="A350" s="203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 ht="14.25" customHeight="1">
      <c r="A351" s="203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 ht="14.25" customHeight="1">
      <c r="A352" s="203"/>
      <c r="B352" s="203"/>
      <c r="C352" s="203"/>
      <c r="D352" s="203"/>
      <c r="E352" s="203"/>
      <c r="F352" s="203"/>
      <c r="G352" s="203"/>
      <c r="H352" s="203"/>
      <c r="I352" s="203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 ht="14.25" customHeight="1">
      <c r="A353" s="203"/>
      <c r="B353" s="203"/>
      <c r="C353" s="203"/>
      <c r="D353" s="203"/>
      <c r="E353" s="203"/>
      <c r="F353" s="203"/>
      <c r="G353" s="203"/>
      <c r="H353" s="203"/>
      <c r="I353" s="203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 ht="14.25" customHeight="1">
      <c r="A354" s="203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 ht="14.25" customHeight="1">
      <c r="A355" s="203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 ht="14.25" customHeight="1">
      <c r="A356" s="203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 ht="14.25" customHeight="1">
      <c r="A357" s="203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 ht="14.25" customHeight="1">
      <c r="A358" s="203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 ht="14.25" customHeight="1">
      <c r="A359" s="203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 ht="14.25" customHeight="1">
      <c r="A360" s="203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</row>
    <row r="361" ht="14.25" customHeight="1">
      <c r="A361" s="203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</row>
    <row r="362" ht="14.25" customHeight="1">
      <c r="A362" s="203"/>
      <c r="B362" s="203"/>
      <c r="C362" s="203"/>
      <c r="D362" s="203"/>
      <c r="E362" s="203"/>
      <c r="F362" s="203"/>
      <c r="G362" s="203"/>
      <c r="H362" s="203"/>
      <c r="I362" s="203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</row>
    <row r="363" ht="14.25" customHeight="1">
      <c r="A363" s="203"/>
      <c r="B363" s="203"/>
      <c r="C363" s="203"/>
      <c r="D363" s="203"/>
      <c r="E363" s="203"/>
      <c r="F363" s="203"/>
      <c r="G363" s="203"/>
      <c r="H363" s="203"/>
      <c r="I363" s="203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</row>
    <row r="364" ht="14.25" customHeight="1">
      <c r="A364" s="203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</row>
    <row r="365" ht="14.25" customHeight="1">
      <c r="A365" s="203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</row>
    <row r="366" ht="14.25" customHeight="1">
      <c r="A366" s="203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</row>
    <row r="367" ht="14.25" customHeight="1">
      <c r="A367" s="203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</row>
    <row r="368" ht="14.25" customHeight="1">
      <c r="A368" s="203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</row>
    <row r="369" ht="14.25" customHeight="1">
      <c r="A369" s="203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</row>
    <row r="370" ht="14.25" customHeight="1">
      <c r="A370" s="203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</row>
    <row r="371" ht="14.25" customHeight="1">
      <c r="A371" s="203"/>
      <c r="B371" s="203"/>
      <c r="C371" s="203"/>
      <c r="D371" s="203"/>
      <c r="E371" s="203"/>
      <c r="F371" s="203"/>
      <c r="G371" s="203"/>
      <c r="H371" s="203"/>
      <c r="I371" s="203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</row>
    <row r="372" ht="14.25" customHeight="1">
      <c r="A372" s="203"/>
      <c r="B372" s="203"/>
      <c r="C372" s="203"/>
      <c r="D372" s="203"/>
      <c r="E372" s="203"/>
      <c r="F372" s="203"/>
      <c r="G372" s="203"/>
      <c r="H372" s="203"/>
      <c r="I372" s="203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</row>
    <row r="373" ht="14.25" customHeight="1">
      <c r="A373" s="203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</row>
    <row r="374" ht="14.25" customHeight="1">
      <c r="A374" s="203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</row>
    <row r="375" ht="14.25" customHeight="1">
      <c r="A375" s="203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</row>
    <row r="376" ht="14.25" customHeight="1">
      <c r="A376" s="203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</row>
    <row r="377" ht="14.25" customHeight="1">
      <c r="A377" s="203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</row>
    <row r="378" ht="14.25" customHeight="1">
      <c r="A378" s="203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</row>
    <row r="379" ht="14.25" customHeight="1">
      <c r="A379" s="203"/>
      <c r="B379" s="203"/>
      <c r="C379" s="203"/>
      <c r="D379" s="203"/>
      <c r="E379" s="203"/>
      <c r="F379" s="203"/>
      <c r="G379" s="203"/>
      <c r="H379" s="203"/>
      <c r="I379" s="203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</row>
    <row r="380" ht="14.25" customHeight="1">
      <c r="A380" s="203"/>
      <c r="B380" s="203"/>
      <c r="C380" s="203"/>
      <c r="D380" s="203"/>
      <c r="E380" s="203"/>
      <c r="F380" s="203"/>
      <c r="G380" s="203"/>
      <c r="H380" s="203"/>
      <c r="I380" s="203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</row>
    <row r="381" ht="14.25" customHeight="1">
      <c r="A381" s="203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</row>
    <row r="382" ht="14.25" customHeight="1">
      <c r="A382" s="203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</row>
    <row r="383" ht="14.25" customHeight="1">
      <c r="A383" s="203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</row>
    <row r="384" ht="14.25" customHeight="1">
      <c r="A384" s="203"/>
      <c r="B384" s="203"/>
      <c r="C384" s="203"/>
      <c r="D384" s="203"/>
      <c r="E384" s="203"/>
      <c r="F384" s="203"/>
      <c r="G384" s="203"/>
      <c r="H384" s="203"/>
      <c r="I384" s="203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</row>
    <row r="385" ht="14.25" customHeight="1">
      <c r="A385" s="203"/>
      <c r="B385" s="203"/>
      <c r="C385" s="203"/>
      <c r="D385" s="203"/>
      <c r="E385" s="203"/>
      <c r="F385" s="203"/>
      <c r="G385" s="203"/>
      <c r="H385" s="203"/>
      <c r="I385" s="203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</row>
    <row r="386" ht="14.25" customHeight="1">
      <c r="A386" s="203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</row>
    <row r="387" ht="14.25" customHeight="1">
      <c r="A387" s="203"/>
      <c r="B387" s="203"/>
      <c r="C387" s="203"/>
      <c r="D387" s="203"/>
      <c r="E387" s="203"/>
      <c r="F387" s="203"/>
      <c r="G387" s="203"/>
      <c r="H387" s="203"/>
      <c r="I387" s="203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</row>
    <row r="388" ht="14.25" customHeight="1">
      <c r="A388" s="203"/>
      <c r="B388" s="203"/>
      <c r="C388" s="203"/>
      <c r="D388" s="203"/>
      <c r="E388" s="203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</row>
    <row r="389" ht="14.25" customHeight="1">
      <c r="A389" s="203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</row>
    <row r="390" ht="14.25" customHeight="1">
      <c r="A390" s="203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</row>
    <row r="391" ht="14.25" customHeight="1">
      <c r="A391" s="203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</row>
    <row r="392" ht="14.25" customHeight="1">
      <c r="A392" s="203"/>
      <c r="B392" s="203"/>
      <c r="C392" s="203"/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</row>
    <row r="393" ht="14.25" customHeight="1">
      <c r="A393" s="203"/>
      <c r="B393" s="203"/>
      <c r="C393" s="203"/>
      <c r="D393" s="203"/>
      <c r="E393" s="203"/>
      <c r="F393" s="203"/>
      <c r="G393" s="203"/>
      <c r="H393" s="203"/>
      <c r="I393" s="203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</row>
    <row r="394" ht="14.25" customHeight="1">
      <c r="A394" s="203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</row>
    <row r="395" ht="14.25" customHeight="1">
      <c r="A395" s="203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</row>
    <row r="396" ht="14.25" customHeight="1">
      <c r="A396" s="203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</row>
    <row r="397" ht="14.25" customHeight="1">
      <c r="A397" s="203"/>
      <c r="B397" s="203"/>
      <c r="C397" s="203"/>
      <c r="D397" s="203"/>
      <c r="E397" s="203"/>
      <c r="F397" s="203"/>
      <c r="G397" s="203"/>
      <c r="H397" s="203"/>
      <c r="I397" s="203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</row>
    <row r="398" ht="14.25" customHeight="1">
      <c r="A398" s="203"/>
      <c r="B398" s="203"/>
      <c r="C398" s="203"/>
      <c r="D398" s="203"/>
      <c r="E398" s="203"/>
      <c r="F398" s="203"/>
      <c r="G398" s="203"/>
      <c r="H398" s="203"/>
      <c r="I398" s="203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</row>
    <row r="399" ht="14.25" customHeight="1">
      <c r="A399" s="203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</row>
    <row r="400" ht="14.25" customHeight="1">
      <c r="A400" s="203"/>
      <c r="B400" s="203"/>
      <c r="C400" s="203"/>
      <c r="D400" s="203"/>
      <c r="E400" s="203"/>
      <c r="F400" s="203"/>
      <c r="G400" s="203"/>
      <c r="H400" s="203"/>
      <c r="I400" s="203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</row>
    <row r="401" ht="14.25" customHeight="1">
      <c r="A401" s="203"/>
      <c r="B401" s="203"/>
      <c r="C401" s="203"/>
      <c r="D401" s="203"/>
      <c r="E401" s="203"/>
      <c r="F401" s="203"/>
      <c r="G401" s="203"/>
      <c r="H401" s="203"/>
      <c r="I401" s="203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</row>
    <row r="402" ht="14.25" customHeight="1">
      <c r="A402" s="203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</row>
    <row r="403" ht="14.25" customHeight="1">
      <c r="A403" s="203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</row>
    <row r="404" ht="14.25" customHeight="1">
      <c r="A404" s="203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</row>
    <row r="405" ht="14.25" customHeight="1">
      <c r="A405" s="203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</row>
    <row r="406" ht="14.25" customHeight="1">
      <c r="A406" s="203"/>
      <c r="B406" s="203"/>
      <c r="C406" s="203"/>
      <c r="D406" s="203"/>
      <c r="E406" s="203"/>
      <c r="F406" s="203"/>
      <c r="G406" s="203"/>
      <c r="H406" s="203"/>
      <c r="I406" s="203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</row>
    <row r="407" ht="14.25" customHeight="1">
      <c r="A407" s="203"/>
      <c r="B407" s="203"/>
      <c r="C407" s="203"/>
      <c r="D407" s="203"/>
      <c r="E407" s="203"/>
      <c r="F407" s="203"/>
      <c r="G407" s="203"/>
      <c r="H407" s="203"/>
      <c r="I407" s="203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</row>
    <row r="408" ht="14.25" customHeight="1">
      <c r="A408" s="203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</row>
    <row r="409" ht="14.25" customHeight="1">
      <c r="A409" s="203"/>
      <c r="B409" s="203"/>
      <c r="C409" s="203"/>
      <c r="D409" s="203"/>
      <c r="E409" s="203"/>
      <c r="F409" s="203"/>
      <c r="G409" s="203"/>
      <c r="H409" s="203"/>
      <c r="I409" s="203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</row>
    <row r="410" ht="14.25" customHeight="1">
      <c r="A410" s="203"/>
      <c r="B410" s="203"/>
      <c r="C410" s="203"/>
      <c r="D410" s="203"/>
      <c r="E410" s="203"/>
      <c r="F410" s="203"/>
      <c r="G410" s="203"/>
      <c r="H410" s="203"/>
      <c r="I410" s="203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</row>
    <row r="411" ht="14.25" customHeight="1">
      <c r="A411" s="203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</row>
    <row r="412" ht="14.25" customHeight="1">
      <c r="A412" s="203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</row>
    <row r="413" ht="14.25" customHeight="1">
      <c r="A413" s="203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</row>
    <row r="414" ht="14.25" customHeight="1">
      <c r="A414" s="203"/>
      <c r="B414" s="203"/>
      <c r="C414" s="203"/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</row>
    <row r="415" ht="14.25" customHeight="1">
      <c r="A415" s="203"/>
      <c r="B415" s="203"/>
      <c r="C415" s="203"/>
      <c r="D415" s="203"/>
      <c r="E415" s="203"/>
      <c r="F415" s="203"/>
      <c r="G415" s="203"/>
      <c r="H415" s="203"/>
      <c r="I415" s="203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</row>
    <row r="416" ht="14.25" customHeight="1">
      <c r="A416" s="203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3"/>
      <c r="W416" s="203"/>
      <c r="X416" s="203"/>
      <c r="Y416" s="203"/>
      <c r="Z416" s="203"/>
    </row>
    <row r="417" ht="14.25" customHeight="1">
      <c r="A417" s="203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3"/>
      <c r="W417" s="203"/>
      <c r="X417" s="203"/>
      <c r="Y417" s="203"/>
      <c r="Z417" s="203"/>
    </row>
    <row r="418" ht="14.25" customHeight="1">
      <c r="A418" s="203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3"/>
      <c r="W418" s="203"/>
      <c r="X418" s="203"/>
      <c r="Y418" s="203"/>
      <c r="Z418" s="203"/>
    </row>
    <row r="419" ht="14.25" customHeight="1">
      <c r="A419" s="203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</row>
    <row r="420" ht="14.25" customHeight="1">
      <c r="A420" s="203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3"/>
      <c r="W420" s="203"/>
      <c r="X420" s="203"/>
      <c r="Y420" s="203"/>
      <c r="Z420" s="203"/>
    </row>
    <row r="421" ht="14.25" customHeight="1">
      <c r="A421" s="203"/>
      <c r="B421" s="203"/>
      <c r="C421" s="203"/>
      <c r="D421" s="203"/>
      <c r="E421" s="203"/>
      <c r="F421" s="203"/>
      <c r="G421" s="203"/>
      <c r="H421" s="203"/>
      <c r="I421" s="203"/>
      <c r="J421" s="203"/>
      <c r="K421" s="203"/>
      <c r="L421" s="203"/>
      <c r="M421" s="203"/>
      <c r="N421" s="203"/>
      <c r="O421" s="203"/>
      <c r="P421" s="203"/>
      <c r="Q421" s="203"/>
      <c r="R421" s="203"/>
      <c r="S421" s="203"/>
      <c r="T421" s="203"/>
      <c r="U421" s="203"/>
      <c r="V421" s="203"/>
      <c r="W421" s="203"/>
      <c r="X421" s="203"/>
      <c r="Y421" s="203"/>
      <c r="Z421" s="203"/>
    </row>
    <row r="422" ht="14.25" customHeight="1">
      <c r="A422" s="203"/>
      <c r="B422" s="203"/>
      <c r="C422" s="203"/>
      <c r="D422" s="203"/>
      <c r="E422" s="203"/>
      <c r="F422" s="203"/>
      <c r="G422" s="203"/>
      <c r="H422" s="203"/>
      <c r="I422" s="203"/>
      <c r="J422" s="203"/>
      <c r="K422" s="203"/>
      <c r="L422" s="203"/>
      <c r="M422" s="203"/>
      <c r="N422" s="203"/>
      <c r="O422" s="203"/>
      <c r="P422" s="203"/>
      <c r="Q422" s="203"/>
      <c r="R422" s="203"/>
      <c r="S422" s="203"/>
      <c r="T422" s="203"/>
      <c r="U422" s="203"/>
      <c r="V422" s="203"/>
      <c r="W422" s="203"/>
      <c r="X422" s="203"/>
      <c r="Y422" s="203"/>
      <c r="Z422" s="203"/>
    </row>
    <row r="423" ht="14.25" customHeight="1">
      <c r="A423" s="203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3"/>
      <c r="W423" s="203"/>
      <c r="X423" s="203"/>
      <c r="Y423" s="203"/>
      <c r="Z423" s="203"/>
    </row>
    <row r="424" ht="14.25" customHeight="1">
      <c r="A424" s="203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3"/>
      <c r="W424" s="203"/>
      <c r="X424" s="203"/>
      <c r="Y424" s="203"/>
      <c r="Z424" s="203"/>
    </row>
    <row r="425" ht="14.25" customHeight="1">
      <c r="A425" s="203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</row>
    <row r="426" ht="14.25" customHeight="1">
      <c r="A426" s="203"/>
      <c r="B426" s="203"/>
      <c r="C426" s="203"/>
      <c r="D426" s="203"/>
      <c r="E426" s="203"/>
      <c r="F426" s="203"/>
      <c r="G426" s="203"/>
      <c r="H426" s="203"/>
      <c r="I426" s="203"/>
      <c r="J426" s="203"/>
      <c r="K426" s="203"/>
      <c r="L426" s="203"/>
      <c r="M426" s="203"/>
      <c r="N426" s="203"/>
      <c r="O426" s="203"/>
      <c r="P426" s="203"/>
      <c r="Q426" s="203"/>
      <c r="R426" s="203"/>
      <c r="S426" s="203"/>
      <c r="T426" s="203"/>
      <c r="U426" s="203"/>
      <c r="V426" s="203"/>
      <c r="W426" s="203"/>
      <c r="X426" s="203"/>
      <c r="Y426" s="203"/>
      <c r="Z426" s="203"/>
    </row>
    <row r="427" ht="14.25" customHeight="1">
      <c r="A427" s="203"/>
      <c r="B427" s="203"/>
      <c r="C427" s="203"/>
      <c r="D427" s="203"/>
      <c r="E427" s="203"/>
      <c r="F427" s="203"/>
      <c r="G427" s="203"/>
      <c r="H427" s="203"/>
      <c r="I427" s="203"/>
      <c r="J427" s="203"/>
      <c r="K427" s="203"/>
      <c r="L427" s="203"/>
      <c r="M427" s="203"/>
      <c r="N427" s="203"/>
      <c r="O427" s="203"/>
      <c r="P427" s="203"/>
      <c r="Q427" s="203"/>
      <c r="R427" s="203"/>
      <c r="S427" s="203"/>
      <c r="T427" s="203"/>
      <c r="U427" s="203"/>
      <c r="V427" s="203"/>
      <c r="W427" s="203"/>
      <c r="X427" s="203"/>
      <c r="Y427" s="203"/>
      <c r="Z427" s="203"/>
    </row>
    <row r="428" ht="14.25" customHeight="1">
      <c r="A428" s="203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3"/>
      <c r="W428" s="203"/>
      <c r="X428" s="203"/>
      <c r="Y428" s="203"/>
      <c r="Z428" s="203"/>
    </row>
    <row r="429" ht="14.25" customHeight="1">
      <c r="A429" s="203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3"/>
      <c r="W429" s="203"/>
      <c r="X429" s="203"/>
      <c r="Y429" s="203"/>
      <c r="Z429" s="203"/>
    </row>
    <row r="430" ht="14.25" customHeight="1">
      <c r="A430" s="203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3"/>
      <c r="W430" s="203"/>
      <c r="X430" s="203"/>
      <c r="Y430" s="203"/>
      <c r="Z430" s="203"/>
    </row>
    <row r="431" ht="14.25" customHeight="1">
      <c r="A431" s="203"/>
      <c r="B431" s="203"/>
      <c r="C431" s="203"/>
      <c r="D431" s="203"/>
      <c r="E431" s="203"/>
      <c r="F431" s="203"/>
      <c r="G431" s="203"/>
      <c r="H431" s="203"/>
      <c r="I431" s="203"/>
      <c r="J431" s="203"/>
      <c r="K431" s="203"/>
      <c r="L431" s="203"/>
      <c r="M431" s="203"/>
      <c r="N431" s="203"/>
      <c r="O431" s="203"/>
      <c r="P431" s="203"/>
      <c r="Q431" s="203"/>
      <c r="R431" s="203"/>
      <c r="S431" s="203"/>
      <c r="T431" s="203"/>
      <c r="U431" s="203"/>
      <c r="V431" s="203"/>
      <c r="W431" s="203"/>
      <c r="X431" s="203"/>
      <c r="Y431" s="203"/>
      <c r="Z431" s="203"/>
    </row>
    <row r="432" ht="14.25" customHeight="1">
      <c r="A432" s="203"/>
      <c r="B432" s="203"/>
      <c r="C432" s="203"/>
      <c r="D432" s="203"/>
      <c r="E432" s="203"/>
      <c r="F432" s="203"/>
      <c r="G432" s="203"/>
      <c r="H432" s="203"/>
      <c r="I432" s="203"/>
      <c r="J432" s="203"/>
      <c r="K432" s="203"/>
      <c r="L432" s="203"/>
      <c r="M432" s="203"/>
      <c r="N432" s="203"/>
      <c r="O432" s="203"/>
      <c r="P432" s="203"/>
      <c r="Q432" s="203"/>
      <c r="R432" s="203"/>
      <c r="S432" s="203"/>
      <c r="T432" s="203"/>
      <c r="U432" s="203"/>
      <c r="V432" s="203"/>
      <c r="W432" s="203"/>
      <c r="X432" s="203"/>
      <c r="Y432" s="203"/>
      <c r="Z432" s="203"/>
    </row>
    <row r="433" ht="14.25" customHeight="1">
      <c r="A433" s="203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</row>
    <row r="434" ht="14.25" customHeight="1">
      <c r="A434" s="203"/>
      <c r="B434" s="203"/>
      <c r="C434" s="203"/>
      <c r="D434" s="203"/>
      <c r="E434" s="203"/>
      <c r="F434" s="203"/>
      <c r="G434" s="203"/>
      <c r="H434" s="203"/>
      <c r="I434" s="203"/>
      <c r="J434" s="203"/>
      <c r="K434" s="203"/>
      <c r="L434" s="203"/>
      <c r="M434" s="203"/>
      <c r="N434" s="203"/>
      <c r="O434" s="203"/>
      <c r="P434" s="203"/>
      <c r="Q434" s="203"/>
      <c r="R434" s="203"/>
      <c r="S434" s="203"/>
      <c r="T434" s="203"/>
      <c r="U434" s="203"/>
      <c r="V434" s="203"/>
      <c r="W434" s="203"/>
      <c r="X434" s="203"/>
      <c r="Y434" s="203"/>
      <c r="Z434" s="203"/>
    </row>
    <row r="435" ht="14.25" customHeight="1">
      <c r="A435" s="203"/>
      <c r="B435" s="203"/>
      <c r="C435" s="203"/>
      <c r="D435" s="203"/>
      <c r="E435" s="203"/>
      <c r="F435" s="203"/>
      <c r="G435" s="203"/>
      <c r="H435" s="203"/>
      <c r="I435" s="203"/>
      <c r="J435" s="203"/>
      <c r="K435" s="203"/>
      <c r="L435" s="203"/>
      <c r="M435" s="203"/>
      <c r="N435" s="203"/>
      <c r="O435" s="203"/>
      <c r="P435" s="203"/>
      <c r="Q435" s="203"/>
      <c r="R435" s="203"/>
      <c r="S435" s="203"/>
      <c r="T435" s="203"/>
      <c r="U435" s="203"/>
      <c r="V435" s="203"/>
      <c r="W435" s="203"/>
      <c r="X435" s="203"/>
      <c r="Y435" s="203"/>
      <c r="Z435" s="203"/>
    </row>
    <row r="436" ht="14.25" customHeight="1">
      <c r="A436" s="203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3"/>
      <c r="W436" s="203"/>
      <c r="X436" s="203"/>
      <c r="Y436" s="203"/>
      <c r="Z436" s="203"/>
    </row>
    <row r="437" ht="14.25" customHeight="1">
      <c r="A437" s="203"/>
      <c r="B437" s="203"/>
      <c r="C437" s="203"/>
      <c r="D437" s="203"/>
      <c r="E437" s="203"/>
      <c r="F437" s="203"/>
      <c r="G437" s="203"/>
      <c r="H437" s="203"/>
      <c r="I437" s="203"/>
      <c r="J437" s="203"/>
      <c r="K437" s="203"/>
      <c r="L437" s="203"/>
      <c r="M437" s="203"/>
      <c r="N437" s="203"/>
      <c r="O437" s="203"/>
      <c r="P437" s="203"/>
      <c r="Q437" s="203"/>
      <c r="R437" s="203"/>
      <c r="S437" s="203"/>
      <c r="T437" s="203"/>
      <c r="U437" s="203"/>
      <c r="V437" s="203"/>
      <c r="W437" s="203"/>
      <c r="X437" s="203"/>
      <c r="Y437" s="203"/>
      <c r="Z437" s="203"/>
    </row>
    <row r="438" ht="14.25" customHeight="1">
      <c r="A438" s="203"/>
      <c r="B438" s="203"/>
      <c r="C438" s="203"/>
      <c r="D438" s="203"/>
      <c r="E438" s="203"/>
      <c r="F438" s="203"/>
      <c r="G438" s="203"/>
      <c r="H438" s="203"/>
      <c r="I438" s="203"/>
      <c r="J438" s="203"/>
      <c r="K438" s="203"/>
      <c r="L438" s="203"/>
      <c r="M438" s="203"/>
      <c r="N438" s="203"/>
      <c r="O438" s="203"/>
      <c r="P438" s="203"/>
      <c r="Q438" s="203"/>
      <c r="R438" s="203"/>
      <c r="S438" s="203"/>
      <c r="T438" s="203"/>
      <c r="U438" s="203"/>
      <c r="V438" s="203"/>
      <c r="W438" s="203"/>
      <c r="X438" s="203"/>
      <c r="Y438" s="203"/>
      <c r="Z438" s="203"/>
    </row>
    <row r="439" ht="14.25" customHeight="1">
      <c r="A439" s="203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3"/>
      <c r="W439" s="203"/>
      <c r="X439" s="203"/>
      <c r="Y439" s="203"/>
      <c r="Z439" s="203"/>
    </row>
    <row r="440" ht="14.25" customHeight="1">
      <c r="A440" s="203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3"/>
      <c r="W440" s="203"/>
      <c r="X440" s="203"/>
      <c r="Y440" s="203"/>
      <c r="Z440" s="203"/>
    </row>
    <row r="441" ht="14.25" customHeight="1">
      <c r="A441" s="203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3"/>
      <c r="W441" s="203"/>
      <c r="X441" s="203"/>
      <c r="Y441" s="203"/>
      <c r="Z441" s="203"/>
    </row>
    <row r="442" ht="14.25" customHeight="1">
      <c r="A442" s="203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3"/>
      <c r="W442" s="203"/>
      <c r="X442" s="203"/>
      <c r="Y442" s="203"/>
      <c r="Z442" s="203"/>
    </row>
    <row r="443" ht="14.25" customHeight="1">
      <c r="A443" s="203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3"/>
      <c r="W443" s="203"/>
      <c r="X443" s="203"/>
      <c r="Y443" s="203"/>
      <c r="Z443" s="203"/>
    </row>
    <row r="444" ht="14.25" customHeight="1">
      <c r="A444" s="203"/>
      <c r="B444" s="203"/>
      <c r="C444" s="203"/>
      <c r="D444" s="203"/>
      <c r="E444" s="203"/>
      <c r="F444" s="203"/>
      <c r="G444" s="203"/>
      <c r="H444" s="203"/>
      <c r="I444" s="203"/>
      <c r="J444" s="203"/>
      <c r="K444" s="203"/>
      <c r="L444" s="203"/>
      <c r="M444" s="203"/>
      <c r="N444" s="203"/>
      <c r="O444" s="203"/>
      <c r="P444" s="203"/>
      <c r="Q444" s="203"/>
      <c r="R444" s="203"/>
      <c r="S444" s="203"/>
      <c r="T444" s="203"/>
      <c r="U444" s="203"/>
      <c r="V444" s="203"/>
      <c r="W444" s="203"/>
      <c r="X444" s="203"/>
      <c r="Y444" s="203"/>
      <c r="Z444" s="203"/>
    </row>
    <row r="445" ht="14.25" customHeight="1">
      <c r="A445" s="203"/>
      <c r="B445" s="203"/>
      <c r="C445" s="203"/>
      <c r="D445" s="203"/>
      <c r="E445" s="203"/>
      <c r="F445" s="203"/>
      <c r="G445" s="203"/>
      <c r="H445" s="203"/>
      <c r="I445" s="203"/>
      <c r="J445" s="203"/>
      <c r="K445" s="203"/>
      <c r="L445" s="203"/>
      <c r="M445" s="203"/>
      <c r="N445" s="203"/>
      <c r="O445" s="203"/>
      <c r="P445" s="203"/>
      <c r="Q445" s="203"/>
      <c r="R445" s="203"/>
      <c r="S445" s="203"/>
      <c r="T445" s="203"/>
      <c r="U445" s="203"/>
      <c r="V445" s="203"/>
      <c r="W445" s="203"/>
      <c r="X445" s="203"/>
      <c r="Y445" s="203"/>
      <c r="Z445" s="203"/>
    </row>
    <row r="446" ht="14.25" customHeight="1">
      <c r="A446" s="203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203"/>
      <c r="W446" s="203"/>
      <c r="X446" s="203"/>
      <c r="Y446" s="203"/>
      <c r="Z446" s="203"/>
    </row>
    <row r="447" ht="14.25" customHeight="1">
      <c r="A447" s="203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203"/>
      <c r="W447" s="203"/>
      <c r="X447" s="203"/>
      <c r="Y447" s="203"/>
      <c r="Z447" s="203"/>
    </row>
    <row r="448" ht="14.25" customHeight="1">
      <c r="A448" s="203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203"/>
      <c r="W448" s="203"/>
      <c r="X448" s="203"/>
      <c r="Y448" s="203"/>
      <c r="Z448" s="203"/>
    </row>
    <row r="449" ht="14.25" customHeight="1">
      <c r="A449" s="203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</row>
    <row r="450" ht="14.25" customHeight="1">
      <c r="A450" s="203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203"/>
      <c r="W450" s="203"/>
      <c r="X450" s="203"/>
      <c r="Y450" s="203"/>
      <c r="Z450" s="203"/>
    </row>
    <row r="451" ht="14.25" customHeight="1">
      <c r="A451" s="203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203"/>
      <c r="W451" s="203"/>
      <c r="X451" s="203"/>
      <c r="Y451" s="203"/>
      <c r="Z451" s="203"/>
    </row>
    <row r="452" ht="14.25" customHeight="1">
      <c r="A452" s="203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203"/>
      <c r="W452" s="203"/>
      <c r="X452" s="203"/>
      <c r="Y452" s="203"/>
      <c r="Z452" s="203"/>
    </row>
    <row r="453" ht="14.25" customHeight="1">
      <c r="A453" s="203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203"/>
      <c r="W453" s="203"/>
      <c r="X453" s="203"/>
      <c r="Y453" s="203"/>
      <c r="Z453" s="203"/>
    </row>
    <row r="454" ht="14.25" customHeight="1">
      <c r="A454" s="203"/>
      <c r="B454" s="203"/>
      <c r="C454" s="203"/>
      <c r="D454" s="203"/>
      <c r="E454" s="203"/>
      <c r="F454" s="203"/>
      <c r="G454" s="203"/>
      <c r="H454" s="203"/>
      <c r="I454" s="203"/>
      <c r="J454" s="203"/>
      <c r="K454" s="203"/>
      <c r="L454" s="203"/>
      <c r="M454" s="203"/>
      <c r="N454" s="203"/>
      <c r="O454" s="203"/>
      <c r="P454" s="203"/>
      <c r="Q454" s="203"/>
      <c r="R454" s="203"/>
      <c r="S454" s="203"/>
      <c r="T454" s="203"/>
      <c r="U454" s="203"/>
      <c r="V454" s="203"/>
      <c r="W454" s="203"/>
      <c r="X454" s="203"/>
      <c r="Y454" s="203"/>
      <c r="Z454" s="203"/>
    </row>
    <row r="455" ht="14.25" customHeight="1">
      <c r="A455" s="203"/>
      <c r="B455" s="203"/>
      <c r="C455" s="203"/>
      <c r="D455" s="203"/>
      <c r="E455" s="203"/>
      <c r="F455" s="203"/>
      <c r="G455" s="203"/>
      <c r="H455" s="203"/>
      <c r="I455" s="203"/>
      <c r="J455" s="203"/>
      <c r="K455" s="203"/>
      <c r="L455" s="203"/>
      <c r="M455" s="203"/>
      <c r="N455" s="203"/>
      <c r="O455" s="203"/>
      <c r="P455" s="203"/>
      <c r="Q455" s="203"/>
      <c r="R455" s="203"/>
      <c r="S455" s="203"/>
      <c r="T455" s="203"/>
      <c r="U455" s="203"/>
      <c r="V455" s="203"/>
      <c r="W455" s="203"/>
      <c r="X455" s="203"/>
      <c r="Y455" s="203"/>
      <c r="Z455" s="203"/>
    </row>
    <row r="456" ht="14.25" customHeight="1">
      <c r="A456" s="203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203"/>
      <c r="Y456" s="203"/>
      <c r="Z456" s="203"/>
    </row>
    <row r="457" ht="14.25" customHeight="1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203"/>
      <c r="Y457" s="203"/>
      <c r="Z457" s="203"/>
    </row>
    <row r="458" ht="14.25" customHeight="1">
      <c r="A458" s="203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203"/>
      <c r="Y458" s="203"/>
      <c r="Z458" s="203"/>
    </row>
    <row r="459" ht="14.25" customHeight="1">
      <c r="A459" s="203"/>
      <c r="B459" s="203"/>
      <c r="C459" s="203"/>
      <c r="D459" s="203"/>
      <c r="E459" s="203"/>
      <c r="F459" s="203"/>
      <c r="G459" s="203"/>
      <c r="H459" s="203"/>
      <c r="I459" s="203"/>
      <c r="J459" s="203"/>
      <c r="K459" s="203"/>
      <c r="L459" s="203"/>
      <c r="M459" s="203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203"/>
      <c r="Y459" s="203"/>
      <c r="Z459" s="203"/>
    </row>
    <row r="460" ht="14.25" customHeight="1">
      <c r="A460" s="203"/>
      <c r="B460" s="203"/>
      <c r="C460" s="203"/>
      <c r="D460" s="203"/>
      <c r="E460" s="203"/>
      <c r="F460" s="203"/>
      <c r="G460" s="203"/>
      <c r="H460" s="203"/>
      <c r="I460" s="203"/>
      <c r="J460" s="203"/>
      <c r="K460" s="203"/>
      <c r="L460" s="203"/>
      <c r="M460" s="203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203"/>
      <c r="Y460" s="203"/>
      <c r="Z460" s="203"/>
    </row>
    <row r="461" ht="14.25" customHeight="1">
      <c r="A461" s="203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203"/>
      <c r="Y461" s="203"/>
      <c r="Z461" s="203"/>
    </row>
    <row r="462" ht="14.25" customHeight="1">
      <c r="A462" s="203"/>
      <c r="B462" s="203"/>
      <c r="C462" s="203"/>
      <c r="D462" s="203"/>
      <c r="E462" s="203"/>
      <c r="F462" s="203"/>
      <c r="G462" s="203"/>
      <c r="H462" s="203"/>
      <c r="I462" s="203"/>
      <c r="J462" s="203"/>
      <c r="K462" s="203"/>
      <c r="L462" s="203"/>
      <c r="M462" s="203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203"/>
      <c r="Y462" s="203"/>
      <c r="Z462" s="203"/>
    </row>
    <row r="463" ht="14.25" customHeight="1">
      <c r="A463" s="203"/>
      <c r="B463" s="203"/>
      <c r="C463" s="203"/>
      <c r="D463" s="203"/>
      <c r="E463" s="203"/>
      <c r="F463" s="203"/>
      <c r="G463" s="203"/>
      <c r="H463" s="203"/>
      <c r="I463" s="203"/>
      <c r="J463" s="203"/>
      <c r="K463" s="203"/>
      <c r="L463" s="203"/>
      <c r="M463" s="203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203"/>
      <c r="Y463" s="203"/>
      <c r="Z463" s="203"/>
    </row>
    <row r="464" ht="14.25" customHeight="1">
      <c r="A464" s="203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203"/>
      <c r="Y464" s="203"/>
      <c r="Z464" s="203"/>
    </row>
    <row r="465" ht="14.25" customHeight="1">
      <c r="A465" s="203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203"/>
      <c r="Y465" s="203"/>
      <c r="Z465" s="203"/>
    </row>
    <row r="466" ht="14.25" customHeight="1">
      <c r="A466" s="203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203"/>
      <c r="Y466" s="203"/>
      <c r="Z466" s="203"/>
    </row>
    <row r="467" ht="14.25" customHeight="1">
      <c r="A467" s="203"/>
      <c r="B467" s="203"/>
      <c r="C467" s="203"/>
      <c r="D467" s="203"/>
      <c r="E467" s="203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</row>
    <row r="468" ht="14.25" customHeight="1">
      <c r="A468" s="203"/>
      <c r="B468" s="203"/>
      <c r="C468" s="203"/>
      <c r="D468" s="203"/>
      <c r="E468" s="203"/>
      <c r="F468" s="203"/>
      <c r="G468" s="203"/>
      <c r="H468" s="203"/>
      <c r="I468" s="203"/>
      <c r="J468" s="203"/>
      <c r="K468" s="203"/>
      <c r="L468" s="203"/>
      <c r="M468" s="203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203"/>
      <c r="Y468" s="203"/>
      <c r="Z468" s="203"/>
    </row>
    <row r="469" ht="14.25" customHeight="1">
      <c r="A469" s="203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203"/>
      <c r="Y469" s="203"/>
      <c r="Z469" s="203"/>
    </row>
    <row r="470" ht="14.25" customHeight="1">
      <c r="A470" s="203"/>
      <c r="B470" s="203"/>
      <c r="C470" s="203"/>
      <c r="D470" s="203"/>
      <c r="E470" s="203"/>
      <c r="F470" s="203"/>
      <c r="G470" s="203"/>
      <c r="H470" s="203"/>
      <c r="I470" s="203"/>
      <c r="J470" s="203"/>
      <c r="K470" s="203"/>
      <c r="L470" s="203"/>
      <c r="M470" s="203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203"/>
      <c r="Y470" s="203"/>
      <c r="Z470" s="203"/>
    </row>
    <row r="471" ht="14.25" customHeight="1">
      <c r="A471" s="203"/>
      <c r="B471" s="203"/>
      <c r="C471" s="203"/>
      <c r="D471" s="203"/>
      <c r="E471" s="203"/>
      <c r="F471" s="203"/>
      <c r="G471" s="203"/>
      <c r="H471" s="203"/>
      <c r="I471" s="203"/>
      <c r="J471" s="203"/>
      <c r="K471" s="203"/>
      <c r="L471" s="203"/>
      <c r="M471" s="203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203"/>
      <c r="Y471" s="203"/>
      <c r="Z471" s="203"/>
    </row>
    <row r="472" ht="14.25" customHeight="1">
      <c r="A472" s="203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203"/>
      <c r="Y472" s="203"/>
      <c r="Z472" s="203"/>
    </row>
    <row r="473" ht="14.25" customHeight="1">
      <c r="A473" s="203"/>
      <c r="B473" s="203"/>
      <c r="C473" s="203"/>
      <c r="D473" s="203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</row>
    <row r="474" ht="14.25" customHeight="1">
      <c r="A474" s="203"/>
      <c r="B474" s="203"/>
      <c r="C474" s="203"/>
      <c r="D474" s="203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</row>
    <row r="475" ht="14.25" customHeight="1">
      <c r="A475" s="203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</row>
    <row r="476" ht="14.25" customHeight="1">
      <c r="A476" s="203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</row>
    <row r="477" ht="14.25" customHeight="1">
      <c r="A477" s="203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</row>
    <row r="478" ht="14.25" customHeight="1">
      <c r="A478" s="203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</row>
    <row r="479" ht="14.25" customHeight="1">
      <c r="A479" s="203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</row>
    <row r="480" ht="14.25" customHeight="1">
      <c r="A480" s="203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</row>
    <row r="481" ht="14.25" customHeight="1">
      <c r="A481" s="203"/>
      <c r="B481" s="203"/>
      <c r="C481" s="203"/>
      <c r="D481" s="203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</row>
    <row r="482" ht="14.25" customHeight="1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</row>
    <row r="483" ht="14.25" customHeight="1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</row>
    <row r="484" ht="14.25" customHeight="1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</row>
    <row r="485" ht="14.25" customHeight="1">
      <c r="A485" s="203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</row>
    <row r="486" ht="14.25" customHeight="1">
      <c r="A486" s="203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</row>
    <row r="487" ht="14.25" customHeight="1">
      <c r="A487" s="203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</row>
    <row r="488" ht="14.25" customHeight="1">
      <c r="A488" s="203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</row>
    <row r="489" ht="14.25" customHeight="1">
      <c r="A489" s="203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</row>
    <row r="490" ht="14.25" customHeight="1">
      <c r="A490" s="203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</row>
    <row r="491" ht="14.25" customHeight="1">
      <c r="A491" s="203"/>
      <c r="B491" s="203"/>
      <c r="C491" s="203"/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</row>
    <row r="492" ht="14.25" customHeight="1">
      <c r="A492" s="203"/>
      <c r="B492" s="203"/>
      <c r="C492" s="203"/>
      <c r="D492" s="203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</row>
    <row r="493" ht="14.25" customHeight="1">
      <c r="A493" s="203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</row>
    <row r="494" ht="14.25" customHeight="1">
      <c r="A494" s="203"/>
      <c r="B494" s="203"/>
      <c r="C494" s="203"/>
      <c r="D494" s="203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/>
      <c r="Y494" s="203"/>
      <c r="Z494" s="203"/>
    </row>
    <row r="495" ht="14.25" customHeight="1">
      <c r="A495" s="203"/>
      <c r="B495" s="203"/>
      <c r="C495" s="203"/>
      <c r="D495" s="203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</row>
    <row r="496" ht="14.25" customHeight="1">
      <c r="A496" s="203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</row>
    <row r="497" ht="14.25" customHeight="1">
      <c r="A497" s="203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</row>
    <row r="498" ht="14.25" customHeight="1">
      <c r="A498" s="203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</row>
    <row r="499" ht="14.25" customHeight="1">
      <c r="A499" s="203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</row>
    <row r="500" ht="14.25" customHeight="1">
      <c r="A500" s="203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</row>
    <row r="501" ht="14.25" customHeight="1">
      <c r="A501" s="203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</row>
    <row r="502" ht="14.25" customHeight="1">
      <c r="A502" s="203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</row>
    <row r="503" ht="14.25" customHeight="1">
      <c r="A503" s="203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</row>
    <row r="504" ht="14.25" customHeight="1">
      <c r="A504" s="203"/>
      <c r="B504" s="203"/>
      <c r="C504" s="203"/>
      <c r="D504" s="203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</row>
    <row r="505" ht="14.25" customHeight="1">
      <c r="A505" s="203"/>
      <c r="B505" s="203"/>
      <c r="C505" s="203"/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</row>
    <row r="506" ht="14.25" customHeight="1">
      <c r="A506" s="203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</row>
    <row r="507" ht="14.25" customHeight="1">
      <c r="A507" s="203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</row>
    <row r="508" ht="14.25" customHeight="1">
      <c r="A508" s="203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</row>
    <row r="509" ht="14.25" customHeight="1">
      <c r="A509" s="203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</row>
    <row r="510" ht="14.25" customHeight="1">
      <c r="A510" s="203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</row>
    <row r="511" ht="14.25" customHeight="1">
      <c r="A511" s="203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</row>
    <row r="512" ht="14.25" customHeight="1">
      <c r="A512" s="203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</row>
    <row r="513" ht="14.25" customHeight="1">
      <c r="A513" s="203"/>
      <c r="B513" s="203"/>
      <c r="C513" s="203"/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</row>
    <row r="514" ht="14.25" customHeight="1">
      <c r="A514" s="203"/>
      <c r="B514" s="203"/>
      <c r="C514" s="203"/>
      <c r="D514" s="203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</row>
    <row r="515" ht="14.25" customHeight="1">
      <c r="A515" s="203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</row>
    <row r="516" ht="14.25" customHeight="1">
      <c r="A516" s="203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</row>
    <row r="517" ht="14.25" customHeight="1">
      <c r="A517" s="203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</row>
    <row r="518" ht="14.25" customHeight="1">
      <c r="A518" s="203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</row>
    <row r="519" ht="14.25" customHeight="1">
      <c r="A519" s="203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</row>
    <row r="520" ht="14.25" customHeight="1">
      <c r="A520" s="203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</row>
    <row r="521" ht="14.25" customHeight="1">
      <c r="A521" s="203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</row>
    <row r="522" ht="14.25" customHeight="1">
      <c r="A522" s="203"/>
      <c r="B522" s="203"/>
      <c r="C522" s="203"/>
      <c r="D522" s="203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</row>
    <row r="523" ht="14.25" customHeight="1">
      <c r="A523" s="203"/>
      <c r="B523" s="203"/>
      <c r="C523" s="203"/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</row>
    <row r="524" ht="14.25" customHeight="1">
      <c r="A524" s="203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</row>
    <row r="525" ht="14.25" customHeight="1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</row>
    <row r="526" ht="14.25" customHeight="1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</row>
    <row r="527" ht="14.25" customHeight="1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</row>
    <row r="528" ht="14.25" customHeight="1">
      <c r="A528" s="203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</row>
    <row r="529" ht="14.25" customHeight="1">
      <c r="A529" s="203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</row>
    <row r="530" ht="14.25" customHeight="1">
      <c r="A530" s="203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</row>
    <row r="531" ht="14.25" customHeight="1">
      <c r="A531" s="203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</row>
    <row r="532" ht="14.25" customHeight="1">
      <c r="A532" s="203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</row>
    <row r="533" ht="14.25" customHeight="1">
      <c r="A533" s="203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</row>
    <row r="534" ht="14.25" customHeight="1">
      <c r="A534" s="203"/>
      <c r="B534" s="203"/>
      <c r="C534" s="203"/>
      <c r="D534" s="203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</row>
    <row r="535" ht="14.25" customHeight="1">
      <c r="A535" s="203"/>
      <c r="B535" s="203"/>
      <c r="C535" s="203"/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</row>
    <row r="536" ht="14.25" customHeight="1">
      <c r="A536" s="203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</row>
    <row r="537" ht="14.25" customHeight="1">
      <c r="A537" s="203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</row>
    <row r="538" ht="14.25" customHeight="1">
      <c r="A538" s="203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</row>
    <row r="539" ht="14.25" customHeight="1">
      <c r="A539" s="203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</row>
    <row r="540" ht="14.25" customHeight="1">
      <c r="A540" s="203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</row>
    <row r="541" ht="14.25" customHeight="1">
      <c r="A541" s="203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</row>
    <row r="542" ht="14.25" customHeight="1">
      <c r="A542" s="203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</row>
    <row r="543" ht="14.25" customHeight="1">
      <c r="A543" s="203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</row>
    <row r="544" ht="14.25" customHeight="1">
      <c r="A544" s="203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</row>
    <row r="545" ht="14.25" customHeight="1">
      <c r="A545" s="203"/>
      <c r="B545" s="203"/>
      <c r="C545" s="203"/>
      <c r="D545" s="203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</row>
    <row r="546" ht="14.25" customHeight="1">
      <c r="A546" s="203"/>
      <c r="B546" s="203"/>
      <c r="C546" s="203"/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</row>
    <row r="547" ht="14.25" customHeight="1">
      <c r="A547" s="203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</row>
    <row r="548" ht="14.25" customHeight="1">
      <c r="A548" s="203"/>
      <c r="B548" s="203"/>
      <c r="C548" s="203"/>
      <c r="D548" s="203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</row>
    <row r="549" ht="14.25" customHeight="1">
      <c r="A549" s="203"/>
      <c r="B549" s="203"/>
      <c r="C549" s="203"/>
      <c r="D549" s="203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</row>
    <row r="550" ht="14.25" customHeight="1">
      <c r="A550" s="203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</row>
    <row r="551" ht="14.25" customHeight="1">
      <c r="A551" s="203"/>
      <c r="B551" s="203"/>
      <c r="C551" s="203"/>
      <c r="D551" s="203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</row>
    <row r="552" ht="14.25" customHeight="1">
      <c r="A552" s="203"/>
      <c r="B552" s="203"/>
      <c r="C552" s="203"/>
      <c r="D552" s="203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</row>
    <row r="553" ht="14.25" customHeight="1">
      <c r="A553" s="203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</row>
    <row r="554" ht="14.25" customHeight="1">
      <c r="A554" s="203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</row>
    <row r="555" ht="14.25" customHeight="1">
      <c r="A555" s="203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</row>
    <row r="556" ht="14.25" customHeight="1">
      <c r="A556" s="203"/>
      <c r="B556" s="203"/>
      <c r="C556" s="203"/>
      <c r="D556" s="203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</row>
    <row r="557" ht="14.25" customHeight="1">
      <c r="A557" s="203"/>
      <c r="B557" s="203"/>
      <c r="C557" s="203"/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</row>
    <row r="558" ht="14.25" customHeight="1">
      <c r="A558" s="203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</row>
    <row r="559" ht="14.25" customHeight="1">
      <c r="A559" s="203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</row>
    <row r="560" ht="14.25" customHeight="1">
      <c r="A560" s="203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</row>
    <row r="561" ht="14.25" customHeight="1">
      <c r="A561" s="203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</row>
    <row r="562" ht="14.25" customHeight="1">
      <c r="A562" s="203"/>
      <c r="B562" s="203"/>
      <c r="C562" s="203"/>
      <c r="D562" s="203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</row>
    <row r="563" ht="14.25" customHeight="1">
      <c r="A563" s="203"/>
      <c r="B563" s="203"/>
      <c r="C563" s="203"/>
      <c r="D563" s="203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</row>
    <row r="564" ht="14.25" customHeight="1">
      <c r="A564" s="203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</row>
    <row r="565" ht="14.25" customHeight="1">
      <c r="A565" s="203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</row>
    <row r="566" ht="14.25" customHeight="1">
      <c r="A566" s="203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</row>
    <row r="567" ht="14.25" customHeight="1">
      <c r="A567" s="203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</row>
    <row r="568" ht="14.25" customHeight="1">
      <c r="A568" s="203"/>
      <c r="B568" s="203"/>
      <c r="C568" s="203"/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</row>
    <row r="569" ht="14.25" customHeight="1">
      <c r="A569" s="203"/>
      <c r="B569" s="203"/>
      <c r="C569" s="203"/>
      <c r="D569" s="203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</row>
    <row r="570" ht="14.25" customHeight="1">
      <c r="A570" s="203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</row>
    <row r="571" ht="14.25" customHeight="1">
      <c r="A571" s="203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</row>
    <row r="572" ht="14.25" customHeight="1">
      <c r="A572" s="203"/>
      <c r="B572" s="203"/>
      <c r="C572" s="203"/>
      <c r="D572" s="203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</row>
    <row r="573" ht="14.25" customHeight="1">
      <c r="A573" s="203"/>
      <c r="B573" s="203"/>
      <c r="C573" s="203"/>
      <c r="D573" s="203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</row>
    <row r="574" ht="14.25" customHeight="1">
      <c r="A574" s="203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</row>
    <row r="575" ht="14.25" customHeight="1">
      <c r="A575" s="203"/>
      <c r="B575" s="203"/>
      <c r="C575" s="203"/>
      <c r="D575" s="203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</row>
    <row r="576" ht="14.25" customHeight="1">
      <c r="A576" s="203"/>
      <c r="B576" s="203"/>
      <c r="C576" s="203"/>
      <c r="D576" s="203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</row>
    <row r="577" ht="14.25" customHeight="1">
      <c r="A577" s="203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</row>
    <row r="578" ht="14.25" customHeight="1">
      <c r="A578" s="203"/>
      <c r="B578" s="203"/>
      <c r="C578" s="203"/>
      <c r="D578" s="203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</row>
    <row r="579" ht="14.25" customHeight="1">
      <c r="A579" s="203"/>
      <c r="B579" s="203"/>
      <c r="C579" s="203"/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</row>
    <row r="580" ht="14.25" customHeight="1">
      <c r="A580" s="203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</row>
    <row r="581" ht="14.25" customHeight="1">
      <c r="A581" s="203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</row>
    <row r="582" ht="14.25" customHeight="1">
      <c r="A582" s="203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</row>
    <row r="583" ht="14.25" customHeight="1">
      <c r="A583" s="203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</row>
    <row r="584" ht="14.25" customHeight="1">
      <c r="A584" s="203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</row>
    <row r="585" ht="14.25" customHeight="1">
      <c r="A585" s="203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</row>
    <row r="586" ht="14.25" customHeight="1">
      <c r="A586" s="203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</row>
    <row r="587" ht="14.25" customHeight="1">
      <c r="A587" s="203"/>
      <c r="B587" s="203"/>
      <c r="C587" s="203"/>
      <c r="D587" s="203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</row>
    <row r="588" ht="14.25" customHeight="1">
      <c r="A588" s="203"/>
      <c r="B588" s="203"/>
      <c r="C588" s="203"/>
      <c r="D588" s="203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</row>
    <row r="589" ht="14.25" customHeight="1">
      <c r="A589" s="203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</row>
    <row r="590" ht="14.25" customHeight="1">
      <c r="A590" s="203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</row>
    <row r="591" ht="14.25" customHeight="1">
      <c r="A591" s="203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</row>
    <row r="592" ht="14.25" customHeight="1">
      <c r="A592" s="203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</row>
    <row r="593" ht="14.25" customHeight="1">
      <c r="A593" s="203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</row>
    <row r="594" ht="14.25" customHeight="1">
      <c r="A594" s="203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</row>
    <row r="595" ht="14.25" customHeight="1">
      <c r="A595" s="203"/>
      <c r="B595" s="203"/>
      <c r="C595" s="203"/>
      <c r="D595" s="203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</row>
    <row r="596" ht="14.25" customHeight="1">
      <c r="A596" s="203"/>
      <c r="B596" s="203"/>
      <c r="C596" s="203"/>
      <c r="D596" s="203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</row>
    <row r="597" ht="14.25" customHeight="1">
      <c r="A597" s="203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</row>
    <row r="598" ht="14.25" customHeight="1">
      <c r="A598" s="203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</row>
    <row r="599" ht="14.25" customHeight="1">
      <c r="A599" s="203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</row>
    <row r="600" ht="14.25" customHeight="1">
      <c r="A600" s="203"/>
      <c r="B600" s="203"/>
      <c r="C600" s="203"/>
      <c r="D600" s="203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</row>
    <row r="601" ht="14.25" customHeight="1">
      <c r="A601" s="203"/>
      <c r="B601" s="203"/>
      <c r="C601" s="203"/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</row>
    <row r="602" ht="14.25" customHeight="1">
      <c r="A602" s="203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</row>
    <row r="603" ht="14.25" customHeight="1">
      <c r="A603" s="203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</row>
    <row r="604" ht="14.25" customHeight="1">
      <c r="A604" s="203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</row>
    <row r="605" ht="14.25" customHeight="1">
      <c r="A605" s="203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</row>
    <row r="606" ht="14.25" customHeight="1">
      <c r="A606" s="203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</row>
    <row r="607" ht="14.25" customHeight="1">
      <c r="A607" s="203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</row>
    <row r="608" ht="14.25" customHeight="1">
      <c r="A608" s="203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</row>
    <row r="609" ht="14.25" customHeight="1">
      <c r="A609" s="203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</row>
    <row r="610" ht="14.25" customHeight="1">
      <c r="A610" s="203"/>
      <c r="B610" s="203"/>
      <c r="C610" s="203"/>
      <c r="D610" s="203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</row>
    <row r="611" ht="14.25" customHeight="1">
      <c r="A611" s="203"/>
      <c r="B611" s="203"/>
      <c r="C611" s="203"/>
      <c r="D611" s="203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</row>
    <row r="612" ht="14.25" customHeight="1">
      <c r="A612" s="203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</row>
    <row r="613" ht="14.25" customHeight="1">
      <c r="A613" s="203"/>
      <c r="B613" s="203"/>
      <c r="C613" s="203"/>
      <c r="D613" s="203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</row>
    <row r="614" ht="14.25" customHeight="1">
      <c r="A614" s="203"/>
      <c r="B614" s="203"/>
      <c r="C614" s="203"/>
      <c r="D614" s="203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</row>
    <row r="615" ht="14.25" customHeight="1">
      <c r="A615" s="203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</row>
    <row r="616" ht="14.25" customHeight="1">
      <c r="A616" s="203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</row>
    <row r="617" ht="14.25" customHeight="1">
      <c r="A617" s="203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</row>
    <row r="618" ht="14.25" customHeight="1">
      <c r="A618" s="203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</row>
    <row r="619" ht="14.25" customHeight="1">
      <c r="A619" s="203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</row>
    <row r="620" ht="14.25" customHeight="1">
      <c r="A620" s="203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</row>
    <row r="621" ht="14.25" customHeight="1">
      <c r="A621" s="203"/>
      <c r="B621" s="203"/>
      <c r="C621" s="203"/>
      <c r="D621" s="203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</row>
    <row r="622" ht="14.25" customHeight="1">
      <c r="A622" s="203"/>
      <c r="B622" s="203"/>
      <c r="C622" s="203"/>
      <c r="D622" s="203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</row>
    <row r="623" ht="14.25" customHeight="1">
      <c r="A623" s="203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</row>
    <row r="624" ht="14.25" customHeight="1">
      <c r="A624" s="203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</row>
    <row r="625" ht="14.25" customHeight="1">
      <c r="A625" s="203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</row>
    <row r="626" ht="14.25" customHeight="1">
      <c r="A626" s="203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</row>
    <row r="627" ht="14.25" customHeight="1">
      <c r="A627" s="203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</row>
    <row r="628" ht="14.25" customHeight="1">
      <c r="A628" s="203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</row>
    <row r="629" ht="14.25" customHeight="1">
      <c r="A629" s="203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</row>
    <row r="630" ht="14.25" customHeight="1">
      <c r="A630" s="203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</row>
    <row r="631" ht="14.25" customHeight="1">
      <c r="A631" s="203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</row>
    <row r="632" ht="14.25" customHeight="1">
      <c r="A632" s="203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</row>
    <row r="633" ht="14.25" customHeight="1">
      <c r="A633" s="203"/>
      <c r="B633" s="203"/>
      <c r="C633" s="203"/>
      <c r="D633" s="203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</row>
    <row r="634" ht="14.25" customHeight="1">
      <c r="A634" s="203"/>
      <c r="B634" s="203"/>
      <c r="C634" s="203"/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</row>
    <row r="635" ht="14.25" customHeight="1">
      <c r="A635" s="203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</row>
    <row r="636" ht="14.25" customHeight="1">
      <c r="A636" s="203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</row>
    <row r="637" ht="14.25" customHeight="1">
      <c r="A637" s="203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</row>
    <row r="638" ht="14.25" customHeight="1">
      <c r="A638" s="203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</row>
    <row r="639" ht="14.25" customHeight="1">
      <c r="A639" s="203"/>
      <c r="B639" s="203"/>
      <c r="C639" s="203"/>
      <c r="D639" s="203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</row>
    <row r="640" ht="14.25" customHeight="1">
      <c r="A640" s="203"/>
      <c r="B640" s="203"/>
      <c r="C640" s="203"/>
      <c r="D640" s="203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</row>
    <row r="641" ht="14.25" customHeight="1">
      <c r="A641" s="203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</row>
    <row r="642" ht="14.25" customHeight="1">
      <c r="A642" s="203"/>
      <c r="B642" s="203"/>
      <c r="C642" s="203"/>
      <c r="D642" s="203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</row>
    <row r="643" ht="14.25" customHeight="1">
      <c r="A643" s="203"/>
      <c r="B643" s="203"/>
      <c r="C643" s="203"/>
      <c r="D643" s="203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</row>
    <row r="644" ht="14.25" customHeight="1">
      <c r="A644" s="203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3"/>
      <c r="W644" s="203"/>
      <c r="X644" s="203"/>
      <c r="Y644" s="203"/>
      <c r="Z644" s="203"/>
    </row>
    <row r="645" ht="14.25" customHeight="1">
      <c r="A645" s="203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3"/>
      <c r="W645" s="203"/>
      <c r="X645" s="203"/>
      <c r="Y645" s="203"/>
      <c r="Z645" s="203"/>
    </row>
    <row r="646" ht="14.25" customHeight="1">
      <c r="A646" s="203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</row>
    <row r="647" ht="14.25" customHeight="1">
      <c r="A647" s="203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</row>
    <row r="648" ht="14.25" customHeight="1">
      <c r="A648" s="203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</row>
    <row r="649" ht="14.25" customHeight="1">
      <c r="A649" s="203"/>
      <c r="B649" s="203"/>
      <c r="C649" s="203"/>
      <c r="D649" s="203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</row>
    <row r="650" ht="14.25" customHeight="1">
      <c r="A650" s="203"/>
      <c r="B650" s="203"/>
      <c r="C650" s="203"/>
      <c r="D650" s="203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</row>
    <row r="651" ht="14.25" customHeight="1">
      <c r="A651" s="203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3"/>
      <c r="W651" s="203"/>
      <c r="X651" s="203"/>
      <c r="Y651" s="203"/>
      <c r="Z651" s="203"/>
    </row>
    <row r="652" ht="14.25" customHeight="1">
      <c r="A652" s="203"/>
      <c r="B652" s="203"/>
      <c r="C652" s="203"/>
      <c r="D652" s="203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/>
      <c r="W652" s="203"/>
      <c r="X652" s="203"/>
      <c r="Y652" s="203"/>
      <c r="Z652" s="203"/>
    </row>
    <row r="653" ht="14.25" customHeight="1">
      <c r="A653" s="203"/>
      <c r="B653" s="203"/>
      <c r="C653" s="203"/>
      <c r="D653" s="203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</row>
    <row r="654" ht="14.25" customHeight="1">
      <c r="A654" s="203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</row>
    <row r="655" ht="14.25" customHeight="1">
      <c r="A655" s="203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</row>
    <row r="656" ht="14.25" customHeight="1">
      <c r="A656" s="203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</row>
    <row r="657" ht="14.25" customHeight="1">
      <c r="A657" s="203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</row>
    <row r="658" ht="14.25" customHeight="1">
      <c r="A658" s="203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</row>
    <row r="659" ht="14.25" customHeight="1">
      <c r="A659" s="203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</row>
    <row r="660" ht="14.25" customHeight="1">
      <c r="A660" s="203"/>
      <c r="B660" s="203"/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</row>
    <row r="661" ht="14.25" customHeight="1">
      <c r="A661" s="203"/>
      <c r="B661" s="203"/>
      <c r="C661" s="203"/>
      <c r="D661" s="203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</row>
    <row r="662" ht="14.25" customHeight="1">
      <c r="A662" s="203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</row>
    <row r="663" ht="14.25" customHeight="1">
      <c r="A663" s="203"/>
      <c r="B663" s="203"/>
      <c r="C663" s="203"/>
      <c r="D663" s="203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</row>
    <row r="664" ht="14.25" customHeight="1">
      <c r="A664" s="203"/>
      <c r="B664" s="203"/>
      <c r="C664" s="203"/>
      <c r="D664" s="203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</row>
    <row r="665" ht="14.25" customHeight="1">
      <c r="A665" s="203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</row>
    <row r="666" ht="14.25" customHeight="1">
      <c r="A666" s="203"/>
      <c r="B666" s="203"/>
      <c r="C666" s="203"/>
      <c r="D666" s="203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</row>
    <row r="667" ht="14.25" customHeight="1">
      <c r="A667" s="203"/>
      <c r="B667" s="203"/>
      <c r="C667" s="203"/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</row>
    <row r="668" ht="14.25" customHeight="1">
      <c r="A668" s="203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</row>
    <row r="669" ht="14.25" customHeight="1">
      <c r="A669" s="203"/>
      <c r="B669" s="203"/>
      <c r="C669" s="203"/>
      <c r="D669" s="203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</row>
    <row r="670" ht="14.25" customHeight="1">
      <c r="A670" s="203"/>
      <c r="B670" s="203"/>
      <c r="C670" s="203"/>
      <c r="D670" s="203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</row>
    <row r="671" ht="14.25" customHeight="1">
      <c r="A671" s="203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</row>
    <row r="672" ht="14.25" customHeight="1">
      <c r="A672" s="203"/>
      <c r="B672" s="203"/>
      <c r="C672" s="203"/>
      <c r="D672" s="203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</row>
    <row r="673" ht="14.25" customHeight="1">
      <c r="A673" s="203"/>
      <c r="B673" s="203"/>
      <c r="C673" s="203"/>
      <c r="D673" s="203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</row>
    <row r="674" ht="14.25" customHeight="1">
      <c r="A674" s="203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</row>
    <row r="675" ht="14.25" customHeight="1">
      <c r="A675" s="203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</row>
    <row r="676" ht="14.25" customHeight="1">
      <c r="A676" s="203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</row>
    <row r="677" ht="14.25" customHeight="1">
      <c r="A677" s="203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</row>
    <row r="678" ht="14.25" customHeight="1">
      <c r="A678" s="203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</row>
    <row r="679" ht="14.25" customHeight="1">
      <c r="A679" s="203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</row>
    <row r="680" ht="14.25" customHeight="1">
      <c r="A680" s="203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</row>
    <row r="681" ht="14.25" customHeight="1">
      <c r="A681" s="203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</row>
    <row r="682" ht="14.25" customHeight="1">
      <c r="A682" s="203"/>
      <c r="B682" s="203"/>
      <c r="C682" s="203"/>
      <c r="D682" s="203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</row>
    <row r="683" ht="14.25" customHeight="1">
      <c r="A683" s="203"/>
      <c r="B683" s="203"/>
      <c r="C683" s="203"/>
      <c r="D683" s="203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/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</row>
    <row r="684" ht="14.25" customHeight="1">
      <c r="A684" s="203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</row>
    <row r="685" ht="14.25" customHeight="1">
      <c r="A685" s="203"/>
      <c r="B685" s="203"/>
      <c r="C685" s="203"/>
      <c r="D685" s="203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/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</row>
    <row r="686" ht="14.25" customHeight="1">
      <c r="A686" s="203"/>
      <c r="B686" s="203"/>
      <c r="C686" s="203"/>
      <c r="D686" s="203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/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</row>
    <row r="687" ht="14.25" customHeight="1">
      <c r="A687" s="203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</row>
    <row r="688" ht="14.25" customHeight="1">
      <c r="A688" s="203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</row>
    <row r="689" ht="14.25" customHeight="1">
      <c r="A689" s="203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</row>
    <row r="690" ht="14.25" customHeight="1">
      <c r="A690" s="203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</row>
    <row r="691" ht="14.25" customHeight="1">
      <c r="A691" s="203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</row>
    <row r="692" ht="14.25" customHeight="1">
      <c r="A692" s="203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</row>
    <row r="693" ht="14.25" customHeight="1">
      <c r="A693" s="203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</row>
    <row r="694" ht="14.25" customHeight="1">
      <c r="A694" s="203"/>
      <c r="B694" s="203"/>
      <c r="C694" s="203"/>
      <c r="D694" s="203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</row>
    <row r="695" ht="14.25" customHeight="1">
      <c r="A695" s="203"/>
      <c r="B695" s="203"/>
      <c r="C695" s="203"/>
      <c r="D695" s="203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</row>
    <row r="696" ht="14.25" customHeight="1">
      <c r="A696" s="203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</row>
    <row r="697" ht="14.25" customHeight="1">
      <c r="A697" s="203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</row>
    <row r="698" ht="14.25" customHeight="1">
      <c r="A698" s="203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</row>
    <row r="699" ht="14.25" customHeight="1">
      <c r="A699" s="203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</row>
    <row r="700" ht="14.25" customHeight="1">
      <c r="A700" s="203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</row>
    <row r="701" ht="14.25" customHeight="1">
      <c r="A701" s="203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</row>
    <row r="702" ht="14.25" customHeight="1">
      <c r="A702" s="203"/>
      <c r="B702" s="203"/>
      <c r="C702" s="203"/>
      <c r="D702" s="203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/>
    </row>
    <row r="703" ht="14.25" customHeight="1">
      <c r="A703" s="203"/>
      <c r="B703" s="203"/>
      <c r="C703" s="203"/>
      <c r="D703" s="203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/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</row>
    <row r="704" ht="14.25" customHeight="1">
      <c r="A704" s="203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</row>
    <row r="705" ht="14.25" customHeight="1">
      <c r="A705" s="203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</row>
    <row r="706" ht="14.25" customHeight="1">
      <c r="A706" s="203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</row>
    <row r="707" ht="14.25" customHeight="1">
      <c r="A707" s="203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</row>
    <row r="708" ht="14.25" customHeight="1">
      <c r="A708" s="203"/>
      <c r="B708" s="203"/>
      <c r="C708" s="203"/>
      <c r="D708" s="203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</row>
    <row r="709" ht="14.25" customHeight="1">
      <c r="A709" s="203"/>
      <c r="B709" s="203"/>
      <c r="C709" s="203"/>
      <c r="D709" s="203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</row>
    <row r="710" ht="14.25" customHeight="1">
      <c r="A710" s="203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</row>
    <row r="711" ht="14.25" customHeight="1">
      <c r="A711" s="203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</row>
    <row r="712" ht="14.25" customHeight="1">
      <c r="A712" s="203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</row>
    <row r="713" ht="14.25" customHeight="1">
      <c r="A713" s="203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</row>
    <row r="714" ht="14.25" customHeight="1">
      <c r="A714" s="203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</row>
    <row r="715" ht="14.25" customHeight="1">
      <c r="A715" s="203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</row>
    <row r="716" ht="14.25" customHeight="1">
      <c r="A716" s="203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</row>
    <row r="717" ht="14.25" customHeight="1">
      <c r="A717" s="203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</row>
    <row r="718" ht="14.25" customHeight="1">
      <c r="A718" s="203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</row>
    <row r="719" ht="14.25" customHeight="1">
      <c r="A719" s="203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</row>
    <row r="720" ht="14.25" customHeight="1">
      <c r="A720" s="203"/>
      <c r="B720" s="203"/>
      <c r="C720" s="203"/>
      <c r="D720" s="203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</row>
    <row r="721" ht="14.25" customHeight="1">
      <c r="A721" s="203"/>
      <c r="B721" s="203"/>
      <c r="C721" s="203"/>
      <c r="D721" s="203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</row>
    <row r="722" ht="14.25" customHeight="1">
      <c r="A722" s="203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</row>
    <row r="723" ht="14.25" customHeight="1">
      <c r="A723" s="203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</row>
    <row r="724" ht="14.25" customHeight="1">
      <c r="A724" s="203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</row>
    <row r="725" ht="14.25" customHeight="1">
      <c r="A725" s="203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</row>
    <row r="726" ht="14.25" customHeight="1">
      <c r="A726" s="203"/>
      <c r="B726" s="203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</row>
    <row r="727" ht="14.25" customHeight="1">
      <c r="A727" s="203"/>
      <c r="B727" s="203"/>
      <c r="C727" s="203"/>
      <c r="D727" s="203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</row>
    <row r="728" ht="14.25" customHeight="1">
      <c r="A728" s="203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</row>
    <row r="729" ht="14.25" customHeight="1">
      <c r="A729" s="203"/>
      <c r="B729" s="203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</row>
    <row r="730" ht="14.25" customHeight="1">
      <c r="A730" s="203"/>
      <c r="B730" s="203"/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</row>
    <row r="731" ht="14.25" customHeight="1">
      <c r="A731" s="203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</row>
    <row r="732" ht="14.25" customHeight="1">
      <c r="A732" s="203"/>
      <c r="B732" s="203"/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</row>
    <row r="733" ht="14.25" customHeight="1">
      <c r="A733" s="203"/>
      <c r="B733" s="203"/>
      <c r="C733" s="203"/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</row>
    <row r="734" ht="14.25" customHeight="1">
      <c r="A734" s="203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</row>
    <row r="735" ht="14.25" customHeight="1">
      <c r="A735" s="203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</row>
    <row r="736" ht="14.25" customHeight="1">
      <c r="A736" s="203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</row>
    <row r="737" ht="14.25" customHeight="1">
      <c r="A737" s="203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</row>
    <row r="738" ht="14.25" customHeight="1">
      <c r="A738" s="203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</row>
    <row r="739" ht="14.25" customHeight="1">
      <c r="A739" s="203"/>
      <c r="B739" s="203"/>
      <c r="C739" s="203"/>
      <c r="D739" s="203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</row>
    <row r="740" ht="14.25" customHeight="1">
      <c r="A740" s="203"/>
      <c r="B740" s="203"/>
      <c r="C740" s="203"/>
      <c r="D740" s="203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</row>
    <row r="741" ht="14.25" customHeight="1">
      <c r="A741" s="203"/>
      <c r="B741" s="203"/>
      <c r="C741" s="203"/>
      <c r="D741" s="203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</row>
    <row r="742" ht="14.25" customHeight="1">
      <c r="A742" s="203"/>
      <c r="B742" s="203"/>
      <c r="C742" s="203"/>
      <c r="D742" s="203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</row>
    <row r="743" ht="14.25" customHeight="1">
      <c r="A743" s="203"/>
      <c r="B743" s="203"/>
      <c r="C743" s="203"/>
      <c r="D743" s="203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</row>
    <row r="744" ht="14.25" customHeight="1">
      <c r="A744" s="203"/>
      <c r="B744" s="203"/>
      <c r="C744" s="203"/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</row>
    <row r="745" ht="14.25" customHeight="1">
      <c r="A745" s="203"/>
      <c r="B745" s="203"/>
      <c r="C745" s="203"/>
      <c r="D745" s="203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</row>
    <row r="746" ht="14.25" customHeight="1">
      <c r="A746" s="203"/>
      <c r="B746" s="203"/>
      <c r="C746" s="203"/>
      <c r="D746" s="203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</row>
    <row r="747" ht="14.25" customHeight="1">
      <c r="A747" s="203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</row>
    <row r="748" ht="14.25" customHeight="1">
      <c r="A748" s="203"/>
      <c r="B748" s="203"/>
      <c r="C748" s="203"/>
      <c r="D748" s="203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</row>
    <row r="749" ht="14.25" customHeight="1">
      <c r="A749" s="203"/>
      <c r="B749" s="203"/>
      <c r="C749" s="203"/>
      <c r="D749" s="203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</row>
    <row r="750" ht="14.25" customHeight="1">
      <c r="A750" s="203"/>
      <c r="B750" s="203"/>
      <c r="C750" s="203"/>
      <c r="D750" s="203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</row>
    <row r="751" ht="14.25" customHeight="1">
      <c r="A751" s="203"/>
      <c r="B751" s="203"/>
      <c r="C751" s="203"/>
      <c r="D751" s="203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</row>
    <row r="752" ht="14.25" customHeight="1">
      <c r="A752" s="203"/>
      <c r="B752" s="203"/>
      <c r="C752" s="203"/>
      <c r="D752" s="203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</row>
    <row r="753" ht="14.25" customHeight="1">
      <c r="A753" s="203"/>
      <c r="B753" s="203"/>
      <c r="C753" s="203"/>
      <c r="D753" s="203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</row>
    <row r="754" ht="14.25" customHeight="1">
      <c r="A754" s="203"/>
      <c r="B754" s="203"/>
      <c r="C754" s="203"/>
      <c r="D754" s="203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</row>
    <row r="755" ht="14.25" customHeight="1">
      <c r="A755" s="203"/>
      <c r="B755" s="203"/>
      <c r="C755" s="203"/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</row>
    <row r="756" ht="14.25" customHeight="1">
      <c r="A756" s="203"/>
      <c r="B756" s="203"/>
      <c r="C756" s="203"/>
      <c r="D756" s="203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</row>
    <row r="757" ht="14.25" customHeight="1">
      <c r="A757" s="203"/>
      <c r="B757" s="203"/>
      <c r="C757" s="203"/>
      <c r="D757" s="203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</row>
    <row r="758" ht="14.25" customHeight="1">
      <c r="A758" s="203"/>
      <c r="B758" s="203"/>
      <c r="C758" s="203"/>
      <c r="D758" s="203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</row>
    <row r="759" ht="14.25" customHeight="1">
      <c r="A759" s="203"/>
      <c r="B759" s="203"/>
      <c r="C759" s="203"/>
      <c r="D759" s="203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3"/>
      <c r="W759" s="203"/>
      <c r="X759" s="203"/>
      <c r="Y759" s="203"/>
      <c r="Z759" s="203"/>
    </row>
    <row r="760" ht="14.25" customHeight="1">
      <c r="A760" s="203"/>
      <c r="B760" s="203"/>
      <c r="C760" s="203"/>
      <c r="D760" s="203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</row>
    <row r="761" ht="14.25" customHeight="1">
      <c r="A761" s="203"/>
      <c r="B761" s="203"/>
      <c r="C761" s="203"/>
      <c r="D761" s="203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</row>
    <row r="762" ht="14.25" customHeight="1">
      <c r="A762" s="203"/>
      <c r="B762" s="203"/>
      <c r="C762" s="203"/>
      <c r="D762" s="203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</row>
    <row r="763" ht="14.25" customHeight="1">
      <c r="A763" s="203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</row>
    <row r="764" ht="14.25" customHeight="1">
      <c r="A764" s="203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</row>
    <row r="765" ht="14.25" customHeight="1">
      <c r="A765" s="203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</row>
    <row r="766" ht="14.25" customHeight="1">
      <c r="A766" s="203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</row>
    <row r="767" ht="14.25" customHeight="1">
      <c r="A767" s="203"/>
      <c r="B767" s="203"/>
      <c r="C767" s="203"/>
      <c r="D767" s="203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</row>
    <row r="768" ht="14.25" customHeight="1">
      <c r="A768" s="203"/>
      <c r="B768" s="203"/>
      <c r="C768" s="203"/>
      <c r="D768" s="203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</row>
    <row r="769" ht="14.25" customHeight="1">
      <c r="A769" s="203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</row>
    <row r="770" ht="14.25" customHeight="1">
      <c r="A770" s="203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</row>
    <row r="771" ht="14.25" customHeight="1">
      <c r="A771" s="203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</row>
    <row r="772" ht="14.25" customHeight="1">
      <c r="A772" s="203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</row>
    <row r="773" ht="14.25" customHeight="1">
      <c r="A773" s="203"/>
      <c r="B773" s="203"/>
      <c r="C773" s="203"/>
      <c r="D773" s="203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</row>
    <row r="774" ht="14.25" customHeight="1">
      <c r="A774" s="203"/>
      <c r="B774" s="203"/>
      <c r="C774" s="203"/>
      <c r="D774" s="203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</row>
    <row r="775" ht="14.25" customHeight="1">
      <c r="A775" s="203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</row>
    <row r="776" ht="14.25" customHeight="1">
      <c r="A776" s="203"/>
      <c r="B776" s="203"/>
      <c r="C776" s="203"/>
      <c r="D776" s="203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</row>
    <row r="777" ht="14.25" customHeight="1">
      <c r="A777" s="203"/>
      <c r="B777" s="203"/>
      <c r="C777" s="203"/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</row>
    <row r="778" ht="14.25" customHeight="1">
      <c r="A778" s="203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</row>
    <row r="779" ht="14.25" customHeight="1">
      <c r="A779" s="203"/>
      <c r="B779" s="203"/>
      <c r="C779" s="203"/>
      <c r="D779" s="203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</row>
    <row r="780" ht="14.25" customHeight="1">
      <c r="A780" s="203"/>
      <c r="B780" s="203"/>
      <c r="C780" s="203"/>
      <c r="D780" s="203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</row>
    <row r="781" ht="14.25" customHeight="1">
      <c r="A781" s="203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</row>
    <row r="782" ht="14.25" customHeight="1">
      <c r="A782" s="203"/>
      <c r="B782" s="203"/>
      <c r="C782" s="203"/>
      <c r="D782" s="203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</row>
    <row r="783" ht="14.25" customHeight="1">
      <c r="A783" s="203"/>
      <c r="B783" s="203"/>
      <c r="C783" s="203"/>
      <c r="D783" s="203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</row>
    <row r="784" ht="14.25" customHeight="1">
      <c r="A784" s="203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</row>
    <row r="785" ht="14.25" customHeight="1">
      <c r="A785" s="203"/>
      <c r="B785" s="203"/>
      <c r="C785" s="203"/>
      <c r="D785" s="203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</row>
    <row r="786" ht="14.25" customHeight="1">
      <c r="A786" s="203"/>
      <c r="B786" s="203"/>
      <c r="C786" s="203"/>
      <c r="D786" s="203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</row>
    <row r="787" ht="14.25" customHeight="1">
      <c r="A787" s="203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</row>
    <row r="788" ht="14.25" customHeight="1">
      <c r="A788" s="203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</row>
    <row r="789" ht="14.25" customHeight="1">
      <c r="A789" s="203"/>
      <c r="B789" s="203"/>
      <c r="C789" s="203"/>
      <c r="D789" s="203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</row>
    <row r="790" ht="14.25" customHeight="1">
      <c r="A790" s="203"/>
      <c r="B790" s="203"/>
      <c r="C790" s="203"/>
      <c r="D790" s="203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</row>
    <row r="791" ht="14.25" customHeight="1">
      <c r="A791" s="203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</row>
    <row r="792" ht="14.25" customHeight="1">
      <c r="A792" s="203"/>
      <c r="B792" s="203"/>
      <c r="C792" s="203"/>
      <c r="D792" s="203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</row>
    <row r="793" ht="14.25" customHeight="1">
      <c r="A793" s="203"/>
      <c r="B793" s="203"/>
      <c r="C793" s="203"/>
      <c r="D793" s="203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</row>
    <row r="794" ht="14.25" customHeight="1">
      <c r="A794" s="203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</row>
    <row r="795" ht="14.25" customHeight="1">
      <c r="A795" s="203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</row>
    <row r="796" ht="14.25" customHeight="1">
      <c r="A796" s="203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</row>
    <row r="797" ht="14.25" customHeight="1">
      <c r="A797" s="203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</row>
    <row r="798" ht="14.25" customHeight="1">
      <c r="A798" s="203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</row>
    <row r="799" ht="14.25" customHeight="1">
      <c r="A799" s="203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</row>
    <row r="800" ht="14.25" customHeight="1">
      <c r="A800" s="203"/>
      <c r="B800" s="203"/>
      <c r="C800" s="203"/>
      <c r="D800" s="203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</row>
    <row r="801" ht="14.25" customHeight="1">
      <c r="A801" s="203"/>
      <c r="B801" s="203"/>
      <c r="C801" s="203"/>
      <c r="D801" s="203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</row>
    <row r="802" ht="14.25" customHeight="1">
      <c r="A802" s="203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</row>
    <row r="803" ht="14.25" customHeight="1">
      <c r="A803" s="203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/>
      <c r="Z803" s="203"/>
    </row>
    <row r="804" ht="14.25" customHeight="1">
      <c r="A804" s="203"/>
      <c r="B804" s="203"/>
      <c r="C804" s="203"/>
      <c r="D804" s="203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</row>
    <row r="805" ht="14.25" customHeight="1">
      <c r="A805" s="203"/>
      <c r="B805" s="203"/>
      <c r="C805" s="203"/>
      <c r="D805" s="203"/>
      <c r="E805" s="203"/>
      <c r="F805" s="203"/>
      <c r="G805" s="203"/>
      <c r="H805" s="203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</row>
    <row r="806" ht="14.25" customHeight="1">
      <c r="A806" s="203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</row>
    <row r="807" ht="14.25" customHeight="1">
      <c r="A807" s="203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  <c r="W807" s="203"/>
      <c r="X807" s="203"/>
      <c r="Y807" s="203"/>
      <c r="Z807" s="203"/>
    </row>
    <row r="808" ht="14.25" customHeight="1">
      <c r="A808" s="203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</row>
    <row r="809" ht="14.25" customHeight="1">
      <c r="A809" s="203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/>
      <c r="Z809" s="203"/>
    </row>
    <row r="810" ht="14.25" customHeight="1">
      <c r="A810" s="203"/>
      <c r="B810" s="203"/>
      <c r="C810" s="203"/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  <c r="W810" s="203"/>
      <c r="X810" s="203"/>
      <c r="Y810" s="203"/>
      <c r="Z810" s="203"/>
    </row>
    <row r="811" ht="14.25" customHeight="1">
      <c r="A811" s="203"/>
      <c r="B811" s="203"/>
      <c r="C811" s="203"/>
      <c r="D811" s="203"/>
      <c r="E811" s="203"/>
      <c r="F811" s="203"/>
      <c r="G811" s="203"/>
      <c r="H811" s="203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  <c r="W811" s="203"/>
      <c r="X811" s="203"/>
      <c r="Y811" s="203"/>
      <c r="Z811" s="203"/>
    </row>
    <row r="812" ht="14.25" customHeight="1">
      <c r="A812" s="203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  <c r="W812" s="203"/>
      <c r="X812" s="203"/>
      <c r="Y812" s="203"/>
      <c r="Z812" s="203"/>
    </row>
    <row r="813" ht="14.25" customHeight="1">
      <c r="A813" s="203"/>
      <c r="B813" s="203"/>
      <c r="C813" s="203"/>
      <c r="D813" s="203"/>
      <c r="E813" s="203"/>
      <c r="F813" s="203"/>
      <c r="G813" s="203"/>
      <c r="H813" s="203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  <c r="W813" s="203"/>
      <c r="X813" s="203"/>
      <c r="Y813" s="203"/>
      <c r="Z813" s="203"/>
    </row>
    <row r="814" ht="14.25" customHeight="1">
      <c r="A814" s="203"/>
      <c r="B814" s="203"/>
      <c r="C814" s="203"/>
      <c r="D814" s="203"/>
      <c r="E814" s="203"/>
      <c r="F814" s="203"/>
      <c r="G814" s="203"/>
      <c r="H814" s="203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  <c r="W814" s="203"/>
      <c r="X814" s="203"/>
      <c r="Y814" s="203"/>
      <c r="Z814" s="203"/>
    </row>
    <row r="815" ht="14.25" customHeight="1">
      <c r="A815" s="203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  <c r="W815" s="203"/>
      <c r="X815" s="203"/>
      <c r="Y815" s="203"/>
      <c r="Z815" s="203"/>
    </row>
    <row r="816" ht="14.25" customHeight="1">
      <c r="A816" s="203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  <c r="W816" s="203"/>
      <c r="X816" s="203"/>
      <c r="Y816" s="203"/>
      <c r="Z816" s="203"/>
    </row>
    <row r="817" ht="14.25" customHeight="1">
      <c r="A817" s="203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  <c r="W817" s="203"/>
      <c r="X817" s="203"/>
      <c r="Y817" s="203"/>
      <c r="Z817" s="203"/>
    </row>
    <row r="818" ht="14.25" customHeight="1">
      <c r="A818" s="203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  <c r="W818" s="203"/>
      <c r="X818" s="203"/>
      <c r="Y818" s="203"/>
      <c r="Z818" s="203"/>
    </row>
    <row r="819" ht="14.25" customHeight="1">
      <c r="A819" s="203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  <c r="W819" s="203"/>
      <c r="X819" s="203"/>
      <c r="Y819" s="203"/>
      <c r="Z819" s="203"/>
    </row>
    <row r="820" ht="14.25" customHeight="1">
      <c r="A820" s="203"/>
      <c r="B820" s="203"/>
      <c r="C820" s="203"/>
      <c r="D820" s="203"/>
      <c r="E820" s="203"/>
      <c r="F820" s="203"/>
      <c r="G820" s="203"/>
      <c r="H820" s="203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  <c r="W820" s="203"/>
      <c r="X820" s="203"/>
      <c r="Y820" s="203"/>
      <c r="Z820" s="203"/>
    </row>
    <row r="821" ht="14.25" customHeight="1">
      <c r="A821" s="203"/>
      <c r="B821" s="203"/>
      <c r="C821" s="203"/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  <c r="W821" s="203"/>
      <c r="X821" s="203"/>
      <c r="Y821" s="203"/>
      <c r="Z821" s="203"/>
    </row>
    <row r="822" ht="14.25" customHeight="1">
      <c r="A822" s="203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  <c r="W822" s="203"/>
      <c r="X822" s="203"/>
      <c r="Y822" s="203"/>
      <c r="Z822" s="203"/>
    </row>
    <row r="823" ht="14.25" customHeight="1">
      <c r="A823" s="203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  <c r="W823" s="203"/>
      <c r="X823" s="203"/>
      <c r="Y823" s="203"/>
      <c r="Z823" s="203"/>
    </row>
    <row r="824" ht="14.25" customHeight="1">
      <c r="A824" s="203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  <c r="W824" s="203"/>
      <c r="X824" s="203"/>
      <c r="Y824" s="203"/>
      <c r="Z824" s="203"/>
    </row>
    <row r="825" ht="14.25" customHeight="1">
      <c r="A825" s="203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  <c r="W825" s="203"/>
      <c r="X825" s="203"/>
      <c r="Y825" s="203"/>
      <c r="Z825" s="203"/>
    </row>
    <row r="826" ht="14.25" customHeight="1">
      <c r="A826" s="203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  <c r="W826" s="203"/>
      <c r="X826" s="203"/>
      <c r="Y826" s="203"/>
      <c r="Z826" s="203"/>
    </row>
    <row r="827" ht="14.25" customHeight="1">
      <c r="A827" s="203"/>
      <c r="B827" s="203"/>
      <c r="C827" s="203"/>
      <c r="D827" s="203"/>
      <c r="E827" s="203"/>
      <c r="F827" s="203"/>
      <c r="G827" s="203"/>
      <c r="H827" s="203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  <c r="W827" s="203"/>
      <c r="X827" s="203"/>
      <c r="Y827" s="203"/>
      <c r="Z827" s="203"/>
    </row>
    <row r="828" ht="14.25" customHeight="1">
      <c r="A828" s="203"/>
      <c r="B828" s="203"/>
      <c r="C828" s="203"/>
      <c r="D828" s="203"/>
      <c r="E828" s="203"/>
      <c r="F828" s="203"/>
      <c r="G828" s="203"/>
      <c r="H828" s="203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  <c r="W828" s="203"/>
      <c r="X828" s="203"/>
      <c r="Y828" s="203"/>
      <c r="Z828" s="203"/>
    </row>
    <row r="829" ht="14.25" customHeight="1">
      <c r="A829" s="203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  <c r="W829" s="203"/>
      <c r="X829" s="203"/>
      <c r="Y829" s="203"/>
      <c r="Z829" s="203"/>
    </row>
    <row r="830" ht="14.25" customHeight="1">
      <c r="A830" s="203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  <c r="W830" s="203"/>
      <c r="X830" s="203"/>
      <c r="Y830" s="203"/>
      <c r="Z830" s="203"/>
    </row>
    <row r="831" ht="14.25" customHeight="1">
      <c r="A831" s="203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  <c r="W831" s="203"/>
      <c r="X831" s="203"/>
      <c r="Y831" s="203"/>
      <c r="Z831" s="203"/>
    </row>
    <row r="832" ht="14.25" customHeight="1">
      <c r="A832" s="203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  <c r="W832" s="203"/>
      <c r="X832" s="203"/>
      <c r="Y832" s="203"/>
      <c r="Z832" s="203"/>
    </row>
    <row r="833" ht="14.25" customHeight="1">
      <c r="A833" s="203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  <c r="W833" s="203"/>
      <c r="X833" s="203"/>
      <c r="Y833" s="203"/>
      <c r="Z833" s="203"/>
    </row>
    <row r="834" ht="14.25" customHeight="1">
      <c r="A834" s="203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  <c r="W834" s="203"/>
      <c r="X834" s="203"/>
      <c r="Y834" s="203"/>
      <c r="Z834" s="203"/>
    </row>
    <row r="835" ht="14.25" customHeight="1">
      <c r="A835" s="203"/>
      <c r="B835" s="203"/>
      <c r="C835" s="203"/>
      <c r="D835" s="203"/>
      <c r="E835" s="203"/>
      <c r="F835" s="203"/>
      <c r="G835" s="203"/>
      <c r="H835" s="203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  <c r="W835" s="203"/>
      <c r="X835" s="203"/>
      <c r="Y835" s="203"/>
      <c r="Z835" s="203"/>
    </row>
    <row r="836" ht="14.25" customHeight="1">
      <c r="A836" s="203"/>
      <c r="B836" s="203"/>
      <c r="C836" s="203"/>
      <c r="D836" s="203"/>
      <c r="E836" s="203"/>
      <c r="F836" s="203"/>
      <c r="G836" s="203"/>
      <c r="H836" s="203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  <c r="W836" s="203"/>
      <c r="X836" s="203"/>
      <c r="Y836" s="203"/>
      <c r="Z836" s="203"/>
    </row>
    <row r="837" ht="14.25" customHeight="1">
      <c r="A837" s="203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  <c r="W837" s="203"/>
      <c r="X837" s="203"/>
      <c r="Y837" s="203"/>
      <c r="Z837" s="203"/>
    </row>
    <row r="838" ht="14.25" customHeight="1">
      <c r="A838" s="203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  <c r="W838" s="203"/>
      <c r="X838" s="203"/>
      <c r="Y838" s="203"/>
      <c r="Z838" s="203"/>
    </row>
    <row r="839" ht="14.25" customHeight="1">
      <c r="A839" s="203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  <c r="W839" s="203"/>
      <c r="X839" s="203"/>
      <c r="Y839" s="203"/>
      <c r="Z839" s="203"/>
    </row>
    <row r="840" ht="14.25" customHeight="1">
      <c r="A840" s="203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  <c r="W840" s="203"/>
      <c r="X840" s="203"/>
      <c r="Y840" s="203"/>
      <c r="Z840" s="203"/>
    </row>
    <row r="841" ht="14.25" customHeight="1">
      <c r="A841" s="203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  <c r="W841" s="203"/>
      <c r="X841" s="203"/>
      <c r="Y841" s="203"/>
      <c r="Z841" s="203"/>
    </row>
    <row r="842" ht="14.25" customHeight="1">
      <c r="A842" s="203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  <c r="W842" s="203"/>
      <c r="X842" s="203"/>
      <c r="Y842" s="203"/>
      <c r="Z842" s="203"/>
    </row>
    <row r="843" ht="14.25" customHeight="1">
      <c r="A843" s="203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  <c r="W843" s="203"/>
      <c r="X843" s="203"/>
      <c r="Y843" s="203"/>
      <c r="Z843" s="203"/>
    </row>
    <row r="844" ht="14.25" customHeight="1">
      <c r="A844" s="203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  <c r="W844" s="203"/>
      <c r="X844" s="203"/>
      <c r="Y844" s="203"/>
      <c r="Z844" s="203"/>
    </row>
    <row r="845" ht="14.25" customHeight="1">
      <c r="A845" s="203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  <c r="W845" s="203"/>
      <c r="X845" s="203"/>
      <c r="Y845" s="203"/>
      <c r="Z845" s="203"/>
    </row>
    <row r="846" ht="14.25" customHeight="1">
      <c r="A846" s="203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  <c r="W846" s="203"/>
      <c r="X846" s="203"/>
      <c r="Y846" s="203"/>
      <c r="Z846" s="203"/>
    </row>
    <row r="847" ht="14.25" customHeight="1">
      <c r="A847" s="203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  <c r="W847" s="203"/>
      <c r="X847" s="203"/>
      <c r="Y847" s="203"/>
      <c r="Z847" s="203"/>
    </row>
    <row r="848" ht="14.25" customHeight="1">
      <c r="A848" s="203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  <c r="W848" s="203"/>
      <c r="X848" s="203"/>
      <c r="Y848" s="203"/>
      <c r="Z848" s="203"/>
    </row>
    <row r="849" ht="14.25" customHeight="1">
      <c r="A849" s="203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  <c r="W849" s="203"/>
      <c r="X849" s="203"/>
      <c r="Y849" s="203"/>
      <c r="Z849" s="203"/>
    </row>
    <row r="850" ht="14.25" customHeight="1">
      <c r="A850" s="203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  <c r="W850" s="203"/>
      <c r="X850" s="203"/>
      <c r="Y850" s="203"/>
      <c r="Z850" s="203"/>
    </row>
    <row r="851" ht="14.25" customHeight="1">
      <c r="A851" s="203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  <c r="W851" s="203"/>
      <c r="X851" s="203"/>
      <c r="Y851" s="203"/>
      <c r="Z851" s="203"/>
    </row>
    <row r="852" ht="14.25" customHeight="1">
      <c r="A852" s="203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  <c r="W852" s="203"/>
      <c r="X852" s="203"/>
      <c r="Y852" s="203"/>
      <c r="Z852" s="203"/>
    </row>
    <row r="853" ht="14.25" customHeight="1">
      <c r="A853" s="203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  <c r="W853" s="203"/>
      <c r="X853" s="203"/>
      <c r="Y853" s="203"/>
      <c r="Z853" s="203"/>
    </row>
    <row r="854" ht="14.25" customHeight="1">
      <c r="A854" s="203"/>
      <c r="B854" s="203"/>
      <c r="C854" s="203"/>
      <c r="D854" s="203"/>
      <c r="E854" s="203"/>
      <c r="F854" s="203"/>
      <c r="G854" s="203"/>
      <c r="H854" s="203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  <c r="W854" s="203"/>
      <c r="X854" s="203"/>
      <c r="Y854" s="203"/>
      <c r="Z854" s="203"/>
    </row>
    <row r="855" ht="14.25" customHeight="1">
      <c r="A855" s="203"/>
      <c r="B855" s="203"/>
      <c r="C855" s="203"/>
      <c r="D855" s="203"/>
      <c r="E855" s="203"/>
      <c r="F855" s="203"/>
      <c r="G855" s="203"/>
      <c r="H855" s="203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  <c r="W855" s="203"/>
      <c r="X855" s="203"/>
      <c r="Y855" s="203"/>
      <c r="Z855" s="203"/>
    </row>
    <row r="856" ht="14.25" customHeight="1">
      <c r="A856" s="203"/>
      <c r="B856" s="203"/>
      <c r="C856" s="203"/>
      <c r="D856" s="203"/>
      <c r="E856" s="203"/>
      <c r="F856" s="203"/>
      <c r="G856" s="203"/>
      <c r="H856" s="203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  <c r="W856" s="203"/>
      <c r="X856" s="203"/>
      <c r="Y856" s="203"/>
      <c r="Z856" s="203"/>
    </row>
    <row r="857" ht="14.25" customHeight="1">
      <c r="A857" s="203"/>
      <c r="B857" s="203"/>
      <c r="C857" s="203"/>
      <c r="D857" s="203"/>
      <c r="E857" s="203"/>
      <c r="F857" s="203"/>
      <c r="G857" s="203"/>
      <c r="H857" s="203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  <c r="W857" s="203"/>
      <c r="X857" s="203"/>
      <c r="Y857" s="203"/>
      <c r="Z857" s="203"/>
    </row>
    <row r="858" ht="14.25" customHeight="1">
      <c r="A858" s="203"/>
      <c r="B858" s="203"/>
      <c r="C858" s="203"/>
      <c r="D858" s="203"/>
      <c r="E858" s="203"/>
      <c r="F858" s="203"/>
      <c r="G858" s="203"/>
      <c r="H858" s="203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  <c r="W858" s="203"/>
      <c r="X858" s="203"/>
      <c r="Y858" s="203"/>
      <c r="Z858" s="203"/>
    </row>
    <row r="859" ht="14.25" customHeight="1">
      <c r="A859" s="203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  <c r="W859" s="203"/>
      <c r="X859" s="203"/>
      <c r="Y859" s="203"/>
      <c r="Z859" s="203"/>
    </row>
    <row r="860" ht="14.25" customHeight="1">
      <c r="A860" s="203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  <c r="W860" s="203"/>
      <c r="X860" s="203"/>
      <c r="Y860" s="203"/>
      <c r="Z860" s="203"/>
    </row>
    <row r="861" ht="14.25" customHeight="1">
      <c r="A861" s="203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  <c r="W861" s="203"/>
      <c r="X861" s="203"/>
      <c r="Y861" s="203"/>
      <c r="Z861" s="203"/>
    </row>
    <row r="862" ht="14.25" customHeight="1">
      <c r="A862" s="203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  <c r="W862" s="203"/>
      <c r="X862" s="203"/>
      <c r="Y862" s="203"/>
      <c r="Z862" s="203"/>
    </row>
    <row r="863" ht="14.25" customHeight="1">
      <c r="A863" s="203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  <c r="W863" s="203"/>
      <c r="X863" s="203"/>
      <c r="Y863" s="203"/>
      <c r="Z863" s="203"/>
    </row>
    <row r="864" ht="14.25" customHeight="1">
      <c r="A864" s="203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  <c r="W864" s="203"/>
      <c r="X864" s="203"/>
      <c r="Y864" s="203"/>
      <c r="Z864" s="203"/>
    </row>
    <row r="865" ht="14.25" customHeight="1">
      <c r="A865" s="203"/>
      <c r="B865" s="203"/>
      <c r="C865" s="203"/>
      <c r="D865" s="203"/>
      <c r="E865" s="203"/>
      <c r="F865" s="203"/>
      <c r="G865" s="203"/>
      <c r="H865" s="203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  <c r="W865" s="203"/>
      <c r="X865" s="203"/>
      <c r="Y865" s="203"/>
      <c r="Z865" s="203"/>
    </row>
    <row r="866" ht="14.25" customHeight="1">
      <c r="A866" s="203"/>
      <c r="B866" s="203"/>
      <c r="C866" s="203"/>
      <c r="D866" s="203"/>
      <c r="E866" s="203"/>
      <c r="F866" s="203"/>
      <c r="G866" s="203"/>
      <c r="H866" s="203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  <c r="W866" s="203"/>
      <c r="X866" s="203"/>
      <c r="Y866" s="203"/>
      <c r="Z866" s="203"/>
    </row>
    <row r="867" ht="14.25" customHeight="1">
      <c r="A867" s="203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  <c r="W867" s="203"/>
      <c r="X867" s="203"/>
      <c r="Y867" s="203"/>
      <c r="Z867" s="203"/>
    </row>
    <row r="868" ht="14.25" customHeight="1">
      <c r="A868" s="203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  <c r="W868" s="203"/>
      <c r="X868" s="203"/>
      <c r="Y868" s="203"/>
      <c r="Z868" s="203"/>
    </row>
    <row r="869" ht="14.25" customHeight="1">
      <c r="A869" s="203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  <c r="W869" s="203"/>
      <c r="X869" s="203"/>
      <c r="Y869" s="203"/>
      <c r="Z869" s="203"/>
    </row>
    <row r="870" ht="14.25" customHeight="1">
      <c r="A870" s="203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  <c r="W870" s="203"/>
      <c r="X870" s="203"/>
      <c r="Y870" s="203"/>
      <c r="Z870" s="203"/>
    </row>
    <row r="871" ht="14.25" customHeight="1">
      <c r="A871" s="203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  <c r="W871" s="203"/>
      <c r="X871" s="203"/>
      <c r="Y871" s="203"/>
      <c r="Z871" s="203"/>
    </row>
    <row r="872" ht="14.25" customHeight="1">
      <c r="A872" s="203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  <c r="W872" s="203"/>
      <c r="X872" s="203"/>
      <c r="Y872" s="203"/>
      <c r="Z872" s="203"/>
    </row>
    <row r="873" ht="14.25" customHeight="1">
      <c r="A873" s="203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  <c r="W873" s="203"/>
      <c r="X873" s="203"/>
      <c r="Y873" s="203"/>
      <c r="Z873" s="203"/>
    </row>
    <row r="874" ht="14.25" customHeight="1">
      <c r="A874" s="203"/>
      <c r="B874" s="203"/>
      <c r="C874" s="203"/>
      <c r="D874" s="203"/>
      <c r="E874" s="203"/>
      <c r="F874" s="203"/>
      <c r="G874" s="203"/>
      <c r="H874" s="203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  <c r="W874" s="203"/>
      <c r="X874" s="203"/>
      <c r="Y874" s="203"/>
      <c r="Z874" s="203"/>
    </row>
    <row r="875" ht="14.25" customHeight="1">
      <c r="A875" s="203"/>
      <c r="B875" s="203"/>
      <c r="C875" s="203"/>
      <c r="D875" s="203"/>
      <c r="E875" s="203"/>
      <c r="F875" s="203"/>
      <c r="G875" s="203"/>
      <c r="H875" s="203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  <c r="W875" s="203"/>
      <c r="X875" s="203"/>
      <c r="Y875" s="203"/>
      <c r="Z875" s="203"/>
    </row>
    <row r="876" ht="14.25" customHeight="1">
      <c r="A876" s="203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  <c r="W876" s="203"/>
      <c r="X876" s="203"/>
      <c r="Y876" s="203"/>
      <c r="Z876" s="203"/>
    </row>
    <row r="877" ht="14.25" customHeight="1">
      <c r="A877" s="203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  <c r="W877" s="203"/>
      <c r="X877" s="203"/>
      <c r="Y877" s="203"/>
      <c r="Z877" s="203"/>
    </row>
    <row r="878" ht="14.25" customHeight="1">
      <c r="A878" s="203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  <c r="W878" s="203"/>
      <c r="X878" s="203"/>
      <c r="Y878" s="203"/>
      <c r="Z878" s="203"/>
    </row>
    <row r="879" ht="14.25" customHeight="1">
      <c r="A879" s="203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  <c r="W879" s="203"/>
      <c r="X879" s="203"/>
      <c r="Y879" s="203"/>
      <c r="Z879" s="203"/>
    </row>
    <row r="880" ht="14.25" customHeight="1">
      <c r="A880" s="203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  <c r="W880" s="203"/>
      <c r="X880" s="203"/>
      <c r="Y880" s="203"/>
      <c r="Z880" s="203"/>
    </row>
    <row r="881" ht="14.25" customHeight="1">
      <c r="A881" s="203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  <c r="W881" s="203"/>
      <c r="X881" s="203"/>
      <c r="Y881" s="203"/>
      <c r="Z881" s="203"/>
    </row>
    <row r="882" ht="14.25" customHeight="1">
      <c r="A882" s="203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  <c r="W882" s="203"/>
      <c r="X882" s="203"/>
      <c r="Y882" s="203"/>
      <c r="Z882" s="203"/>
    </row>
    <row r="883" ht="14.25" customHeight="1">
      <c r="A883" s="203"/>
      <c r="B883" s="203"/>
      <c r="C883" s="203"/>
      <c r="D883" s="203"/>
      <c r="E883" s="203"/>
      <c r="F883" s="203"/>
      <c r="G883" s="203"/>
      <c r="H883" s="203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  <c r="W883" s="203"/>
      <c r="X883" s="203"/>
      <c r="Y883" s="203"/>
      <c r="Z883" s="203"/>
    </row>
    <row r="884" ht="14.25" customHeight="1">
      <c r="A884" s="203"/>
      <c r="B884" s="203"/>
      <c r="C884" s="203"/>
      <c r="D884" s="203"/>
      <c r="E884" s="203"/>
      <c r="F884" s="203"/>
      <c r="G884" s="203"/>
      <c r="H884" s="203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  <c r="W884" s="203"/>
      <c r="X884" s="203"/>
      <c r="Y884" s="203"/>
      <c r="Z884" s="203"/>
    </row>
    <row r="885" ht="14.25" customHeight="1">
      <c r="A885" s="203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  <c r="W885" s="203"/>
      <c r="X885" s="203"/>
      <c r="Y885" s="203"/>
      <c r="Z885" s="203"/>
    </row>
    <row r="886" ht="14.25" customHeight="1">
      <c r="A886" s="203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  <c r="W886" s="203"/>
      <c r="X886" s="203"/>
      <c r="Y886" s="203"/>
      <c r="Z886" s="203"/>
    </row>
    <row r="887" ht="14.25" customHeight="1">
      <c r="A887" s="203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  <c r="W887" s="203"/>
      <c r="X887" s="203"/>
      <c r="Y887" s="203"/>
      <c r="Z887" s="203"/>
    </row>
    <row r="888" ht="14.25" customHeight="1">
      <c r="A888" s="203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  <c r="W888" s="203"/>
      <c r="X888" s="203"/>
      <c r="Y888" s="203"/>
      <c r="Z888" s="203"/>
    </row>
    <row r="889" ht="14.25" customHeight="1">
      <c r="A889" s="203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  <c r="W889" s="203"/>
      <c r="X889" s="203"/>
      <c r="Y889" s="203"/>
      <c r="Z889" s="203"/>
    </row>
    <row r="890" ht="14.25" customHeight="1">
      <c r="A890" s="203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  <c r="W890" s="203"/>
      <c r="X890" s="203"/>
      <c r="Y890" s="203"/>
      <c r="Z890" s="203"/>
    </row>
    <row r="891" ht="14.25" customHeight="1">
      <c r="A891" s="203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  <c r="W891" s="203"/>
      <c r="X891" s="203"/>
      <c r="Y891" s="203"/>
      <c r="Z891" s="203"/>
    </row>
    <row r="892" ht="14.25" customHeight="1">
      <c r="A892" s="203"/>
      <c r="B892" s="203"/>
      <c r="C892" s="203"/>
      <c r="D892" s="203"/>
      <c r="E892" s="203"/>
      <c r="F892" s="203"/>
      <c r="G892" s="203"/>
      <c r="H892" s="203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  <c r="W892" s="203"/>
      <c r="X892" s="203"/>
      <c r="Y892" s="203"/>
      <c r="Z892" s="203"/>
    </row>
    <row r="893" ht="14.25" customHeight="1">
      <c r="A893" s="203"/>
      <c r="B893" s="203"/>
      <c r="C893" s="203"/>
      <c r="D893" s="203"/>
      <c r="E893" s="203"/>
      <c r="F893" s="203"/>
      <c r="G893" s="203"/>
      <c r="H893" s="203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  <c r="W893" s="203"/>
      <c r="X893" s="203"/>
      <c r="Y893" s="203"/>
      <c r="Z893" s="203"/>
    </row>
    <row r="894" ht="14.25" customHeight="1">
      <c r="A894" s="203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  <c r="W894" s="203"/>
      <c r="X894" s="203"/>
      <c r="Y894" s="203"/>
      <c r="Z894" s="203"/>
    </row>
    <row r="895" ht="14.25" customHeight="1">
      <c r="A895" s="203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  <c r="W895" s="203"/>
      <c r="X895" s="203"/>
      <c r="Y895" s="203"/>
      <c r="Z895" s="203"/>
    </row>
    <row r="896" ht="14.25" customHeight="1">
      <c r="A896" s="203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  <c r="W896" s="203"/>
      <c r="X896" s="203"/>
      <c r="Y896" s="203"/>
      <c r="Z896" s="203"/>
    </row>
    <row r="897" ht="14.25" customHeight="1">
      <c r="A897" s="203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  <c r="W897" s="203"/>
      <c r="X897" s="203"/>
      <c r="Y897" s="203"/>
      <c r="Z897" s="203"/>
    </row>
    <row r="898" ht="14.25" customHeight="1">
      <c r="A898" s="203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  <c r="W898" s="203"/>
      <c r="X898" s="203"/>
      <c r="Y898" s="203"/>
      <c r="Z898" s="203"/>
    </row>
    <row r="899" ht="14.25" customHeight="1">
      <c r="A899" s="203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  <c r="W899" s="203"/>
      <c r="X899" s="203"/>
      <c r="Y899" s="203"/>
      <c r="Z899" s="203"/>
    </row>
    <row r="900" ht="14.25" customHeight="1">
      <c r="A900" s="203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  <c r="W900" s="203"/>
      <c r="X900" s="203"/>
      <c r="Y900" s="203"/>
      <c r="Z900" s="203"/>
    </row>
    <row r="901" ht="14.25" customHeight="1">
      <c r="A901" s="203"/>
      <c r="B901" s="203"/>
      <c r="C901" s="203"/>
      <c r="D901" s="203"/>
      <c r="E901" s="203"/>
      <c r="F901" s="203"/>
      <c r="G901" s="203"/>
      <c r="H901" s="203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  <c r="W901" s="203"/>
      <c r="X901" s="203"/>
      <c r="Y901" s="203"/>
      <c r="Z901" s="203"/>
    </row>
    <row r="902" ht="14.25" customHeight="1">
      <c r="A902" s="203"/>
      <c r="B902" s="203"/>
      <c r="C902" s="203"/>
      <c r="D902" s="203"/>
      <c r="E902" s="203"/>
      <c r="F902" s="203"/>
      <c r="G902" s="203"/>
      <c r="H902" s="203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  <c r="W902" s="203"/>
      <c r="X902" s="203"/>
      <c r="Y902" s="203"/>
      <c r="Z902" s="203"/>
    </row>
    <row r="903" ht="14.25" customHeight="1">
      <c r="A903" s="203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  <c r="W903" s="203"/>
      <c r="X903" s="203"/>
      <c r="Y903" s="203"/>
      <c r="Z903" s="203"/>
    </row>
    <row r="904" ht="14.25" customHeight="1">
      <c r="A904" s="203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  <c r="W904" s="203"/>
      <c r="X904" s="203"/>
      <c r="Y904" s="203"/>
      <c r="Z904" s="203"/>
    </row>
    <row r="905" ht="14.25" customHeight="1">
      <c r="A905" s="203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  <c r="W905" s="203"/>
      <c r="X905" s="203"/>
      <c r="Y905" s="203"/>
      <c r="Z905" s="203"/>
    </row>
    <row r="906" ht="14.25" customHeight="1">
      <c r="A906" s="203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  <c r="W906" s="203"/>
      <c r="X906" s="203"/>
      <c r="Y906" s="203"/>
      <c r="Z906" s="203"/>
    </row>
    <row r="907" ht="14.25" customHeight="1">
      <c r="A907" s="203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  <c r="W907" s="203"/>
      <c r="X907" s="203"/>
      <c r="Y907" s="203"/>
      <c r="Z907" s="203"/>
    </row>
    <row r="908" ht="14.25" customHeight="1">
      <c r="A908" s="203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  <c r="W908" s="203"/>
      <c r="X908" s="203"/>
      <c r="Y908" s="203"/>
      <c r="Z908" s="203"/>
    </row>
    <row r="909" ht="14.25" customHeight="1">
      <c r="A909" s="203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  <c r="W909" s="203"/>
      <c r="X909" s="203"/>
      <c r="Y909" s="203"/>
      <c r="Z909" s="203"/>
    </row>
    <row r="910" ht="14.25" customHeight="1">
      <c r="A910" s="203"/>
      <c r="B910" s="203"/>
      <c r="C910" s="203"/>
      <c r="D910" s="203"/>
      <c r="E910" s="203"/>
      <c r="F910" s="203"/>
      <c r="G910" s="203"/>
      <c r="H910" s="203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  <c r="W910" s="203"/>
      <c r="X910" s="203"/>
      <c r="Y910" s="203"/>
      <c r="Z910" s="203"/>
    </row>
    <row r="911" ht="14.25" customHeight="1">
      <c r="A911" s="203"/>
      <c r="B911" s="203"/>
      <c r="C911" s="203"/>
      <c r="D911" s="203"/>
      <c r="E911" s="203"/>
      <c r="F911" s="203"/>
      <c r="G911" s="203"/>
      <c r="H911" s="203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  <c r="W911" s="203"/>
      <c r="X911" s="203"/>
      <c r="Y911" s="203"/>
      <c r="Z911" s="203"/>
    </row>
    <row r="912" ht="14.25" customHeight="1">
      <c r="A912" s="203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  <c r="W912" s="203"/>
      <c r="X912" s="203"/>
      <c r="Y912" s="203"/>
      <c r="Z912" s="203"/>
    </row>
    <row r="913" ht="14.25" customHeight="1">
      <c r="A913" s="203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  <c r="W913" s="203"/>
      <c r="X913" s="203"/>
      <c r="Y913" s="203"/>
      <c r="Z913" s="203"/>
    </row>
    <row r="914" ht="14.25" customHeight="1">
      <c r="A914" s="203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  <c r="W914" s="203"/>
      <c r="X914" s="203"/>
      <c r="Y914" s="203"/>
      <c r="Z914" s="203"/>
    </row>
    <row r="915" ht="14.25" customHeight="1">
      <c r="A915" s="203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  <c r="W915" s="203"/>
      <c r="X915" s="203"/>
      <c r="Y915" s="203"/>
      <c r="Z915" s="203"/>
    </row>
    <row r="916" ht="14.25" customHeight="1">
      <c r="A916" s="203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  <c r="W916" s="203"/>
      <c r="X916" s="203"/>
      <c r="Y916" s="203"/>
      <c r="Z916" s="203"/>
    </row>
    <row r="917" ht="14.25" customHeight="1">
      <c r="A917" s="203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  <c r="W917" s="203"/>
      <c r="X917" s="203"/>
      <c r="Y917" s="203"/>
      <c r="Z917" s="203"/>
    </row>
    <row r="918" ht="14.25" customHeight="1">
      <c r="A918" s="203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  <c r="W918" s="203"/>
      <c r="X918" s="203"/>
      <c r="Y918" s="203"/>
      <c r="Z918" s="203"/>
    </row>
    <row r="919" ht="14.25" customHeight="1">
      <c r="A919" s="203"/>
      <c r="B919" s="203"/>
      <c r="C919" s="203"/>
      <c r="D919" s="203"/>
      <c r="E919" s="203"/>
      <c r="F919" s="203"/>
      <c r="G919" s="203"/>
      <c r="H919" s="203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  <c r="W919" s="203"/>
      <c r="X919" s="203"/>
      <c r="Y919" s="203"/>
      <c r="Z919" s="203"/>
    </row>
    <row r="920" ht="14.25" customHeight="1">
      <c r="A920" s="203"/>
      <c r="B920" s="203"/>
      <c r="C920" s="203"/>
      <c r="D920" s="203"/>
      <c r="E920" s="203"/>
      <c r="F920" s="203"/>
      <c r="G920" s="203"/>
      <c r="H920" s="203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  <c r="W920" s="203"/>
      <c r="X920" s="203"/>
      <c r="Y920" s="203"/>
      <c r="Z920" s="203"/>
    </row>
    <row r="921" ht="14.25" customHeight="1">
      <c r="A921" s="203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  <c r="W921" s="203"/>
      <c r="X921" s="203"/>
      <c r="Y921" s="203"/>
      <c r="Z921" s="203"/>
    </row>
    <row r="922" ht="14.25" customHeight="1">
      <c r="A922" s="203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  <c r="W922" s="203"/>
      <c r="X922" s="203"/>
      <c r="Y922" s="203"/>
      <c r="Z922" s="203"/>
    </row>
    <row r="923" ht="14.25" customHeight="1">
      <c r="A923" s="203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  <c r="W923" s="203"/>
      <c r="X923" s="203"/>
      <c r="Y923" s="203"/>
      <c r="Z923" s="203"/>
    </row>
    <row r="924" ht="14.25" customHeight="1">
      <c r="A924" s="203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  <c r="W924" s="203"/>
      <c r="X924" s="203"/>
      <c r="Y924" s="203"/>
      <c r="Z924" s="203"/>
    </row>
    <row r="925" ht="14.25" customHeight="1">
      <c r="A925" s="203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  <c r="W925" s="203"/>
      <c r="X925" s="203"/>
      <c r="Y925" s="203"/>
      <c r="Z925" s="203"/>
    </row>
    <row r="926" ht="14.25" customHeight="1">
      <c r="A926" s="203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  <c r="W926" s="203"/>
      <c r="X926" s="203"/>
      <c r="Y926" s="203"/>
      <c r="Z926" s="203"/>
    </row>
    <row r="927" ht="14.25" customHeight="1">
      <c r="A927" s="203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  <c r="W927" s="203"/>
      <c r="X927" s="203"/>
      <c r="Y927" s="203"/>
      <c r="Z927" s="203"/>
    </row>
    <row r="928" ht="14.25" customHeight="1">
      <c r="A928" s="203"/>
      <c r="B928" s="203"/>
      <c r="C928" s="203"/>
      <c r="D928" s="203"/>
      <c r="E928" s="203"/>
      <c r="F928" s="203"/>
      <c r="G928" s="203"/>
      <c r="H928" s="203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  <c r="W928" s="203"/>
      <c r="X928" s="203"/>
      <c r="Y928" s="203"/>
      <c r="Z928" s="203"/>
    </row>
    <row r="929" ht="14.25" customHeight="1">
      <c r="A929" s="203"/>
      <c r="B929" s="203"/>
      <c r="C929" s="203"/>
      <c r="D929" s="203"/>
      <c r="E929" s="203"/>
      <c r="F929" s="203"/>
      <c r="G929" s="203"/>
      <c r="H929" s="203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  <c r="W929" s="203"/>
      <c r="X929" s="203"/>
      <c r="Y929" s="203"/>
      <c r="Z929" s="203"/>
    </row>
    <row r="930" ht="14.25" customHeight="1">
      <c r="A930" s="203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  <c r="W930" s="203"/>
      <c r="X930" s="203"/>
      <c r="Y930" s="203"/>
      <c r="Z930" s="203"/>
    </row>
    <row r="931" ht="14.25" customHeight="1">
      <c r="A931" s="203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  <c r="W931" s="203"/>
      <c r="X931" s="203"/>
      <c r="Y931" s="203"/>
      <c r="Z931" s="203"/>
    </row>
    <row r="932" ht="14.25" customHeight="1">
      <c r="A932" s="203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  <c r="W932" s="203"/>
      <c r="X932" s="203"/>
      <c r="Y932" s="203"/>
      <c r="Z932" s="203"/>
    </row>
    <row r="933" ht="14.25" customHeight="1">
      <c r="A933" s="203"/>
      <c r="B933" s="203"/>
      <c r="C933" s="203"/>
      <c r="D933" s="203"/>
      <c r="E933" s="203"/>
      <c r="F933" s="203"/>
      <c r="G933" s="203"/>
      <c r="H933" s="203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  <c r="W933" s="203"/>
      <c r="X933" s="203"/>
      <c r="Y933" s="203"/>
      <c r="Z933" s="203"/>
    </row>
    <row r="934" ht="14.25" customHeight="1">
      <c r="A934" s="203"/>
      <c r="B934" s="203"/>
      <c r="C934" s="203"/>
      <c r="D934" s="203"/>
      <c r="E934" s="203"/>
      <c r="F934" s="203"/>
      <c r="G934" s="203"/>
      <c r="H934" s="203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  <c r="W934" s="203"/>
      <c r="X934" s="203"/>
      <c r="Y934" s="203"/>
      <c r="Z934" s="203"/>
    </row>
    <row r="935" ht="14.25" customHeight="1">
      <c r="A935" s="203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  <c r="W935" s="203"/>
      <c r="X935" s="203"/>
      <c r="Y935" s="203"/>
      <c r="Z935" s="203"/>
    </row>
    <row r="936" ht="14.25" customHeight="1">
      <c r="A936" s="203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  <c r="W936" s="203"/>
      <c r="X936" s="203"/>
      <c r="Y936" s="203"/>
      <c r="Z936" s="203"/>
    </row>
    <row r="937" ht="14.25" customHeight="1">
      <c r="A937" s="203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  <c r="W937" s="203"/>
      <c r="X937" s="203"/>
      <c r="Y937" s="203"/>
      <c r="Z937" s="203"/>
    </row>
    <row r="938" ht="14.25" customHeight="1">
      <c r="A938" s="203"/>
      <c r="B938" s="203"/>
      <c r="C938" s="203"/>
      <c r="D938" s="203"/>
      <c r="E938" s="203"/>
      <c r="F938" s="203"/>
      <c r="G938" s="203"/>
      <c r="H938" s="203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  <c r="W938" s="203"/>
      <c r="X938" s="203"/>
      <c r="Y938" s="203"/>
      <c r="Z938" s="203"/>
    </row>
    <row r="939" ht="14.25" customHeight="1">
      <c r="A939" s="203"/>
      <c r="B939" s="203"/>
      <c r="C939" s="203"/>
      <c r="D939" s="203"/>
      <c r="E939" s="203"/>
      <c r="F939" s="203"/>
      <c r="G939" s="203"/>
      <c r="H939" s="203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  <c r="W939" s="203"/>
      <c r="X939" s="203"/>
      <c r="Y939" s="203"/>
      <c r="Z939" s="203"/>
    </row>
    <row r="940" ht="14.25" customHeight="1">
      <c r="A940" s="203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  <c r="W940" s="203"/>
      <c r="X940" s="203"/>
      <c r="Y940" s="203"/>
      <c r="Z940" s="203"/>
    </row>
    <row r="941" ht="14.25" customHeight="1">
      <c r="A941" s="203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  <c r="W941" s="203"/>
      <c r="X941" s="203"/>
      <c r="Y941" s="203"/>
      <c r="Z941" s="203"/>
    </row>
    <row r="942" ht="14.25" customHeight="1">
      <c r="A942" s="203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  <c r="W942" s="203"/>
      <c r="X942" s="203"/>
      <c r="Y942" s="203"/>
      <c r="Z942" s="203"/>
    </row>
    <row r="943" ht="14.25" customHeight="1">
      <c r="A943" s="203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  <c r="W943" s="203"/>
      <c r="X943" s="203"/>
      <c r="Y943" s="203"/>
      <c r="Z943" s="203"/>
    </row>
    <row r="944" ht="14.25" customHeight="1">
      <c r="A944" s="203"/>
      <c r="B944" s="203"/>
      <c r="C944" s="203"/>
      <c r="D944" s="203"/>
      <c r="E944" s="203"/>
      <c r="F944" s="203"/>
      <c r="G944" s="203"/>
      <c r="H944" s="203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  <c r="W944" s="203"/>
      <c r="X944" s="203"/>
      <c r="Y944" s="203"/>
      <c r="Z944" s="203"/>
    </row>
    <row r="945" ht="14.25" customHeight="1">
      <c r="A945" s="203"/>
      <c r="B945" s="203"/>
      <c r="C945" s="203"/>
      <c r="D945" s="203"/>
      <c r="E945" s="203"/>
      <c r="F945" s="203"/>
      <c r="G945" s="203"/>
      <c r="H945" s="203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  <c r="W945" s="203"/>
      <c r="X945" s="203"/>
      <c r="Y945" s="203"/>
      <c r="Z945" s="203"/>
    </row>
    <row r="946" ht="14.25" customHeight="1">
      <c r="A946" s="203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  <c r="W946" s="203"/>
      <c r="X946" s="203"/>
      <c r="Y946" s="203"/>
      <c r="Z946" s="203"/>
    </row>
    <row r="947" ht="14.25" customHeight="1">
      <c r="A947" s="203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  <c r="W947" s="203"/>
      <c r="X947" s="203"/>
      <c r="Y947" s="203"/>
      <c r="Z947" s="203"/>
    </row>
    <row r="948" ht="14.25" customHeight="1">
      <c r="A948" s="203"/>
      <c r="B948" s="203"/>
      <c r="C948" s="203"/>
      <c r="D948" s="203"/>
      <c r="E948" s="203"/>
      <c r="F948" s="203"/>
      <c r="G948" s="203"/>
      <c r="H948" s="203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  <c r="W948" s="203"/>
      <c r="X948" s="203"/>
      <c r="Y948" s="203"/>
      <c r="Z948" s="203"/>
    </row>
    <row r="949" ht="14.25" customHeight="1">
      <c r="A949" s="203"/>
      <c r="B949" s="203"/>
      <c r="C949" s="203"/>
      <c r="D949" s="203"/>
      <c r="E949" s="203"/>
      <c r="F949" s="203"/>
      <c r="G949" s="203"/>
      <c r="H949" s="203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  <c r="W949" s="203"/>
      <c r="X949" s="203"/>
      <c r="Y949" s="203"/>
      <c r="Z949" s="203"/>
    </row>
    <row r="950" ht="14.25" customHeight="1">
      <c r="A950" s="203"/>
      <c r="B950" s="203"/>
      <c r="C950" s="203"/>
      <c r="D950" s="203"/>
      <c r="E950" s="203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  <c r="W950" s="203"/>
      <c r="X950" s="203"/>
      <c r="Y950" s="203"/>
      <c r="Z950" s="203"/>
    </row>
    <row r="951" ht="14.25" customHeight="1">
      <c r="A951" s="203"/>
      <c r="B951" s="203"/>
      <c r="C951" s="203"/>
      <c r="D951" s="203"/>
      <c r="E951" s="203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  <c r="W951" s="203"/>
      <c r="X951" s="203"/>
      <c r="Y951" s="203"/>
      <c r="Z951" s="203"/>
    </row>
    <row r="952" ht="14.25" customHeight="1">
      <c r="A952" s="203"/>
      <c r="B952" s="203"/>
      <c r="C952" s="203"/>
      <c r="D952" s="203"/>
      <c r="E952" s="203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  <c r="W952" s="203"/>
      <c r="X952" s="203"/>
      <c r="Y952" s="203"/>
      <c r="Z952" s="203"/>
    </row>
    <row r="953" ht="14.25" customHeight="1">
      <c r="A953" s="203"/>
      <c r="B953" s="203"/>
      <c r="C953" s="203"/>
      <c r="D953" s="203"/>
      <c r="E953" s="203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  <c r="W953" s="203"/>
      <c r="X953" s="203"/>
      <c r="Y953" s="203"/>
      <c r="Z953" s="203"/>
    </row>
    <row r="954" ht="14.25" customHeight="1">
      <c r="A954" s="203"/>
      <c r="B954" s="203"/>
      <c r="C954" s="203"/>
      <c r="D954" s="203"/>
      <c r="E954" s="203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  <c r="W954" s="203"/>
      <c r="X954" s="203"/>
      <c r="Y954" s="203"/>
      <c r="Z954" s="203"/>
    </row>
    <row r="955" ht="14.25" customHeight="1">
      <c r="A955" s="203"/>
      <c r="B955" s="203"/>
      <c r="C955" s="203"/>
      <c r="D955" s="203"/>
      <c r="E955" s="203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  <c r="W955" s="203"/>
      <c r="X955" s="203"/>
      <c r="Y955" s="203"/>
      <c r="Z955" s="203"/>
    </row>
    <row r="956" ht="14.25" customHeight="1">
      <c r="A956" s="203"/>
      <c r="B956" s="203"/>
      <c r="C956" s="203"/>
      <c r="D956" s="203"/>
      <c r="E956" s="203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  <c r="W956" s="203"/>
      <c r="X956" s="203"/>
      <c r="Y956" s="203"/>
      <c r="Z956" s="203"/>
    </row>
    <row r="957" ht="14.25" customHeight="1">
      <c r="A957" s="203"/>
      <c r="B957" s="203"/>
      <c r="C957" s="203"/>
      <c r="D957" s="203"/>
      <c r="E957" s="203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  <c r="W957" s="203"/>
      <c r="X957" s="203"/>
      <c r="Y957" s="203"/>
      <c r="Z957" s="203"/>
    </row>
    <row r="958" ht="14.25" customHeight="1">
      <c r="A958" s="203"/>
      <c r="B958" s="203"/>
      <c r="C958" s="203"/>
      <c r="D958" s="203"/>
      <c r="E958" s="203"/>
      <c r="F958" s="203"/>
      <c r="G958" s="203"/>
      <c r="H958" s="203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  <c r="W958" s="203"/>
      <c r="X958" s="203"/>
      <c r="Y958" s="203"/>
      <c r="Z958" s="203"/>
    </row>
    <row r="959" ht="14.25" customHeight="1">
      <c r="A959" s="203"/>
      <c r="B959" s="203"/>
      <c r="C959" s="203"/>
      <c r="D959" s="203"/>
      <c r="E959" s="203"/>
      <c r="F959" s="203"/>
      <c r="G959" s="203"/>
      <c r="H959" s="203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  <c r="W959" s="203"/>
      <c r="X959" s="203"/>
      <c r="Y959" s="203"/>
      <c r="Z959" s="203"/>
    </row>
    <row r="960" ht="14.25" customHeight="1">
      <c r="A960" s="203"/>
      <c r="B960" s="203"/>
      <c r="C960" s="203"/>
      <c r="D960" s="203"/>
      <c r="E960" s="203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  <c r="W960" s="203"/>
      <c r="X960" s="203"/>
      <c r="Y960" s="203"/>
      <c r="Z960" s="203"/>
    </row>
    <row r="961" ht="14.25" customHeight="1">
      <c r="A961" s="203"/>
      <c r="B961" s="203"/>
      <c r="C961" s="203"/>
      <c r="D961" s="203"/>
      <c r="E961" s="203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  <c r="W961" s="203"/>
      <c r="X961" s="203"/>
      <c r="Y961" s="203"/>
      <c r="Z961" s="203"/>
    </row>
    <row r="962" ht="14.25" customHeight="1">
      <c r="A962" s="203"/>
      <c r="B962" s="203"/>
      <c r="C962" s="203"/>
      <c r="D962" s="203"/>
      <c r="E962" s="203"/>
      <c r="F962" s="203"/>
      <c r="G962" s="203"/>
      <c r="H962" s="203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  <c r="W962" s="203"/>
      <c r="X962" s="203"/>
      <c r="Y962" s="203"/>
      <c r="Z962" s="203"/>
    </row>
    <row r="963" ht="14.25" customHeight="1">
      <c r="A963" s="203"/>
      <c r="B963" s="203"/>
      <c r="C963" s="203"/>
      <c r="D963" s="203"/>
      <c r="E963" s="203"/>
      <c r="F963" s="203"/>
      <c r="G963" s="203"/>
      <c r="H963" s="203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  <c r="W963" s="203"/>
      <c r="X963" s="203"/>
      <c r="Y963" s="203"/>
      <c r="Z963" s="203"/>
    </row>
    <row r="964" ht="14.25" customHeight="1">
      <c r="A964" s="203"/>
      <c r="B964" s="203"/>
      <c r="C964" s="203"/>
      <c r="D964" s="203"/>
      <c r="E964" s="203"/>
      <c r="F964" s="203"/>
      <c r="G964" s="203"/>
      <c r="H964" s="203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  <c r="W964" s="203"/>
      <c r="X964" s="203"/>
      <c r="Y964" s="203"/>
      <c r="Z964" s="203"/>
    </row>
    <row r="965" ht="14.25" customHeight="1">
      <c r="A965" s="203"/>
      <c r="B965" s="203"/>
      <c r="C965" s="203"/>
      <c r="D965" s="203"/>
      <c r="E965" s="203"/>
      <c r="F965" s="203"/>
      <c r="G965" s="203"/>
      <c r="H965" s="203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  <c r="W965" s="203"/>
      <c r="X965" s="203"/>
      <c r="Y965" s="203"/>
      <c r="Z965" s="203"/>
    </row>
    <row r="966" ht="14.25" customHeight="1">
      <c r="A966" s="203"/>
      <c r="B966" s="203"/>
      <c r="C966" s="203"/>
      <c r="D966" s="203"/>
      <c r="E966" s="203"/>
      <c r="F966" s="203"/>
      <c r="G966" s="203"/>
      <c r="H966" s="203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  <c r="W966" s="203"/>
      <c r="X966" s="203"/>
      <c r="Y966" s="203"/>
      <c r="Z966" s="203"/>
    </row>
    <row r="967" ht="14.25" customHeight="1">
      <c r="A967" s="203"/>
      <c r="B967" s="203"/>
      <c r="C967" s="203"/>
      <c r="D967" s="203"/>
      <c r="E967" s="203"/>
      <c r="F967" s="203"/>
      <c r="G967" s="203"/>
      <c r="H967" s="203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  <c r="W967" s="203"/>
      <c r="X967" s="203"/>
      <c r="Y967" s="203"/>
      <c r="Z967" s="203"/>
    </row>
    <row r="968" ht="14.25" customHeight="1">
      <c r="A968" s="203"/>
      <c r="B968" s="203"/>
      <c r="C968" s="203"/>
      <c r="D968" s="203"/>
      <c r="E968" s="203"/>
      <c r="F968" s="203"/>
      <c r="G968" s="203"/>
      <c r="H968" s="203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  <c r="W968" s="203"/>
      <c r="X968" s="203"/>
      <c r="Y968" s="203"/>
      <c r="Z968" s="203"/>
    </row>
    <row r="969" ht="14.25" customHeight="1">
      <c r="A969" s="203"/>
      <c r="B969" s="203"/>
      <c r="C969" s="203"/>
      <c r="D969" s="203"/>
      <c r="E969" s="203"/>
      <c r="F969" s="203"/>
      <c r="G969" s="203"/>
      <c r="H969" s="203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  <c r="W969" s="203"/>
      <c r="X969" s="203"/>
      <c r="Y969" s="203"/>
      <c r="Z969" s="203"/>
    </row>
    <row r="970" ht="14.25" customHeight="1">
      <c r="A970" s="203"/>
      <c r="B970" s="203"/>
      <c r="C970" s="203"/>
      <c r="D970" s="203"/>
      <c r="E970" s="203"/>
      <c r="F970" s="203"/>
      <c r="G970" s="203"/>
      <c r="H970" s="203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  <c r="W970" s="203"/>
      <c r="X970" s="203"/>
      <c r="Y970" s="203"/>
      <c r="Z970" s="203"/>
    </row>
    <row r="971" ht="14.25" customHeight="1">
      <c r="A971" s="203"/>
      <c r="B971" s="203"/>
      <c r="C971" s="203"/>
      <c r="D971" s="203"/>
      <c r="E971" s="203"/>
      <c r="F971" s="203"/>
      <c r="G971" s="203"/>
      <c r="H971" s="203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  <c r="W971" s="203"/>
      <c r="X971" s="203"/>
      <c r="Y971" s="203"/>
      <c r="Z971" s="203"/>
    </row>
    <row r="972" ht="14.25" customHeight="1">
      <c r="A972" s="203"/>
      <c r="B972" s="203"/>
      <c r="C972" s="203"/>
      <c r="D972" s="203"/>
      <c r="E972" s="203"/>
      <c r="F972" s="203"/>
      <c r="G972" s="203"/>
      <c r="H972" s="203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  <c r="W972" s="203"/>
      <c r="X972" s="203"/>
      <c r="Y972" s="203"/>
      <c r="Z972" s="203"/>
    </row>
    <row r="973" ht="14.25" customHeight="1">
      <c r="A973" s="203"/>
      <c r="B973" s="203"/>
      <c r="C973" s="203"/>
      <c r="D973" s="203"/>
      <c r="E973" s="203"/>
      <c r="F973" s="203"/>
      <c r="G973" s="203"/>
      <c r="H973" s="203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  <c r="W973" s="203"/>
      <c r="X973" s="203"/>
      <c r="Y973" s="203"/>
      <c r="Z973" s="203"/>
    </row>
    <row r="974" ht="14.25" customHeight="1">
      <c r="A974" s="203"/>
      <c r="B974" s="203"/>
      <c r="C974" s="203"/>
      <c r="D974" s="203"/>
      <c r="E974" s="203"/>
      <c r="F974" s="203"/>
      <c r="G974" s="203"/>
      <c r="H974" s="203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  <c r="W974" s="203"/>
      <c r="X974" s="203"/>
      <c r="Y974" s="203"/>
      <c r="Z974" s="203"/>
    </row>
    <row r="975" ht="14.25" customHeight="1">
      <c r="A975" s="203"/>
      <c r="B975" s="203"/>
      <c r="C975" s="203"/>
      <c r="D975" s="203"/>
      <c r="E975" s="203"/>
      <c r="F975" s="203"/>
      <c r="G975" s="203"/>
      <c r="H975" s="203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  <c r="W975" s="203"/>
      <c r="X975" s="203"/>
      <c r="Y975" s="203"/>
      <c r="Z975" s="203"/>
    </row>
    <row r="976" ht="14.25" customHeight="1">
      <c r="A976" s="203"/>
      <c r="B976" s="203"/>
      <c r="C976" s="203"/>
      <c r="D976" s="203"/>
      <c r="E976" s="203"/>
      <c r="F976" s="203"/>
      <c r="G976" s="203"/>
      <c r="H976" s="203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  <c r="W976" s="203"/>
      <c r="X976" s="203"/>
      <c r="Y976" s="203"/>
      <c r="Z976" s="203"/>
    </row>
    <row r="977" ht="14.25" customHeight="1">
      <c r="A977" s="203"/>
      <c r="B977" s="203"/>
      <c r="C977" s="203"/>
      <c r="D977" s="203"/>
      <c r="E977" s="203"/>
      <c r="F977" s="203"/>
      <c r="G977" s="203"/>
      <c r="H977" s="203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  <c r="W977" s="203"/>
      <c r="X977" s="203"/>
      <c r="Y977" s="203"/>
      <c r="Z977" s="203"/>
    </row>
    <row r="978" ht="14.25" customHeight="1">
      <c r="A978" s="203"/>
      <c r="B978" s="203"/>
      <c r="C978" s="203"/>
      <c r="D978" s="203"/>
      <c r="E978" s="203"/>
      <c r="F978" s="203"/>
      <c r="G978" s="203"/>
      <c r="H978" s="203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  <c r="W978" s="203"/>
      <c r="X978" s="203"/>
      <c r="Y978" s="203"/>
      <c r="Z978" s="203"/>
    </row>
    <row r="979" ht="14.25" customHeight="1">
      <c r="A979" s="203"/>
      <c r="B979" s="203"/>
      <c r="C979" s="203"/>
      <c r="D979" s="203"/>
      <c r="E979" s="203"/>
      <c r="F979" s="203"/>
      <c r="G979" s="203"/>
      <c r="H979" s="203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  <c r="W979" s="203"/>
      <c r="X979" s="203"/>
      <c r="Y979" s="203"/>
      <c r="Z979" s="203"/>
    </row>
    <row r="980" ht="14.25" customHeight="1">
      <c r="A980" s="203"/>
      <c r="B980" s="203"/>
      <c r="C980" s="203"/>
      <c r="D980" s="203"/>
      <c r="E980" s="203"/>
      <c r="F980" s="203"/>
      <c r="G980" s="203"/>
      <c r="H980" s="203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  <c r="W980" s="203"/>
      <c r="X980" s="203"/>
      <c r="Y980" s="203"/>
      <c r="Z980" s="203"/>
    </row>
    <row r="981" ht="14.25" customHeight="1">
      <c r="A981" s="203"/>
      <c r="B981" s="203"/>
      <c r="C981" s="203"/>
      <c r="D981" s="203"/>
      <c r="E981" s="203"/>
      <c r="F981" s="203"/>
      <c r="G981" s="203"/>
      <c r="H981" s="203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  <c r="W981" s="203"/>
      <c r="X981" s="203"/>
      <c r="Y981" s="203"/>
      <c r="Z981" s="203"/>
    </row>
    <row r="982" ht="14.25" customHeight="1">
      <c r="A982" s="203"/>
      <c r="B982" s="203"/>
      <c r="C982" s="203"/>
      <c r="D982" s="203"/>
      <c r="E982" s="203"/>
      <c r="F982" s="203"/>
      <c r="G982" s="203"/>
      <c r="H982" s="203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  <c r="W982" s="203"/>
      <c r="X982" s="203"/>
      <c r="Y982" s="203"/>
      <c r="Z982" s="203"/>
    </row>
    <row r="983" ht="14.25" customHeight="1">
      <c r="A983" s="203"/>
      <c r="B983" s="203"/>
      <c r="C983" s="203"/>
      <c r="D983" s="203"/>
      <c r="E983" s="203"/>
      <c r="F983" s="203"/>
      <c r="G983" s="203"/>
      <c r="H983" s="203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  <c r="W983" s="203"/>
      <c r="X983" s="203"/>
      <c r="Y983" s="203"/>
      <c r="Z983" s="203"/>
    </row>
    <row r="984" ht="14.25" customHeight="1">
      <c r="A984" s="203"/>
      <c r="B984" s="203"/>
      <c r="C984" s="203"/>
      <c r="D984" s="203"/>
      <c r="E984" s="203"/>
      <c r="F984" s="203"/>
      <c r="G984" s="203"/>
      <c r="H984" s="203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  <c r="W984" s="203"/>
      <c r="X984" s="203"/>
      <c r="Y984" s="203"/>
      <c r="Z984" s="203"/>
    </row>
    <row r="985" ht="14.25" customHeight="1">
      <c r="A985" s="203"/>
      <c r="B985" s="203"/>
      <c r="C985" s="203"/>
      <c r="D985" s="203"/>
      <c r="E985" s="203"/>
      <c r="F985" s="203"/>
      <c r="G985" s="203"/>
      <c r="H985" s="203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  <c r="W985" s="203"/>
      <c r="X985" s="203"/>
      <c r="Y985" s="203"/>
      <c r="Z985" s="203"/>
    </row>
    <row r="986" ht="14.25" customHeight="1">
      <c r="A986" s="203"/>
      <c r="B986" s="203"/>
      <c r="C986" s="203"/>
      <c r="D986" s="203"/>
      <c r="E986" s="203"/>
      <c r="F986" s="203"/>
      <c r="G986" s="203"/>
      <c r="H986" s="203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  <c r="W986" s="203"/>
      <c r="X986" s="203"/>
      <c r="Y986" s="203"/>
      <c r="Z986" s="203"/>
    </row>
    <row r="987" ht="14.25" customHeight="1">
      <c r="A987" s="203"/>
      <c r="B987" s="203"/>
      <c r="C987" s="203"/>
      <c r="D987" s="203"/>
      <c r="E987" s="203"/>
      <c r="F987" s="203"/>
      <c r="G987" s="203"/>
      <c r="H987" s="203"/>
      <c r="I987" s="203"/>
      <c r="J987" s="203"/>
      <c r="K987" s="203"/>
      <c r="L987" s="203"/>
      <c r="M987" s="203"/>
      <c r="N987" s="203"/>
      <c r="O987" s="203"/>
      <c r="P987" s="203"/>
      <c r="Q987" s="203"/>
      <c r="R987" s="203"/>
      <c r="S987" s="203"/>
      <c r="T987" s="203"/>
      <c r="U987" s="203"/>
      <c r="V987" s="203"/>
      <c r="W987" s="203"/>
      <c r="X987" s="203"/>
      <c r="Y987" s="203"/>
      <c r="Z987" s="203"/>
    </row>
    <row r="988" ht="14.25" customHeight="1">
      <c r="A988" s="203"/>
      <c r="B988" s="203"/>
      <c r="C988" s="203"/>
      <c r="D988" s="203"/>
      <c r="E988" s="203"/>
      <c r="F988" s="203"/>
      <c r="G988" s="203"/>
      <c r="H988" s="203"/>
      <c r="I988" s="203"/>
      <c r="J988" s="203"/>
      <c r="K988" s="203"/>
      <c r="L988" s="203"/>
      <c r="M988" s="203"/>
      <c r="N988" s="203"/>
      <c r="O988" s="203"/>
      <c r="P988" s="203"/>
      <c r="Q988" s="203"/>
      <c r="R988" s="203"/>
      <c r="S988" s="203"/>
      <c r="T988" s="203"/>
      <c r="U988" s="203"/>
      <c r="V988" s="203"/>
      <c r="W988" s="203"/>
      <c r="X988" s="203"/>
      <c r="Y988" s="203"/>
      <c r="Z988" s="203"/>
    </row>
    <row r="989" ht="14.25" customHeight="1">
      <c r="A989" s="203"/>
      <c r="B989" s="203"/>
      <c r="C989" s="203"/>
      <c r="D989" s="203"/>
      <c r="E989" s="203"/>
      <c r="F989" s="203"/>
      <c r="G989" s="203"/>
      <c r="H989" s="203"/>
      <c r="I989" s="203"/>
      <c r="J989" s="203"/>
      <c r="K989" s="203"/>
      <c r="L989" s="203"/>
      <c r="M989" s="203"/>
      <c r="N989" s="203"/>
      <c r="O989" s="203"/>
      <c r="P989" s="203"/>
      <c r="Q989" s="203"/>
      <c r="R989" s="203"/>
      <c r="S989" s="203"/>
      <c r="T989" s="203"/>
      <c r="U989" s="203"/>
      <c r="V989" s="203"/>
      <c r="W989" s="203"/>
      <c r="X989" s="203"/>
      <c r="Y989" s="203"/>
      <c r="Z989" s="203"/>
    </row>
    <row r="990" ht="14.25" customHeight="1">
      <c r="A990" s="203"/>
      <c r="B990" s="203"/>
      <c r="C990" s="203"/>
      <c r="D990" s="203"/>
      <c r="E990" s="203"/>
      <c r="F990" s="203"/>
      <c r="G990" s="203"/>
      <c r="H990" s="203"/>
      <c r="I990" s="203"/>
      <c r="J990" s="203"/>
      <c r="K990" s="203"/>
      <c r="L990" s="203"/>
      <c r="M990" s="203"/>
      <c r="N990" s="203"/>
      <c r="O990" s="203"/>
      <c r="P990" s="203"/>
      <c r="Q990" s="203"/>
      <c r="R990" s="203"/>
      <c r="S990" s="203"/>
      <c r="T990" s="203"/>
      <c r="U990" s="203"/>
      <c r="V990" s="203"/>
      <c r="W990" s="203"/>
      <c r="X990" s="203"/>
      <c r="Y990" s="203"/>
      <c r="Z990" s="203"/>
    </row>
    <row r="991" ht="14.25" customHeight="1">
      <c r="A991" s="203"/>
      <c r="B991" s="203"/>
      <c r="C991" s="203"/>
      <c r="D991" s="203"/>
      <c r="E991" s="203"/>
      <c r="F991" s="203"/>
      <c r="G991" s="203"/>
      <c r="H991" s="203"/>
      <c r="I991" s="203"/>
      <c r="J991" s="203"/>
      <c r="K991" s="203"/>
      <c r="L991" s="203"/>
      <c r="M991" s="203"/>
      <c r="N991" s="203"/>
      <c r="O991" s="203"/>
      <c r="P991" s="203"/>
      <c r="Q991" s="203"/>
      <c r="R991" s="203"/>
      <c r="S991" s="203"/>
      <c r="T991" s="203"/>
      <c r="U991" s="203"/>
      <c r="V991" s="203"/>
      <c r="W991" s="203"/>
      <c r="X991" s="203"/>
      <c r="Y991" s="203"/>
      <c r="Z991" s="203"/>
    </row>
    <row r="992" ht="14.25" customHeight="1">
      <c r="A992" s="203"/>
      <c r="B992" s="203"/>
      <c r="C992" s="203"/>
      <c r="D992" s="203"/>
      <c r="E992" s="203"/>
      <c r="F992" s="203"/>
      <c r="G992" s="203"/>
      <c r="H992" s="203"/>
      <c r="I992" s="203"/>
      <c r="J992" s="203"/>
      <c r="K992" s="203"/>
      <c r="L992" s="203"/>
      <c r="M992" s="203"/>
      <c r="N992" s="203"/>
      <c r="O992" s="203"/>
      <c r="P992" s="203"/>
      <c r="Q992" s="203"/>
      <c r="R992" s="203"/>
      <c r="S992" s="203"/>
      <c r="T992" s="203"/>
      <c r="U992" s="203"/>
      <c r="V992" s="203"/>
      <c r="W992" s="203"/>
      <c r="X992" s="203"/>
      <c r="Y992" s="203"/>
      <c r="Z992" s="203"/>
    </row>
    <row r="993" ht="14.25" customHeight="1">
      <c r="A993" s="203"/>
      <c r="B993" s="203"/>
      <c r="C993" s="203"/>
      <c r="D993" s="203"/>
      <c r="E993" s="203"/>
      <c r="F993" s="203"/>
      <c r="G993" s="203"/>
      <c r="H993" s="203"/>
      <c r="I993" s="203"/>
      <c r="J993" s="203"/>
      <c r="K993" s="203"/>
      <c r="L993" s="203"/>
      <c r="M993" s="203"/>
      <c r="N993" s="203"/>
      <c r="O993" s="203"/>
      <c r="P993" s="203"/>
      <c r="Q993" s="203"/>
      <c r="R993" s="203"/>
      <c r="S993" s="203"/>
      <c r="T993" s="203"/>
      <c r="U993" s="203"/>
      <c r="V993" s="203"/>
      <c r="W993" s="203"/>
      <c r="X993" s="203"/>
      <c r="Y993" s="203"/>
      <c r="Z993" s="203"/>
    </row>
    <row r="994" ht="14.25" customHeight="1">
      <c r="A994" s="203"/>
      <c r="B994" s="203"/>
      <c r="C994" s="203"/>
      <c r="D994" s="203"/>
      <c r="E994" s="203"/>
      <c r="F994" s="203"/>
      <c r="G994" s="203"/>
      <c r="H994" s="203"/>
      <c r="I994" s="203"/>
      <c r="J994" s="203"/>
      <c r="K994" s="203"/>
      <c r="L994" s="203"/>
      <c r="M994" s="203"/>
      <c r="N994" s="203"/>
      <c r="O994" s="203"/>
      <c r="P994" s="203"/>
      <c r="Q994" s="203"/>
      <c r="R994" s="203"/>
      <c r="S994" s="203"/>
      <c r="T994" s="203"/>
      <c r="U994" s="203"/>
      <c r="V994" s="203"/>
      <c r="W994" s="203"/>
      <c r="X994" s="203"/>
      <c r="Y994" s="203"/>
      <c r="Z994" s="203"/>
    </row>
    <row r="995" ht="14.25" customHeight="1">
      <c r="A995" s="203"/>
      <c r="B995" s="203"/>
      <c r="C995" s="203"/>
      <c r="D995" s="203"/>
      <c r="E995" s="203"/>
      <c r="F995" s="203"/>
      <c r="G995" s="203"/>
      <c r="H995" s="203"/>
      <c r="I995" s="203"/>
      <c r="J995" s="203"/>
      <c r="K995" s="203"/>
      <c r="L995" s="203"/>
      <c r="M995" s="203"/>
      <c r="N995" s="203"/>
      <c r="O995" s="203"/>
      <c r="P995" s="203"/>
      <c r="Q995" s="203"/>
      <c r="R995" s="203"/>
      <c r="S995" s="203"/>
      <c r="T995" s="203"/>
      <c r="U995" s="203"/>
      <c r="V995" s="203"/>
      <c r="W995" s="203"/>
      <c r="X995" s="203"/>
      <c r="Y995" s="203"/>
      <c r="Z995" s="203"/>
    </row>
    <row r="996" ht="14.25" customHeight="1">
      <c r="A996" s="203"/>
      <c r="B996" s="203"/>
      <c r="C996" s="203"/>
      <c r="D996" s="203"/>
      <c r="E996" s="203"/>
      <c r="F996" s="203"/>
      <c r="G996" s="203"/>
      <c r="H996" s="203"/>
      <c r="I996" s="203"/>
      <c r="J996" s="203"/>
      <c r="K996" s="203"/>
      <c r="L996" s="203"/>
      <c r="M996" s="203"/>
      <c r="N996" s="203"/>
      <c r="O996" s="203"/>
      <c r="P996" s="203"/>
      <c r="Q996" s="203"/>
      <c r="R996" s="203"/>
      <c r="S996" s="203"/>
      <c r="T996" s="203"/>
      <c r="U996" s="203"/>
      <c r="V996" s="203"/>
      <c r="W996" s="203"/>
      <c r="X996" s="203"/>
      <c r="Y996" s="203"/>
      <c r="Z996" s="203"/>
    </row>
    <row r="997" ht="14.25" customHeight="1">
      <c r="A997" s="203"/>
      <c r="B997" s="203"/>
      <c r="C997" s="203"/>
      <c r="D997" s="203"/>
      <c r="E997" s="203"/>
      <c r="F997" s="203"/>
      <c r="G997" s="203"/>
      <c r="H997" s="203"/>
      <c r="I997" s="203"/>
      <c r="J997" s="203"/>
      <c r="K997" s="203"/>
      <c r="L997" s="203"/>
      <c r="M997" s="203"/>
      <c r="N997" s="203"/>
      <c r="O997" s="203"/>
      <c r="P997" s="203"/>
      <c r="Q997" s="203"/>
      <c r="R997" s="203"/>
      <c r="S997" s="203"/>
      <c r="T997" s="203"/>
      <c r="U997" s="203"/>
      <c r="V997" s="203"/>
      <c r="W997" s="203"/>
      <c r="X997" s="203"/>
      <c r="Y997" s="203"/>
      <c r="Z997" s="203"/>
    </row>
    <row r="998" ht="14.25" customHeight="1">
      <c r="A998" s="203"/>
      <c r="B998" s="203"/>
      <c r="C998" s="203"/>
      <c r="D998" s="203"/>
      <c r="E998" s="203"/>
      <c r="F998" s="203"/>
      <c r="G998" s="203"/>
      <c r="H998" s="203"/>
      <c r="I998" s="203"/>
      <c r="J998" s="203"/>
      <c r="K998" s="203"/>
      <c r="L998" s="203"/>
      <c r="M998" s="203"/>
      <c r="N998" s="203"/>
      <c r="O998" s="203"/>
      <c r="P998" s="203"/>
      <c r="Q998" s="203"/>
      <c r="R998" s="203"/>
      <c r="S998" s="203"/>
      <c r="T998" s="203"/>
      <c r="U998" s="203"/>
      <c r="V998" s="203"/>
      <c r="W998" s="203"/>
      <c r="X998" s="203"/>
      <c r="Y998" s="203"/>
      <c r="Z998" s="203"/>
    </row>
    <row r="999" ht="14.25" customHeight="1">
      <c r="A999" s="203"/>
      <c r="B999" s="203"/>
      <c r="C999" s="203"/>
      <c r="D999" s="203"/>
      <c r="E999" s="203"/>
      <c r="F999" s="203"/>
      <c r="G999" s="203"/>
      <c r="H999" s="203"/>
      <c r="I999" s="203"/>
      <c r="J999" s="203"/>
      <c r="K999" s="203"/>
      <c r="L999" s="203"/>
      <c r="M999" s="203"/>
      <c r="N999" s="203"/>
      <c r="O999" s="203"/>
      <c r="P999" s="203"/>
      <c r="Q999" s="203"/>
      <c r="R999" s="203"/>
      <c r="S999" s="203"/>
      <c r="T999" s="203"/>
      <c r="U999" s="203"/>
      <c r="V999" s="203"/>
      <c r="W999" s="203"/>
      <c r="X999" s="203"/>
      <c r="Y999" s="203"/>
      <c r="Z999" s="203"/>
    </row>
    <row r="1000" ht="14.25" customHeight="1">
      <c r="A1000" s="203"/>
      <c r="B1000" s="203"/>
      <c r="C1000" s="203"/>
      <c r="D1000" s="203"/>
      <c r="E1000" s="203"/>
      <c r="F1000" s="203"/>
      <c r="G1000" s="203"/>
      <c r="H1000" s="203"/>
      <c r="I1000" s="203"/>
      <c r="J1000" s="203"/>
      <c r="K1000" s="203"/>
      <c r="L1000" s="203"/>
      <c r="M1000" s="203"/>
      <c r="N1000" s="203"/>
      <c r="O1000" s="203"/>
      <c r="P1000" s="203"/>
      <c r="Q1000" s="203"/>
      <c r="R1000" s="203"/>
      <c r="S1000" s="203"/>
      <c r="T1000" s="203"/>
      <c r="U1000" s="203"/>
      <c r="V1000" s="203"/>
      <c r="W1000" s="203"/>
      <c r="X1000" s="203"/>
      <c r="Y1000" s="203"/>
      <c r="Z1000" s="203"/>
    </row>
  </sheetData>
  <conditionalFormatting sqref="D2:D3">
    <cfRule type="cellIs" dxfId="20" priority="1" operator="equal">
      <formula>"Low"</formula>
    </cfRule>
  </conditionalFormatting>
  <conditionalFormatting sqref="D2:D3">
    <cfRule type="cellIs" dxfId="21" priority="2" operator="equal">
      <formula>"Medium"</formula>
    </cfRule>
  </conditionalFormatting>
  <conditionalFormatting sqref="D2:D3">
    <cfRule type="cellIs" dxfId="6" priority="3" operator="equal">
      <formula>"High"</formula>
    </cfRule>
  </conditionalFormatting>
  <conditionalFormatting sqref="G2:G3">
    <cfRule type="cellIs" dxfId="22" priority="4" operator="equal">
      <formula>"Closed"</formula>
    </cfRule>
  </conditionalFormatting>
  <conditionalFormatting sqref="G2:G3">
    <cfRule type="cellIs" dxfId="23" priority="5" operator="equal">
      <formula>"Deferred"</formula>
    </cfRule>
  </conditionalFormatting>
  <conditionalFormatting sqref="G2:G3">
    <cfRule type="cellIs" dxfId="24" priority="6" operator="equal">
      <formula>"Reopened"</formula>
    </cfRule>
  </conditionalFormatting>
  <conditionalFormatting sqref="G2:G3">
    <cfRule type="cellIs" dxfId="25" priority="7" operator="equal">
      <formula>"Retested"</formula>
    </cfRule>
  </conditionalFormatting>
  <conditionalFormatting sqref="G2:G3">
    <cfRule type="cellIs" dxfId="26" priority="8" operator="equal">
      <formula>"Fixed"</formula>
    </cfRule>
  </conditionalFormatting>
  <conditionalFormatting sqref="G2:G3">
    <cfRule type="cellIs" dxfId="27" priority="9" operator="equal">
      <formula>"In Progress"</formula>
    </cfRule>
  </conditionalFormatting>
  <conditionalFormatting sqref="G2:G3">
    <cfRule type="cellIs" dxfId="28" priority="10" operator="equal">
      <formula>"Opened"</formula>
    </cfRule>
  </conditionalFormatting>
  <dataValidations>
    <dataValidation type="list" allowBlank="1" showErrorMessage="1" sqref="D2:D3">
      <formula1>"High,Medium,Low"</formula1>
    </dataValidation>
    <dataValidation type="list" allowBlank="1" sqref="G2:G3">
      <formula1>"Opened,In Progress,Fixed,Retested,Reopened,Deferred,Closed"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8.63"/>
    <col customWidth="1" min="2" max="2" width="95.88"/>
    <col customWidth="1" min="3" max="3" width="50.88"/>
    <col customWidth="1" min="4" max="4" width="61.75"/>
    <col customWidth="1" min="5" max="6" width="44.0"/>
    <col customWidth="1" min="7" max="26" width="8.63"/>
  </cols>
  <sheetData>
    <row r="1">
      <c r="A1" s="201" t="s">
        <v>1</v>
      </c>
      <c r="B1" s="202" t="s">
        <v>1267</v>
      </c>
      <c r="C1" s="204" t="s">
        <v>1268</v>
      </c>
      <c r="D1" s="205" t="s">
        <v>25</v>
      </c>
      <c r="E1" s="206" t="s">
        <v>1269</v>
      </c>
      <c r="F1" s="207"/>
      <c r="G1" s="117"/>
    </row>
    <row r="2">
      <c r="A2" s="208">
        <v>1.0</v>
      </c>
      <c r="B2" s="209" t="s">
        <v>1270</v>
      </c>
      <c r="C2" s="210" t="s">
        <v>1271</v>
      </c>
      <c r="D2" s="211"/>
      <c r="E2" s="212"/>
      <c r="F2" s="213"/>
      <c r="G2" s="117"/>
    </row>
    <row r="3">
      <c r="A3" s="214">
        <v>2.0</v>
      </c>
      <c r="B3" s="215" t="s">
        <v>1272</v>
      </c>
      <c r="C3" s="216" t="s">
        <v>1273</v>
      </c>
      <c r="D3" s="217"/>
      <c r="E3" s="218"/>
      <c r="F3" s="213"/>
      <c r="G3" s="117"/>
    </row>
    <row r="4" ht="63.0" customHeight="1">
      <c r="A4" s="219"/>
      <c r="B4" s="219"/>
      <c r="C4" s="220"/>
      <c r="D4" s="221"/>
      <c r="E4" s="222"/>
      <c r="F4" s="213"/>
      <c r="G4" s="117"/>
    </row>
    <row r="5" ht="63.0" customHeight="1">
      <c r="C5" s="223"/>
      <c r="D5" s="117"/>
      <c r="E5" s="213"/>
      <c r="F5" s="213"/>
      <c r="G5" s="117"/>
    </row>
    <row r="6">
      <c r="C6" s="224"/>
      <c r="D6" s="117"/>
      <c r="E6" s="213"/>
      <c r="F6" s="213"/>
      <c r="G6" s="117"/>
    </row>
    <row r="7">
      <c r="C7" s="224"/>
      <c r="D7" s="117"/>
      <c r="E7" s="213"/>
      <c r="F7" s="213"/>
      <c r="G7" s="117"/>
    </row>
    <row r="8">
      <c r="C8" s="223"/>
      <c r="D8" s="117"/>
      <c r="E8" s="213"/>
      <c r="F8" s="213"/>
      <c r="G8" s="117"/>
    </row>
    <row r="9">
      <c r="C9" s="224"/>
      <c r="D9" s="117"/>
      <c r="E9" s="213"/>
      <c r="F9" s="213"/>
      <c r="G9" s="117"/>
    </row>
    <row r="10">
      <c r="C10" s="223"/>
      <c r="D10" s="225"/>
      <c r="E10" s="213"/>
      <c r="F10" s="213"/>
      <c r="G10" s="117"/>
    </row>
    <row r="11">
      <c r="C11" s="224"/>
      <c r="D11" s="117"/>
      <c r="E11" s="213"/>
      <c r="F11" s="213"/>
      <c r="G11" s="117"/>
    </row>
    <row r="12">
      <c r="C12" s="224"/>
      <c r="D12" s="117"/>
      <c r="E12" s="213"/>
      <c r="F12" s="213"/>
      <c r="G12" s="117"/>
    </row>
    <row r="13">
      <c r="C13" s="224"/>
      <c r="D13" s="117"/>
      <c r="E13" s="213"/>
      <c r="F13" s="213"/>
      <c r="G13" s="117"/>
    </row>
    <row r="14">
      <c r="C14" s="224"/>
      <c r="D14" s="117"/>
      <c r="E14" s="213"/>
      <c r="F14" s="213"/>
      <c r="G14" s="117"/>
    </row>
    <row r="15">
      <c r="C15" s="224"/>
      <c r="D15" s="117"/>
      <c r="E15" s="213"/>
      <c r="F15" s="213"/>
      <c r="G15" s="117"/>
    </row>
    <row r="16">
      <c r="C16" s="224"/>
      <c r="D16" s="117"/>
      <c r="E16" s="213"/>
      <c r="F16" s="213"/>
      <c r="G16" s="117"/>
    </row>
    <row r="17">
      <c r="C17" s="224"/>
      <c r="D17" s="117"/>
      <c r="E17" s="213"/>
      <c r="F17" s="213"/>
      <c r="G17" s="117"/>
    </row>
    <row r="18">
      <c r="C18" s="224"/>
      <c r="D18" s="117"/>
      <c r="E18" s="213"/>
      <c r="F18" s="213"/>
      <c r="G18" s="117"/>
    </row>
    <row r="19">
      <c r="C19" s="224"/>
      <c r="D19" s="117"/>
      <c r="E19" s="213"/>
      <c r="F19" s="213"/>
      <c r="G19" s="117"/>
    </row>
    <row r="20">
      <c r="C20" s="224"/>
      <c r="D20" s="117"/>
      <c r="E20" s="213"/>
      <c r="F20" s="213"/>
      <c r="G20" s="117"/>
    </row>
    <row r="21" ht="15.75" customHeight="1">
      <c r="C21" s="224"/>
      <c r="D21" s="117"/>
      <c r="E21" s="213"/>
      <c r="F21" s="213"/>
      <c r="G21" s="117"/>
    </row>
    <row r="22" ht="15.75" customHeight="1">
      <c r="C22" s="224"/>
      <c r="D22" s="117"/>
      <c r="E22" s="213"/>
      <c r="F22" s="213"/>
      <c r="G22" s="117"/>
    </row>
    <row r="23" ht="15.75" customHeight="1">
      <c r="C23" s="224"/>
      <c r="D23" s="117"/>
      <c r="E23" s="213"/>
      <c r="F23" s="213"/>
      <c r="G23" s="117"/>
    </row>
    <row r="24" ht="15.75" customHeight="1">
      <c r="C24" s="224"/>
      <c r="D24" s="117"/>
      <c r="E24" s="213"/>
      <c r="F24" s="213"/>
      <c r="G24" s="117"/>
    </row>
    <row r="25" ht="15.75" customHeight="1">
      <c r="C25" s="224"/>
      <c r="D25" s="117"/>
      <c r="E25" s="213"/>
      <c r="F25" s="213"/>
      <c r="G25" s="117"/>
    </row>
    <row r="26" ht="15.75" customHeight="1">
      <c r="C26" s="224"/>
      <c r="D26" s="117"/>
      <c r="E26" s="213"/>
      <c r="F26" s="213"/>
      <c r="G26" s="117"/>
    </row>
    <row r="27" ht="15.75" customHeight="1">
      <c r="C27" s="224"/>
      <c r="D27" s="117"/>
      <c r="E27" s="213"/>
      <c r="F27" s="213"/>
      <c r="G27" s="117"/>
    </row>
    <row r="28" ht="15.75" customHeight="1">
      <c r="C28" s="224"/>
      <c r="D28" s="117"/>
      <c r="E28" s="213"/>
      <c r="F28" s="213"/>
      <c r="G28" s="117"/>
    </row>
    <row r="29" ht="15.75" customHeight="1">
      <c r="C29" s="224"/>
      <c r="D29" s="117"/>
      <c r="E29" s="213"/>
      <c r="F29" s="213"/>
      <c r="G29" s="117"/>
    </row>
    <row r="30" ht="15.75" customHeight="1">
      <c r="C30" s="224"/>
      <c r="D30" s="117"/>
      <c r="E30" s="213"/>
      <c r="F30" s="213"/>
      <c r="G30" s="117"/>
    </row>
    <row r="31" ht="15.75" customHeight="1">
      <c r="C31" s="224"/>
      <c r="D31" s="117"/>
      <c r="E31" s="213"/>
      <c r="F31" s="213"/>
      <c r="G31" s="117"/>
    </row>
    <row r="32" ht="15.75" customHeight="1">
      <c r="C32" s="224"/>
      <c r="D32" s="117"/>
      <c r="E32" s="213"/>
      <c r="F32" s="213"/>
      <c r="G32" s="117"/>
    </row>
    <row r="33" ht="15.75" customHeight="1">
      <c r="C33" s="224"/>
      <c r="D33" s="117"/>
      <c r="E33" s="213"/>
      <c r="F33" s="213"/>
      <c r="G33" s="117"/>
    </row>
    <row r="34" ht="15.75" customHeight="1">
      <c r="C34" s="224"/>
      <c r="D34" s="117"/>
      <c r="E34" s="213"/>
      <c r="F34" s="213"/>
      <c r="G34" s="117"/>
    </row>
    <row r="35" ht="15.75" customHeight="1">
      <c r="C35" s="224"/>
      <c r="D35" s="117"/>
      <c r="E35" s="213"/>
      <c r="F35" s="213"/>
      <c r="G35" s="117"/>
    </row>
    <row r="36" ht="15.75" customHeight="1">
      <c r="C36" s="224"/>
      <c r="D36" s="117"/>
      <c r="E36" s="213"/>
      <c r="F36" s="213"/>
      <c r="G36" s="117"/>
    </row>
    <row r="37" ht="15.75" customHeight="1">
      <c r="C37" s="224"/>
      <c r="D37" s="117"/>
      <c r="E37" s="213"/>
      <c r="F37" s="213"/>
      <c r="G37" s="117"/>
    </row>
    <row r="38" ht="15.75" customHeight="1">
      <c r="C38" s="224"/>
      <c r="D38" s="117"/>
      <c r="E38" s="213"/>
      <c r="F38" s="213"/>
      <c r="G38" s="117"/>
    </row>
    <row r="39" ht="15.75" customHeight="1">
      <c r="C39" s="224"/>
      <c r="D39" s="117"/>
      <c r="E39" s="213"/>
      <c r="F39" s="213"/>
      <c r="G39" s="117"/>
    </row>
    <row r="40" ht="15.75" customHeight="1">
      <c r="C40" s="224"/>
      <c r="D40" s="117"/>
      <c r="E40" s="213"/>
      <c r="F40" s="213"/>
      <c r="G40" s="117"/>
    </row>
    <row r="41" ht="15.75" customHeight="1">
      <c r="C41" s="224"/>
      <c r="D41" s="117"/>
      <c r="E41" s="213"/>
      <c r="F41" s="213"/>
      <c r="G41" s="117"/>
    </row>
    <row r="42" ht="15.75" customHeight="1">
      <c r="C42" s="224"/>
      <c r="D42" s="117"/>
      <c r="E42" s="213"/>
      <c r="F42" s="213"/>
      <c r="G42" s="117"/>
    </row>
    <row r="43" ht="15.75" customHeight="1">
      <c r="C43" s="224"/>
      <c r="D43" s="117"/>
      <c r="E43" s="213"/>
      <c r="F43" s="213"/>
      <c r="G43" s="117"/>
    </row>
    <row r="44" ht="15.75" customHeight="1">
      <c r="C44" s="224"/>
      <c r="D44" s="117"/>
      <c r="E44" s="213"/>
      <c r="F44" s="213"/>
      <c r="G44" s="117"/>
    </row>
    <row r="45" ht="15.75" customHeight="1">
      <c r="C45" s="224"/>
      <c r="D45" s="117"/>
      <c r="E45" s="213"/>
      <c r="F45" s="213"/>
      <c r="G45" s="117"/>
    </row>
    <row r="46" ht="15.75" customHeight="1">
      <c r="C46" s="224"/>
      <c r="D46" s="117"/>
      <c r="E46" s="213"/>
      <c r="F46" s="213"/>
      <c r="G46" s="117"/>
    </row>
    <row r="47" ht="15.75" customHeight="1">
      <c r="C47" s="224"/>
      <c r="D47" s="117"/>
      <c r="E47" s="213"/>
      <c r="F47" s="213"/>
      <c r="G47" s="117"/>
    </row>
    <row r="48" ht="15.75" customHeight="1">
      <c r="C48" s="224"/>
      <c r="D48" s="117"/>
      <c r="E48" s="213"/>
      <c r="F48" s="213"/>
      <c r="G48" s="117"/>
    </row>
    <row r="49" ht="15.75" customHeight="1">
      <c r="C49" s="224"/>
      <c r="D49" s="117"/>
      <c r="E49" s="213"/>
      <c r="F49" s="213"/>
      <c r="G49" s="117"/>
    </row>
    <row r="50" ht="15.75" customHeight="1">
      <c r="C50" s="224"/>
      <c r="D50" s="117"/>
      <c r="E50" s="213"/>
      <c r="F50" s="213"/>
      <c r="G50" s="117"/>
    </row>
    <row r="51" ht="15.75" customHeight="1">
      <c r="C51" s="224"/>
      <c r="D51" s="117"/>
      <c r="E51" s="213"/>
      <c r="F51" s="213"/>
      <c r="G51" s="117"/>
    </row>
    <row r="52" ht="15.75" customHeight="1">
      <c r="C52" s="224"/>
      <c r="D52" s="117"/>
      <c r="E52" s="213"/>
      <c r="F52" s="213"/>
      <c r="G52" s="117"/>
    </row>
    <row r="53" ht="15.75" customHeight="1">
      <c r="C53" s="224"/>
      <c r="D53" s="117"/>
      <c r="E53" s="213"/>
      <c r="F53" s="213"/>
      <c r="G53" s="117"/>
    </row>
    <row r="54" ht="15.75" customHeight="1">
      <c r="C54" s="224"/>
      <c r="D54" s="117"/>
      <c r="E54" s="213"/>
      <c r="F54" s="213"/>
      <c r="G54" s="117"/>
    </row>
    <row r="55" ht="15.75" customHeight="1">
      <c r="C55" s="224"/>
      <c r="D55" s="117"/>
      <c r="E55" s="213"/>
      <c r="F55" s="213"/>
      <c r="G55" s="117"/>
    </row>
    <row r="56" ht="15.75" customHeight="1">
      <c r="C56" s="224"/>
      <c r="D56" s="117"/>
      <c r="E56" s="213"/>
      <c r="F56" s="213"/>
      <c r="G56" s="117"/>
    </row>
    <row r="57" ht="15.75" customHeight="1">
      <c r="C57" s="224"/>
      <c r="D57" s="117"/>
      <c r="E57" s="213"/>
      <c r="F57" s="213"/>
      <c r="G57" s="117"/>
    </row>
    <row r="58" ht="15.75" customHeight="1">
      <c r="C58" s="224"/>
      <c r="D58" s="117"/>
      <c r="E58" s="213"/>
      <c r="F58" s="213"/>
      <c r="G58" s="117"/>
    </row>
    <row r="59" ht="15.75" customHeight="1">
      <c r="C59" s="224"/>
      <c r="D59" s="117"/>
      <c r="E59" s="213"/>
      <c r="F59" s="213"/>
      <c r="G59" s="117"/>
    </row>
    <row r="60" ht="15.75" customHeight="1">
      <c r="C60" s="224"/>
      <c r="D60" s="117"/>
      <c r="E60" s="213"/>
      <c r="F60" s="213"/>
      <c r="G60" s="117"/>
    </row>
    <row r="61" ht="15.75" customHeight="1">
      <c r="C61" s="224"/>
      <c r="D61" s="117"/>
      <c r="E61" s="213"/>
      <c r="F61" s="213"/>
      <c r="G61" s="117"/>
    </row>
    <row r="62" ht="15.75" customHeight="1">
      <c r="C62" s="224"/>
      <c r="D62" s="117"/>
      <c r="E62" s="213"/>
      <c r="F62" s="213"/>
      <c r="G62" s="117"/>
    </row>
    <row r="63" ht="15.75" customHeight="1">
      <c r="C63" s="224"/>
      <c r="D63" s="117"/>
      <c r="E63" s="213"/>
      <c r="F63" s="213"/>
      <c r="G63" s="117"/>
    </row>
    <row r="64" ht="15.75" customHeight="1">
      <c r="C64" s="224"/>
      <c r="D64" s="117"/>
      <c r="E64" s="213"/>
      <c r="F64" s="213"/>
      <c r="G64" s="117"/>
    </row>
    <row r="65" ht="15.75" customHeight="1">
      <c r="C65" s="224"/>
      <c r="D65" s="117"/>
      <c r="E65" s="213"/>
      <c r="F65" s="213"/>
      <c r="G65" s="117"/>
    </row>
    <row r="66" ht="15.75" customHeight="1">
      <c r="C66" s="224"/>
      <c r="D66" s="117"/>
      <c r="E66" s="213"/>
      <c r="F66" s="213"/>
      <c r="G66" s="117"/>
    </row>
    <row r="67" ht="15.75" customHeight="1">
      <c r="C67" s="224"/>
      <c r="D67" s="117"/>
      <c r="E67" s="213"/>
      <c r="F67" s="213"/>
      <c r="G67" s="117"/>
    </row>
    <row r="68" ht="15.75" customHeight="1">
      <c r="C68" s="224"/>
      <c r="D68" s="117"/>
      <c r="E68" s="213"/>
      <c r="F68" s="213"/>
      <c r="G68" s="117"/>
    </row>
    <row r="69" ht="15.75" customHeight="1">
      <c r="C69" s="224"/>
      <c r="D69" s="117"/>
      <c r="E69" s="213"/>
      <c r="F69" s="213"/>
      <c r="G69" s="117"/>
    </row>
    <row r="70" ht="15.75" customHeight="1">
      <c r="C70" s="224"/>
      <c r="D70" s="117"/>
      <c r="E70" s="213"/>
      <c r="F70" s="213"/>
      <c r="G70" s="117"/>
    </row>
    <row r="71" ht="15.75" customHeight="1">
      <c r="C71" s="224"/>
      <c r="D71" s="117"/>
      <c r="E71" s="213"/>
      <c r="F71" s="213"/>
      <c r="G71" s="117"/>
    </row>
    <row r="72" ht="15.75" customHeight="1">
      <c r="C72" s="224"/>
      <c r="D72" s="117"/>
      <c r="E72" s="213"/>
      <c r="F72" s="213"/>
      <c r="G72" s="117"/>
    </row>
    <row r="73" ht="15.75" customHeight="1">
      <c r="C73" s="224"/>
      <c r="D73" s="117"/>
      <c r="E73" s="213"/>
      <c r="F73" s="213"/>
      <c r="G73" s="117"/>
    </row>
    <row r="74" ht="15.75" customHeight="1">
      <c r="C74" s="224"/>
      <c r="D74" s="117"/>
      <c r="E74" s="213"/>
      <c r="F74" s="213"/>
      <c r="G74" s="117"/>
    </row>
    <row r="75" ht="15.75" customHeight="1">
      <c r="C75" s="224"/>
      <c r="D75" s="117"/>
      <c r="E75" s="213"/>
      <c r="F75" s="213"/>
      <c r="G75" s="117"/>
    </row>
    <row r="76" ht="15.75" customHeight="1">
      <c r="C76" s="224"/>
      <c r="D76" s="117"/>
      <c r="E76" s="213"/>
      <c r="F76" s="213"/>
      <c r="G76" s="117"/>
    </row>
    <row r="77" ht="15.75" customHeight="1">
      <c r="C77" s="224"/>
      <c r="D77" s="117"/>
      <c r="E77" s="213"/>
      <c r="F77" s="213"/>
      <c r="G77" s="117"/>
    </row>
    <row r="78" ht="15.75" customHeight="1">
      <c r="C78" s="224"/>
      <c r="D78" s="117"/>
      <c r="E78" s="213"/>
      <c r="F78" s="213"/>
      <c r="G78" s="117"/>
    </row>
    <row r="79" ht="15.75" customHeight="1">
      <c r="C79" s="224"/>
      <c r="D79" s="117"/>
      <c r="E79" s="213"/>
      <c r="F79" s="213"/>
      <c r="G79" s="117"/>
    </row>
    <row r="80" ht="15.75" customHeight="1">
      <c r="C80" s="224"/>
      <c r="D80" s="117"/>
      <c r="E80" s="213"/>
      <c r="F80" s="213"/>
      <c r="G80" s="117"/>
    </row>
    <row r="81" ht="15.75" customHeight="1">
      <c r="C81" s="224"/>
      <c r="D81" s="117"/>
      <c r="E81" s="213"/>
      <c r="F81" s="213"/>
      <c r="G81" s="117"/>
    </row>
    <row r="82" ht="15.75" customHeight="1">
      <c r="C82" s="224"/>
      <c r="D82" s="117"/>
      <c r="E82" s="213"/>
      <c r="F82" s="213"/>
      <c r="G82" s="117"/>
    </row>
    <row r="83" ht="15.75" customHeight="1">
      <c r="C83" s="224"/>
      <c r="D83" s="117"/>
      <c r="E83" s="213"/>
      <c r="F83" s="213"/>
      <c r="G83" s="117"/>
    </row>
    <row r="84" ht="15.75" customHeight="1">
      <c r="C84" s="224"/>
      <c r="D84" s="117"/>
      <c r="E84" s="213"/>
      <c r="F84" s="213"/>
      <c r="G84" s="117"/>
    </row>
    <row r="85" ht="15.75" customHeight="1">
      <c r="C85" s="224"/>
      <c r="D85" s="117"/>
      <c r="E85" s="213"/>
      <c r="F85" s="213"/>
      <c r="G85" s="117"/>
    </row>
    <row r="86" ht="15.75" customHeight="1">
      <c r="C86" s="224"/>
      <c r="D86" s="117"/>
      <c r="E86" s="213"/>
      <c r="F86" s="213"/>
      <c r="G86" s="117"/>
    </row>
    <row r="87" ht="15.75" customHeight="1">
      <c r="C87" s="224"/>
      <c r="D87" s="117"/>
      <c r="E87" s="213"/>
      <c r="F87" s="213"/>
      <c r="G87" s="117"/>
    </row>
    <row r="88" ht="15.75" customHeight="1">
      <c r="C88" s="224"/>
      <c r="D88" s="117"/>
      <c r="E88" s="213"/>
      <c r="F88" s="213"/>
      <c r="G88" s="117"/>
    </row>
    <row r="89" ht="15.75" customHeight="1">
      <c r="C89" s="224"/>
      <c r="D89" s="117"/>
      <c r="E89" s="213"/>
      <c r="F89" s="213"/>
      <c r="G89" s="117"/>
    </row>
    <row r="90" ht="15.75" customHeight="1">
      <c r="C90" s="224"/>
      <c r="D90" s="117"/>
      <c r="E90" s="213"/>
      <c r="F90" s="213"/>
      <c r="G90" s="117"/>
    </row>
    <row r="91" ht="15.75" customHeight="1">
      <c r="C91" s="224"/>
      <c r="D91" s="117"/>
      <c r="E91" s="213"/>
      <c r="F91" s="213"/>
      <c r="G91" s="117"/>
    </row>
    <row r="92" ht="15.75" customHeight="1">
      <c r="C92" s="224"/>
      <c r="D92" s="117"/>
      <c r="E92" s="213"/>
      <c r="F92" s="213"/>
      <c r="G92" s="117"/>
    </row>
    <row r="93" ht="15.75" customHeight="1">
      <c r="C93" s="224"/>
      <c r="D93" s="117"/>
      <c r="E93" s="213"/>
      <c r="F93" s="213"/>
      <c r="G93" s="117"/>
    </row>
    <row r="94" ht="15.75" customHeight="1">
      <c r="C94" s="224"/>
      <c r="D94" s="117"/>
      <c r="E94" s="213"/>
      <c r="F94" s="213"/>
      <c r="G94" s="117"/>
    </row>
    <row r="95" ht="15.75" customHeight="1">
      <c r="C95" s="224"/>
      <c r="D95" s="117"/>
      <c r="E95" s="213"/>
      <c r="F95" s="213"/>
      <c r="G95" s="117"/>
    </row>
    <row r="96" ht="15.75" customHeight="1">
      <c r="C96" s="224"/>
      <c r="D96" s="117"/>
      <c r="E96" s="213"/>
      <c r="F96" s="213"/>
      <c r="G96" s="117"/>
    </row>
    <row r="97" ht="15.75" customHeight="1">
      <c r="C97" s="224"/>
      <c r="D97" s="117"/>
      <c r="E97" s="213"/>
      <c r="F97" s="213"/>
      <c r="G97" s="117"/>
    </row>
    <row r="98" ht="15.75" customHeight="1">
      <c r="C98" s="224"/>
      <c r="D98" s="117"/>
      <c r="E98" s="213"/>
      <c r="F98" s="213"/>
      <c r="G98" s="117"/>
    </row>
    <row r="99" ht="15.75" customHeight="1">
      <c r="C99" s="224"/>
      <c r="D99" s="117"/>
      <c r="E99" s="213"/>
      <c r="F99" s="213"/>
      <c r="G99" s="117"/>
    </row>
    <row r="100" ht="15.75" customHeight="1">
      <c r="C100" s="224"/>
      <c r="D100" s="117"/>
      <c r="E100" s="213"/>
      <c r="F100" s="213"/>
      <c r="G100" s="117"/>
    </row>
    <row r="101" ht="15.75" customHeight="1">
      <c r="C101" s="224"/>
      <c r="D101" s="117"/>
      <c r="E101" s="213"/>
      <c r="F101" s="213"/>
      <c r="G101" s="117"/>
    </row>
    <row r="102" ht="15.75" customHeight="1">
      <c r="C102" s="224"/>
      <c r="D102" s="117"/>
      <c r="E102" s="213"/>
      <c r="F102" s="213"/>
      <c r="G102" s="117"/>
    </row>
    <row r="103" ht="15.75" customHeight="1">
      <c r="C103" s="224"/>
      <c r="D103" s="117"/>
      <c r="E103" s="213"/>
      <c r="F103" s="213"/>
      <c r="G103" s="117"/>
    </row>
    <row r="104" ht="15.75" customHeight="1">
      <c r="C104" s="224"/>
      <c r="D104" s="117"/>
      <c r="E104" s="213"/>
      <c r="F104" s="213"/>
      <c r="G104" s="117"/>
    </row>
    <row r="105" ht="15.75" customHeight="1">
      <c r="C105" s="224"/>
      <c r="D105" s="117"/>
      <c r="E105" s="213"/>
      <c r="F105" s="213"/>
      <c r="G105" s="117"/>
    </row>
    <row r="106" ht="15.75" customHeight="1">
      <c r="C106" s="224"/>
      <c r="D106" s="117"/>
      <c r="E106" s="213"/>
      <c r="F106" s="213"/>
      <c r="G106" s="117"/>
    </row>
    <row r="107" ht="15.75" customHeight="1">
      <c r="C107" s="224"/>
      <c r="D107" s="117"/>
      <c r="E107" s="213"/>
      <c r="F107" s="213"/>
      <c r="G107" s="117"/>
    </row>
    <row r="108" ht="15.75" customHeight="1">
      <c r="C108" s="224"/>
      <c r="D108" s="117"/>
      <c r="E108" s="213"/>
      <c r="F108" s="213"/>
      <c r="G108" s="117"/>
    </row>
    <row r="109" ht="15.75" customHeight="1">
      <c r="C109" s="224"/>
      <c r="D109" s="117"/>
      <c r="E109" s="213"/>
      <c r="F109" s="213"/>
      <c r="G109" s="117"/>
    </row>
    <row r="110" ht="15.75" customHeight="1">
      <c r="C110" s="224"/>
      <c r="D110" s="117"/>
      <c r="E110" s="213"/>
      <c r="F110" s="213"/>
      <c r="G110" s="117"/>
    </row>
    <row r="111" ht="15.75" customHeight="1">
      <c r="C111" s="224"/>
      <c r="D111" s="117"/>
      <c r="E111" s="213"/>
      <c r="F111" s="213"/>
      <c r="G111" s="117"/>
    </row>
    <row r="112" ht="15.75" customHeight="1">
      <c r="C112" s="224"/>
      <c r="D112" s="117"/>
      <c r="E112" s="213"/>
      <c r="F112" s="213"/>
      <c r="G112" s="117"/>
    </row>
    <row r="113" ht="15.75" customHeight="1">
      <c r="C113" s="224"/>
      <c r="D113" s="117"/>
      <c r="E113" s="213"/>
      <c r="F113" s="213"/>
      <c r="G113" s="117"/>
    </row>
    <row r="114" ht="15.75" customHeight="1">
      <c r="C114" s="224"/>
      <c r="D114" s="117"/>
      <c r="E114" s="213"/>
      <c r="F114" s="213"/>
      <c r="G114" s="117"/>
    </row>
    <row r="115" ht="15.75" customHeight="1">
      <c r="C115" s="224"/>
      <c r="D115" s="117"/>
      <c r="E115" s="213"/>
      <c r="F115" s="213"/>
      <c r="G115" s="117"/>
    </row>
    <row r="116" ht="15.75" customHeight="1">
      <c r="C116" s="224"/>
      <c r="D116" s="117"/>
      <c r="E116" s="213"/>
      <c r="F116" s="213"/>
      <c r="G116" s="117"/>
    </row>
    <row r="117" ht="15.75" customHeight="1">
      <c r="C117" s="224"/>
      <c r="D117" s="117"/>
      <c r="E117" s="213"/>
      <c r="F117" s="213"/>
      <c r="G117" s="117"/>
    </row>
    <row r="118" ht="15.75" customHeight="1">
      <c r="C118" s="224"/>
      <c r="D118" s="117"/>
      <c r="E118" s="213"/>
      <c r="F118" s="213"/>
      <c r="G118" s="117"/>
    </row>
    <row r="119" ht="15.75" customHeight="1">
      <c r="C119" s="224"/>
      <c r="D119" s="117"/>
      <c r="E119" s="213"/>
      <c r="F119" s="213"/>
      <c r="G119" s="117"/>
    </row>
    <row r="120" ht="15.75" customHeight="1">
      <c r="C120" s="224"/>
      <c r="D120" s="117"/>
      <c r="E120" s="213"/>
      <c r="F120" s="213"/>
      <c r="G120" s="117"/>
    </row>
    <row r="121" ht="15.75" customHeight="1">
      <c r="C121" s="224"/>
      <c r="D121" s="117"/>
      <c r="E121" s="213"/>
      <c r="F121" s="213"/>
      <c r="G121" s="117"/>
    </row>
    <row r="122" ht="15.75" customHeight="1">
      <c r="C122" s="224"/>
      <c r="D122" s="117"/>
      <c r="E122" s="213"/>
      <c r="F122" s="213"/>
      <c r="G122" s="117"/>
    </row>
    <row r="123" ht="15.75" customHeight="1">
      <c r="C123" s="224"/>
      <c r="D123" s="117"/>
      <c r="E123" s="213"/>
      <c r="F123" s="213"/>
      <c r="G123" s="117"/>
    </row>
    <row r="124" ht="15.75" customHeight="1">
      <c r="C124" s="224"/>
      <c r="D124" s="117"/>
      <c r="E124" s="213"/>
      <c r="F124" s="213"/>
      <c r="G124" s="117"/>
    </row>
    <row r="125" ht="15.75" customHeight="1">
      <c r="C125" s="224"/>
      <c r="D125" s="117"/>
      <c r="E125" s="213"/>
      <c r="F125" s="213"/>
      <c r="G125" s="117"/>
    </row>
    <row r="126" ht="15.75" customHeight="1">
      <c r="C126" s="224"/>
      <c r="D126" s="117"/>
      <c r="E126" s="213"/>
      <c r="F126" s="213"/>
      <c r="G126" s="117"/>
    </row>
    <row r="127" ht="15.75" customHeight="1">
      <c r="C127" s="224"/>
      <c r="D127" s="117"/>
      <c r="E127" s="213"/>
      <c r="F127" s="213"/>
      <c r="G127" s="117"/>
    </row>
    <row r="128" ht="15.75" customHeight="1">
      <c r="C128" s="224"/>
      <c r="D128" s="117"/>
      <c r="E128" s="213"/>
      <c r="F128" s="213"/>
      <c r="G128" s="117"/>
    </row>
    <row r="129" ht="15.75" customHeight="1">
      <c r="C129" s="224"/>
      <c r="D129" s="117"/>
      <c r="E129" s="213"/>
      <c r="F129" s="213"/>
      <c r="G129" s="117"/>
    </row>
    <row r="130" ht="15.75" customHeight="1">
      <c r="C130" s="224"/>
      <c r="D130" s="117"/>
      <c r="E130" s="213"/>
      <c r="F130" s="213"/>
      <c r="G130" s="117"/>
    </row>
    <row r="131" ht="15.75" customHeight="1">
      <c r="C131" s="224"/>
      <c r="D131" s="117"/>
      <c r="E131" s="213"/>
      <c r="F131" s="213"/>
      <c r="G131" s="117"/>
    </row>
    <row r="132" ht="15.75" customHeight="1">
      <c r="C132" s="224"/>
      <c r="D132" s="117"/>
      <c r="E132" s="213"/>
      <c r="F132" s="213"/>
      <c r="G132" s="117"/>
    </row>
    <row r="133" ht="15.75" customHeight="1">
      <c r="C133" s="224"/>
      <c r="D133" s="117"/>
      <c r="E133" s="213"/>
      <c r="F133" s="213"/>
      <c r="G133" s="117"/>
    </row>
    <row r="134" ht="15.75" customHeight="1">
      <c r="C134" s="224"/>
      <c r="D134" s="117"/>
      <c r="E134" s="213"/>
      <c r="F134" s="213"/>
      <c r="G134" s="117"/>
    </row>
    <row r="135" ht="15.75" customHeight="1">
      <c r="C135" s="224"/>
      <c r="D135" s="117"/>
      <c r="E135" s="213"/>
      <c r="F135" s="213"/>
      <c r="G135" s="117"/>
    </row>
    <row r="136" ht="15.75" customHeight="1">
      <c r="C136" s="224"/>
      <c r="D136" s="117"/>
      <c r="E136" s="213"/>
      <c r="F136" s="213"/>
      <c r="G136" s="117"/>
    </row>
    <row r="137" ht="15.75" customHeight="1">
      <c r="C137" s="224"/>
      <c r="D137" s="117"/>
      <c r="E137" s="213"/>
      <c r="F137" s="213"/>
      <c r="G137" s="117"/>
    </row>
    <row r="138" ht="15.75" customHeight="1">
      <c r="C138" s="224"/>
      <c r="D138" s="117"/>
      <c r="E138" s="213"/>
      <c r="F138" s="213"/>
      <c r="G138" s="117"/>
    </row>
    <row r="139" ht="15.75" customHeight="1">
      <c r="C139" s="224"/>
      <c r="D139" s="117"/>
      <c r="E139" s="213"/>
      <c r="F139" s="213"/>
      <c r="G139" s="117"/>
    </row>
    <row r="140" ht="15.75" customHeight="1">
      <c r="C140" s="224"/>
      <c r="D140" s="117"/>
      <c r="E140" s="213"/>
      <c r="F140" s="213"/>
      <c r="G140" s="117"/>
    </row>
    <row r="141" ht="15.75" customHeight="1">
      <c r="C141" s="224"/>
      <c r="D141" s="117"/>
      <c r="E141" s="213"/>
      <c r="F141" s="213"/>
      <c r="G141" s="117"/>
    </row>
    <row r="142" ht="15.75" customHeight="1">
      <c r="C142" s="224"/>
      <c r="D142" s="117"/>
      <c r="E142" s="213"/>
      <c r="F142" s="213"/>
      <c r="G142" s="117"/>
    </row>
    <row r="143" ht="15.75" customHeight="1">
      <c r="C143" s="224"/>
      <c r="D143" s="117"/>
      <c r="E143" s="213"/>
      <c r="F143" s="213"/>
      <c r="G143" s="117"/>
    </row>
    <row r="144" ht="15.75" customHeight="1">
      <c r="C144" s="224"/>
      <c r="D144" s="117"/>
      <c r="E144" s="213"/>
      <c r="F144" s="213"/>
      <c r="G144" s="117"/>
    </row>
    <row r="145" ht="15.75" customHeight="1">
      <c r="C145" s="224"/>
      <c r="D145" s="117"/>
      <c r="E145" s="213"/>
      <c r="F145" s="213"/>
      <c r="G145" s="117"/>
    </row>
    <row r="146" ht="15.75" customHeight="1">
      <c r="C146" s="224"/>
      <c r="D146" s="117"/>
      <c r="E146" s="213"/>
      <c r="F146" s="213"/>
      <c r="G146" s="117"/>
    </row>
    <row r="147" ht="15.75" customHeight="1">
      <c r="C147" s="224"/>
      <c r="D147" s="117"/>
      <c r="E147" s="213"/>
      <c r="F147" s="213"/>
      <c r="G147" s="117"/>
    </row>
    <row r="148" ht="15.75" customHeight="1">
      <c r="C148" s="224"/>
      <c r="D148" s="117"/>
      <c r="E148" s="213"/>
      <c r="F148" s="213"/>
      <c r="G148" s="117"/>
    </row>
    <row r="149" ht="15.75" customHeight="1">
      <c r="C149" s="224"/>
      <c r="D149" s="117"/>
      <c r="E149" s="213"/>
      <c r="F149" s="213"/>
      <c r="G149" s="117"/>
    </row>
    <row r="150" ht="15.75" customHeight="1">
      <c r="C150" s="224"/>
      <c r="D150" s="117"/>
      <c r="E150" s="213"/>
      <c r="F150" s="213"/>
      <c r="G150" s="117"/>
    </row>
    <row r="151" ht="15.75" customHeight="1">
      <c r="C151" s="224"/>
      <c r="D151" s="117"/>
      <c r="E151" s="213"/>
      <c r="F151" s="213"/>
      <c r="G151" s="117"/>
    </row>
    <row r="152" ht="15.75" customHeight="1">
      <c r="C152" s="224"/>
      <c r="D152" s="117"/>
      <c r="E152" s="213"/>
      <c r="F152" s="213"/>
      <c r="G152" s="117"/>
    </row>
    <row r="153" ht="15.75" customHeight="1">
      <c r="C153" s="224"/>
      <c r="D153" s="117"/>
      <c r="E153" s="213"/>
      <c r="F153" s="213"/>
      <c r="G153" s="117"/>
    </row>
    <row r="154" ht="15.75" customHeight="1">
      <c r="C154" s="224"/>
      <c r="D154" s="117"/>
      <c r="E154" s="213"/>
      <c r="F154" s="213"/>
      <c r="G154" s="117"/>
    </row>
    <row r="155" ht="15.75" customHeight="1">
      <c r="C155" s="224"/>
      <c r="D155" s="117"/>
      <c r="E155" s="213"/>
      <c r="F155" s="213"/>
      <c r="G155" s="117"/>
    </row>
    <row r="156" ht="15.75" customHeight="1">
      <c r="C156" s="224"/>
      <c r="D156" s="117"/>
      <c r="E156" s="213"/>
      <c r="F156" s="213"/>
      <c r="G156" s="117"/>
    </row>
    <row r="157" ht="15.75" customHeight="1">
      <c r="C157" s="224"/>
      <c r="D157" s="117"/>
      <c r="E157" s="213"/>
      <c r="F157" s="213"/>
      <c r="G157" s="117"/>
    </row>
    <row r="158" ht="15.75" customHeight="1">
      <c r="C158" s="224"/>
      <c r="D158" s="117"/>
      <c r="E158" s="213"/>
      <c r="F158" s="213"/>
      <c r="G158" s="117"/>
    </row>
    <row r="159" ht="15.75" customHeight="1">
      <c r="C159" s="224"/>
      <c r="D159" s="117"/>
      <c r="E159" s="213"/>
      <c r="F159" s="213"/>
      <c r="G159" s="117"/>
    </row>
    <row r="160" ht="15.75" customHeight="1">
      <c r="C160" s="224"/>
      <c r="D160" s="117"/>
      <c r="E160" s="213"/>
      <c r="F160" s="213"/>
      <c r="G160" s="117"/>
    </row>
    <row r="161" ht="15.75" customHeight="1">
      <c r="C161" s="224"/>
      <c r="D161" s="117"/>
      <c r="E161" s="213"/>
      <c r="F161" s="213"/>
      <c r="G161" s="117"/>
    </row>
    <row r="162" ht="15.75" customHeight="1">
      <c r="C162" s="224"/>
      <c r="D162" s="117"/>
      <c r="E162" s="213"/>
      <c r="F162" s="213"/>
      <c r="G162" s="117"/>
    </row>
    <row r="163" ht="15.75" customHeight="1">
      <c r="C163" s="224"/>
      <c r="D163" s="117"/>
      <c r="E163" s="213"/>
      <c r="F163" s="213"/>
      <c r="G163" s="117"/>
    </row>
    <row r="164" ht="15.75" customHeight="1">
      <c r="C164" s="224"/>
      <c r="D164" s="117"/>
      <c r="E164" s="213"/>
      <c r="F164" s="213"/>
      <c r="G164" s="117"/>
    </row>
    <row r="165" ht="15.75" customHeight="1">
      <c r="C165" s="224"/>
      <c r="D165" s="117"/>
      <c r="E165" s="213"/>
      <c r="F165" s="213"/>
      <c r="G165" s="117"/>
    </row>
    <row r="166" ht="15.75" customHeight="1">
      <c r="C166" s="224"/>
      <c r="D166" s="117"/>
      <c r="E166" s="213"/>
      <c r="F166" s="213"/>
      <c r="G166" s="117"/>
    </row>
    <row r="167" ht="15.75" customHeight="1">
      <c r="C167" s="224"/>
      <c r="D167" s="117"/>
      <c r="E167" s="213"/>
      <c r="F167" s="213"/>
      <c r="G167" s="117"/>
    </row>
    <row r="168" ht="15.75" customHeight="1">
      <c r="C168" s="224"/>
      <c r="D168" s="117"/>
      <c r="E168" s="213"/>
      <c r="F168" s="213"/>
      <c r="G168" s="117"/>
    </row>
    <row r="169" ht="15.75" customHeight="1">
      <c r="C169" s="224"/>
      <c r="D169" s="117"/>
      <c r="E169" s="213"/>
      <c r="F169" s="213"/>
      <c r="G169" s="117"/>
    </row>
    <row r="170" ht="15.75" customHeight="1">
      <c r="C170" s="224"/>
      <c r="D170" s="117"/>
      <c r="E170" s="213"/>
      <c r="F170" s="213"/>
      <c r="G170" s="117"/>
    </row>
    <row r="171" ht="15.75" customHeight="1">
      <c r="C171" s="224"/>
      <c r="D171" s="117"/>
      <c r="E171" s="213"/>
      <c r="F171" s="213"/>
      <c r="G171" s="117"/>
    </row>
    <row r="172" ht="15.75" customHeight="1">
      <c r="C172" s="224"/>
      <c r="D172" s="117"/>
      <c r="E172" s="213"/>
      <c r="F172" s="213"/>
      <c r="G172" s="117"/>
    </row>
    <row r="173" ht="15.75" customHeight="1">
      <c r="C173" s="224"/>
      <c r="D173" s="117"/>
      <c r="E173" s="213"/>
      <c r="F173" s="213"/>
      <c r="G173" s="117"/>
    </row>
    <row r="174" ht="15.75" customHeight="1">
      <c r="C174" s="224"/>
      <c r="D174" s="117"/>
      <c r="E174" s="213"/>
      <c r="F174" s="213"/>
      <c r="G174" s="117"/>
    </row>
    <row r="175" ht="15.75" customHeight="1">
      <c r="C175" s="224"/>
      <c r="D175" s="117"/>
      <c r="E175" s="213"/>
      <c r="F175" s="213"/>
      <c r="G175" s="117"/>
    </row>
    <row r="176" ht="15.75" customHeight="1">
      <c r="C176" s="224"/>
      <c r="D176" s="117"/>
      <c r="E176" s="213"/>
      <c r="F176" s="213"/>
      <c r="G176" s="117"/>
    </row>
    <row r="177" ht="15.75" customHeight="1">
      <c r="C177" s="224"/>
      <c r="D177" s="117"/>
      <c r="E177" s="213"/>
      <c r="F177" s="213"/>
      <c r="G177" s="117"/>
    </row>
    <row r="178" ht="15.75" customHeight="1">
      <c r="C178" s="224"/>
      <c r="D178" s="117"/>
      <c r="E178" s="213"/>
      <c r="F178" s="213"/>
      <c r="G178" s="117"/>
    </row>
    <row r="179" ht="15.75" customHeight="1">
      <c r="C179" s="224"/>
      <c r="D179" s="117"/>
      <c r="E179" s="213"/>
      <c r="F179" s="213"/>
      <c r="G179" s="117"/>
    </row>
    <row r="180" ht="15.75" customHeight="1">
      <c r="C180" s="224"/>
      <c r="D180" s="117"/>
      <c r="E180" s="213"/>
      <c r="F180" s="213"/>
      <c r="G180" s="117"/>
    </row>
    <row r="181" ht="15.75" customHeight="1">
      <c r="C181" s="224"/>
      <c r="D181" s="117"/>
      <c r="E181" s="213"/>
      <c r="F181" s="213"/>
      <c r="G181" s="117"/>
    </row>
    <row r="182" ht="15.75" customHeight="1">
      <c r="C182" s="224"/>
      <c r="D182" s="117"/>
      <c r="E182" s="213"/>
      <c r="F182" s="213"/>
      <c r="G182" s="117"/>
    </row>
    <row r="183" ht="15.75" customHeight="1">
      <c r="C183" s="224"/>
      <c r="D183" s="117"/>
      <c r="E183" s="213"/>
      <c r="F183" s="213"/>
      <c r="G183" s="117"/>
    </row>
    <row r="184" ht="15.75" customHeight="1">
      <c r="C184" s="224"/>
      <c r="D184" s="117"/>
      <c r="E184" s="213"/>
      <c r="F184" s="213"/>
      <c r="G184" s="117"/>
    </row>
    <row r="185" ht="15.75" customHeight="1">
      <c r="C185" s="224"/>
      <c r="D185" s="117"/>
      <c r="E185" s="213"/>
      <c r="F185" s="213"/>
      <c r="G185" s="117"/>
    </row>
    <row r="186" ht="15.75" customHeight="1">
      <c r="C186" s="224"/>
      <c r="D186" s="117"/>
      <c r="E186" s="213"/>
      <c r="F186" s="213"/>
      <c r="G186" s="117"/>
    </row>
    <row r="187" ht="15.75" customHeight="1">
      <c r="C187" s="224"/>
      <c r="D187" s="117"/>
      <c r="E187" s="213"/>
      <c r="F187" s="213"/>
      <c r="G187" s="117"/>
    </row>
    <row r="188" ht="15.75" customHeight="1">
      <c r="C188" s="224"/>
      <c r="D188" s="117"/>
      <c r="E188" s="213"/>
      <c r="F188" s="213"/>
      <c r="G188" s="117"/>
    </row>
    <row r="189" ht="15.75" customHeight="1">
      <c r="C189" s="224"/>
      <c r="D189" s="117"/>
      <c r="E189" s="213"/>
      <c r="F189" s="213"/>
      <c r="G189" s="117"/>
    </row>
    <row r="190" ht="15.75" customHeight="1">
      <c r="C190" s="224"/>
      <c r="D190" s="117"/>
      <c r="E190" s="213"/>
      <c r="F190" s="213"/>
      <c r="G190" s="117"/>
    </row>
    <row r="191" ht="15.75" customHeight="1">
      <c r="C191" s="224"/>
      <c r="D191" s="117"/>
      <c r="E191" s="213"/>
      <c r="F191" s="213"/>
      <c r="G191" s="117"/>
    </row>
    <row r="192" ht="15.75" customHeight="1">
      <c r="C192" s="224"/>
      <c r="D192" s="117"/>
      <c r="E192" s="213"/>
      <c r="F192" s="213"/>
      <c r="G192" s="117"/>
    </row>
    <row r="193" ht="15.75" customHeight="1">
      <c r="C193" s="224"/>
      <c r="D193" s="117"/>
      <c r="E193" s="213"/>
      <c r="F193" s="213"/>
      <c r="G193" s="117"/>
    </row>
    <row r="194" ht="15.75" customHeight="1">
      <c r="C194" s="224"/>
      <c r="D194" s="117"/>
      <c r="E194" s="213"/>
      <c r="F194" s="213"/>
      <c r="G194" s="117"/>
    </row>
    <row r="195" ht="15.75" customHeight="1">
      <c r="C195" s="224"/>
      <c r="D195" s="117"/>
      <c r="E195" s="213"/>
      <c r="F195" s="213"/>
      <c r="G195" s="117"/>
    </row>
    <row r="196" ht="15.75" customHeight="1">
      <c r="C196" s="224"/>
      <c r="D196" s="117"/>
      <c r="E196" s="213"/>
      <c r="F196" s="213"/>
      <c r="G196" s="117"/>
    </row>
    <row r="197" ht="15.75" customHeight="1">
      <c r="C197" s="224"/>
      <c r="D197" s="117"/>
      <c r="E197" s="213"/>
      <c r="F197" s="213"/>
      <c r="G197" s="117"/>
    </row>
    <row r="198" ht="15.75" customHeight="1">
      <c r="C198" s="224"/>
      <c r="D198" s="117"/>
      <c r="E198" s="213"/>
      <c r="F198" s="213"/>
      <c r="G198" s="117"/>
    </row>
    <row r="199" ht="15.75" customHeight="1">
      <c r="C199" s="224"/>
      <c r="D199" s="117"/>
      <c r="E199" s="213"/>
      <c r="F199" s="213"/>
      <c r="G199" s="117"/>
    </row>
    <row r="200" ht="15.75" customHeight="1">
      <c r="C200" s="224"/>
      <c r="D200" s="117"/>
      <c r="E200" s="213"/>
      <c r="F200" s="213"/>
      <c r="G200" s="117"/>
    </row>
    <row r="201" ht="15.75" customHeight="1">
      <c r="C201" s="224"/>
      <c r="D201" s="117"/>
      <c r="E201" s="213"/>
      <c r="F201" s="213"/>
      <c r="G201" s="117"/>
    </row>
    <row r="202" ht="15.75" customHeight="1">
      <c r="C202" s="224"/>
      <c r="D202" s="117"/>
      <c r="E202" s="213"/>
      <c r="F202" s="213"/>
      <c r="G202" s="117"/>
    </row>
    <row r="203" ht="15.75" customHeight="1">
      <c r="C203" s="224"/>
      <c r="D203" s="117"/>
      <c r="E203" s="213"/>
      <c r="F203" s="213"/>
      <c r="G203" s="117"/>
    </row>
    <row r="204" ht="15.75" customHeight="1">
      <c r="C204" s="224"/>
      <c r="D204" s="117"/>
      <c r="E204" s="213"/>
      <c r="F204" s="213"/>
      <c r="G204" s="117"/>
    </row>
    <row r="205" ht="15.75" customHeight="1">
      <c r="C205" s="224"/>
      <c r="D205" s="117"/>
      <c r="E205" s="213"/>
      <c r="F205" s="213"/>
      <c r="G205" s="117"/>
    </row>
    <row r="206" ht="15.75" customHeight="1">
      <c r="C206" s="224"/>
      <c r="D206" s="117"/>
      <c r="E206" s="213"/>
      <c r="F206" s="213"/>
      <c r="G206" s="117"/>
    </row>
    <row r="207" ht="15.75" customHeight="1">
      <c r="C207" s="224"/>
      <c r="D207" s="117"/>
      <c r="E207" s="213"/>
      <c r="F207" s="213"/>
      <c r="G207" s="117"/>
    </row>
    <row r="208" ht="15.75" customHeight="1">
      <c r="C208" s="224"/>
      <c r="D208" s="117"/>
      <c r="E208" s="213"/>
      <c r="F208" s="213"/>
      <c r="G208" s="117"/>
    </row>
    <row r="209" ht="15.75" customHeight="1">
      <c r="C209" s="224"/>
      <c r="D209" s="117"/>
      <c r="E209" s="213"/>
      <c r="F209" s="213"/>
      <c r="G209" s="117"/>
    </row>
    <row r="210" ht="15.75" customHeight="1">
      <c r="C210" s="224"/>
      <c r="D210" s="117"/>
      <c r="E210" s="213"/>
      <c r="F210" s="213"/>
      <c r="G210" s="117"/>
    </row>
    <row r="211" ht="15.75" customHeight="1">
      <c r="C211" s="224"/>
      <c r="D211" s="117"/>
      <c r="E211" s="213"/>
      <c r="F211" s="213"/>
      <c r="G211" s="117"/>
    </row>
    <row r="212" ht="15.75" customHeight="1">
      <c r="C212" s="224"/>
      <c r="D212" s="117"/>
      <c r="E212" s="213"/>
      <c r="F212" s="213"/>
      <c r="G212" s="117"/>
    </row>
    <row r="213" ht="15.75" customHeight="1">
      <c r="C213" s="224"/>
      <c r="D213" s="117"/>
      <c r="E213" s="213"/>
      <c r="F213" s="213"/>
      <c r="G213" s="117"/>
    </row>
    <row r="214" ht="15.75" customHeight="1">
      <c r="C214" s="224"/>
      <c r="D214" s="117"/>
      <c r="E214" s="213"/>
      <c r="F214" s="213"/>
      <c r="G214" s="117"/>
    </row>
    <row r="215" ht="15.75" customHeight="1">
      <c r="C215" s="224"/>
      <c r="D215" s="117"/>
      <c r="E215" s="213"/>
      <c r="F215" s="213"/>
      <c r="G215" s="117"/>
    </row>
    <row r="216" ht="15.75" customHeight="1">
      <c r="C216" s="224"/>
      <c r="D216" s="117"/>
      <c r="E216" s="213"/>
      <c r="F216" s="213"/>
      <c r="G216" s="117"/>
    </row>
    <row r="217" ht="15.75" customHeight="1">
      <c r="C217" s="224"/>
      <c r="D217" s="117"/>
      <c r="E217" s="213"/>
      <c r="F217" s="213"/>
      <c r="G217" s="117"/>
    </row>
    <row r="218" ht="15.75" customHeight="1">
      <c r="C218" s="224"/>
      <c r="D218" s="117"/>
      <c r="E218" s="213"/>
      <c r="F218" s="213"/>
      <c r="G218" s="117"/>
    </row>
    <row r="219" ht="15.75" customHeight="1">
      <c r="C219" s="224"/>
      <c r="D219" s="117"/>
      <c r="E219" s="213"/>
      <c r="F219" s="213"/>
      <c r="G219" s="117"/>
    </row>
    <row r="220" ht="15.75" customHeight="1">
      <c r="C220" s="224"/>
      <c r="D220" s="117"/>
      <c r="E220" s="213"/>
      <c r="F220" s="213"/>
      <c r="G220" s="117"/>
    </row>
    <row r="221" ht="15.75" customHeight="1">
      <c r="C221" s="224"/>
      <c r="D221" s="117"/>
      <c r="E221" s="213"/>
      <c r="F221" s="213"/>
      <c r="G221" s="117"/>
    </row>
    <row r="222" ht="15.75" customHeight="1">
      <c r="C222" s="224"/>
      <c r="D222" s="117"/>
      <c r="E222" s="213"/>
      <c r="F222" s="213"/>
      <c r="G222" s="117"/>
    </row>
    <row r="223" ht="15.75" customHeight="1">
      <c r="C223" s="224"/>
      <c r="D223" s="117"/>
      <c r="E223" s="213"/>
      <c r="F223" s="213"/>
      <c r="G223" s="117"/>
    </row>
    <row r="224" ht="15.75" customHeight="1">
      <c r="C224" s="224"/>
      <c r="D224" s="117"/>
      <c r="E224" s="213"/>
      <c r="F224" s="213"/>
      <c r="G224" s="117"/>
    </row>
    <row r="225" ht="15.75" customHeight="1">
      <c r="C225" s="224"/>
      <c r="D225" s="117"/>
      <c r="E225" s="213"/>
      <c r="F225" s="213"/>
      <c r="G225" s="117"/>
    </row>
    <row r="226" ht="15.75" customHeight="1">
      <c r="C226" s="224"/>
      <c r="D226" s="117"/>
      <c r="E226" s="213"/>
      <c r="F226" s="213"/>
      <c r="G226" s="117"/>
    </row>
    <row r="227" ht="15.75" customHeight="1">
      <c r="C227" s="224"/>
      <c r="D227" s="117"/>
      <c r="E227" s="213"/>
      <c r="F227" s="213"/>
      <c r="G227" s="117"/>
    </row>
    <row r="228" ht="15.75" customHeight="1">
      <c r="C228" s="224"/>
      <c r="D228" s="117"/>
      <c r="E228" s="213"/>
      <c r="F228" s="213"/>
      <c r="G228" s="117"/>
    </row>
    <row r="229" ht="15.75" customHeight="1">
      <c r="C229" s="224"/>
      <c r="D229" s="117"/>
      <c r="E229" s="213"/>
      <c r="F229" s="213"/>
      <c r="G229" s="117"/>
    </row>
    <row r="230" ht="15.75" customHeight="1">
      <c r="C230" s="224"/>
      <c r="D230" s="117"/>
      <c r="E230" s="213"/>
      <c r="F230" s="213"/>
      <c r="G230" s="117"/>
    </row>
    <row r="231" ht="15.75" customHeight="1">
      <c r="C231" s="224"/>
      <c r="D231" s="117"/>
      <c r="E231" s="213"/>
      <c r="F231" s="213"/>
      <c r="G231" s="117"/>
    </row>
    <row r="232" ht="15.75" customHeight="1">
      <c r="C232" s="224"/>
      <c r="D232" s="117"/>
      <c r="E232" s="213"/>
      <c r="F232" s="213"/>
      <c r="G232" s="117"/>
    </row>
    <row r="233" ht="15.75" customHeight="1">
      <c r="C233" s="224"/>
      <c r="D233" s="117"/>
      <c r="E233" s="213"/>
      <c r="F233" s="213"/>
      <c r="G233" s="117"/>
    </row>
    <row r="234" ht="15.75" customHeight="1">
      <c r="C234" s="224"/>
      <c r="D234" s="117"/>
      <c r="E234" s="213"/>
      <c r="F234" s="213"/>
      <c r="G234" s="117"/>
    </row>
    <row r="235" ht="15.75" customHeight="1">
      <c r="C235" s="224"/>
      <c r="D235" s="117"/>
      <c r="E235" s="213"/>
      <c r="F235" s="213"/>
      <c r="G235" s="117"/>
    </row>
    <row r="236" ht="15.75" customHeight="1">
      <c r="C236" s="224"/>
      <c r="D236" s="117"/>
      <c r="E236" s="213"/>
      <c r="F236" s="213"/>
      <c r="G236" s="117"/>
    </row>
    <row r="237" ht="15.75" customHeight="1">
      <c r="C237" s="224"/>
      <c r="D237" s="117"/>
      <c r="E237" s="213"/>
      <c r="F237" s="213"/>
      <c r="G237" s="117"/>
    </row>
    <row r="238" ht="15.75" customHeight="1">
      <c r="C238" s="224"/>
      <c r="D238" s="117"/>
      <c r="E238" s="213"/>
      <c r="F238" s="213"/>
      <c r="G238" s="117"/>
    </row>
    <row r="239" ht="15.75" customHeight="1">
      <c r="C239" s="224"/>
      <c r="D239" s="117"/>
      <c r="E239" s="213"/>
      <c r="F239" s="213"/>
      <c r="G239" s="117"/>
    </row>
    <row r="240" ht="15.75" customHeight="1">
      <c r="C240" s="224"/>
      <c r="D240" s="117"/>
      <c r="E240" s="213"/>
      <c r="F240" s="213"/>
      <c r="G240" s="117"/>
    </row>
    <row r="241" ht="15.75" customHeight="1">
      <c r="C241" s="224"/>
      <c r="D241" s="117"/>
      <c r="E241" s="213"/>
      <c r="F241" s="213"/>
      <c r="G241" s="117"/>
    </row>
    <row r="242" ht="15.75" customHeight="1">
      <c r="C242" s="224"/>
      <c r="D242" s="117"/>
      <c r="E242" s="213"/>
      <c r="F242" s="213"/>
      <c r="G242" s="117"/>
    </row>
    <row r="243" ht="15.75" customHeight="1">
      <c r="C243" s="224"/>
      <c r="D243" s="117"/>
      <c r="E243" s="213"/>
      <c r="F243" s="213"/>
      <c r="G243" s="117"/>
    </row>
    <row r="244" ht="15.75" customHeight="1">
      <c r="C244" s="224"/>
      <c r="D244" s="117"/>
      <c r="E244" s="213"/>
      <c r="F244" s="213"/>
      <c r="G244" s="117"/>
    </row>
    <row r="245" ht="15.75" customHeight="1">
      <c r="C245" s="224"/>
      <c r="D245" s="117"/>
      <c r="E245" s="213"/>
      <c r="F245" s="213"/>
      <c r="G245" s="117"/>
    </row>
    <row r="246" ht="15.75" customHeight="1">
      <c r="C246" s="224"/>
      <c r="D246" s="117"/>
      <c r="E246" s="213"/>
      <c r="F246" s="213"/>
      <c r="G246" s="117"/>
    </row>
    <row r="247" ht="15.75" customHeight="1">
      <c r="C247" s="224"/>
      <c r="D247" s="117"/>
      <c r="E247" s="213"/>
      <c r="F247" s="213"/>
      <c r="G247" s="117"/>
    </row>
    <row r="248" ht="15.75" customHeight="1">
      <c r="C248" s="224"/>
      <c r="D248" s="117"/>
      <c r="E248" s="213"/>
      <c r="F248" s="213"/>
      <c r="G248" s="117"/>
    </row>
    <row r="249" ht="15.75" customHeight="1">
      <c r="C249" s="224"/>
      <c r="D249" s="117"/>
      <c r="E249" s="213"/>
      <c r="F249" s="213"/>
      <c r="G249" s="117"/>
    </row>
    <row r="250" ht="15.75" customHeight="1">
      <c r="C250" s="224"/>
      <c r="D250" s="117"/>
      <c r="E250" s="213"/>
      <c r="F250" s="213"/>
      <c r="G250" s="117"/>
    </row>
    <row r="251" ht="15.75" customHeight="1">
      <c r="C251" s="224"/>
      <c r="D251" s="117"/>
      <c r="E251" s="213"/>
      <c r="F251" s="213"/>
      <c r="G251" s="117"/>
    </row>
    <row r="252" ht="15.75" customHeight="1">
      <c r="C252" s="224"/>
      <c r="D252" s="117"/>
      <c r="E252" s="213"/>
      <c r="F252" s="213"/>
      <c r="G252" s="117"/>
    </row>
    <row r="253" ht="15.75" customHeight="1">
      <c r="C253" s="224"/>
      <c r="D253" s="117"/>
      <c r="E253" s="213"/>
      <c r="F253" s="213"/>
      <c r="G253" s="117"/>
    </row>
    <row r="254" ht="15.75" customHeight="1">
      <c r="C254" s="224"/>
      <c r="D254" s="117"/>
      <c r="E254" s="213"/>
      <c r="F254" s="213"/>
      <c r="G254" s="117"/>
    </row>
    <row r="255" ht="15.75" customHeight="1">
      <c r="C255" s="224"/>
      <c r="D255" s="117"/>
      <c r="E255" s="213"/>
      <c r="F255" s="213"/>
      <c r="G255" s="117"/>
    </row>
    <row r="256" ht="15.75" customHeight="1">
      <c r="C256" s="224"/>
      <c r="D256" s="117"/>
      <c r="E256" s="213"/>
      <c r="F256" s="213"/>
      <c r="G256" s="117"/>
    </row>
    <row r="257" ht="15.75" customHeight="1">
      <c r="C257" s="224"/>
      <c r="D257" s="117"/>
      <c r="E257" s="213"/>
      <c r="F257" s="213"/>
      <c r="G257" s="117"/>
    </row>
    <row r="258" ht="15.75" customHeight="1">
      <c r="C258" s="224"/>
      <c r="D258" s="117"/>
      <c r="E258" s="213"/>
      <c r="F258" s="213"/>
      <c r="G258" s="117"/>
    </row>
    <row r="259" ht="15.75" customHeight="1">
      <c r="C259" s="224"/>
      <c r="D259" s="117"/>
      <c r="E259" s="213"/>
      <c r="F259" s="213"/>
      <c r="G259" s="117"/>
    </row>
    <row r="260" ht="15.75" customHeight="1">
      <c r="C260" s="224"/>
      <c r="D260" s="117"/>
      <c r="E260" s="213"/>
      <c r="F260" s="213"/>
      <c r="G260" s="117"/>
    </row>
    <row r="261" ht="15.75" customHeight="1">
      <c r="C261" s="224"/>
      <c r="D261" s="117"/>
      <c r="E261" s="213"/>
      <c r="F261" s="213"/>
      <c r="G261" s="117"/>
    </row>
    <row r="262" ht="15.75" customHeight="1">
      <c r="C262" s="224"/>
      <c r="D262" s="117"/>
      <c r="E262" s="213"/>
      <c r="F262" s="213"/>
      <c r="G262" s="117"/>
    </row>
    <row r="263" ht="15.75" customHeight="1">
      <c r="C263" s="224"/>
      <c r="D263" s="117"/>
      <c r="E263" s="213"/>
      <c r="F263" s="213"/>
      <c r="G263" s="117"/>
    </row>
    <row r="264" ht="15.75" customHeight="1">
      <c r="C264" s="224"/>
      <c r="D264" s="117"/>
      <c r="E264" s="213"/>
      <c r="F264" s="213"/>
      <c r="G264" s="117"/>
    </row>
    <row r="265" ht="15.75" customHeight="1">
      <c r="C265" s="224"/>
      <c r="D265" s="117"/>
      <c r="E265" s="213"/>
      <c r="F265" s="213"/>
      <c r="G265" s="117"/>
    </row>
    <row r="266" ht="15.75" customHeight="1">
      <c r="C266" s="224"/>
      <c r="D266" s="117"/>
      <c r="E266" s="213"/>
      <c r="F266" s="213"/>
      <c r="G266" s="117"/>
    </row>
    <row r="267" ht="15.75" customHeight="1">
      <c r="C267" s="224"/>
      <c r="D267" s="117"/>
      <c r="E267" s="213"/>
      <c r="F267" s="213"/>
      <c r="G267" s="117"/>
    </row>
    <row r="268" ht="15.75" customHeight="1">
      <c r="C268" s="224"/>
      <c r="D268" s="117"/>
      <c r="E268" s="213"/>
      <c r="F268" s="213"/>
      <c r="G268" s="117"/>
    </row>
    <row r="269" ht="15.75" customHeight="1">
      <c r="C269" s="224"/>
      <c r="D269" s="117"/>
      <c r="E269" s="213"/>
      <c r="F269" s="213"/>
      <c r="G269" s="117"/>
    </row>
    <row r="270" ht="15.75" customHeight="1">
      <c r="C270" s="224"/>
      <c r="D270" s="117"/>
      <c r="E270" s="213"/>
      <c r="F270" s="213"/>
      <c r="G270" s="117"/>
    </row>
    <row r="271" ht="15.75" customHeight="1">
      <c r="C271" s="224"/>
      <c r="D271" s="117"/>
      <c r="E271" s="213"/>
      <c r="F271" s="213"/>
      <c r="G271" s="117"/>
    </row>
    <row r="272" ht="15.75" customHeight="1">
      <c r="C272" s="224"/>
      <c r="D272" s="117"/>
      <c r="E272" s="213"/>
      <c r="F272" s="213"/>
      <c r="G272" s="117"/>
    </row>
    <row r="273" ht="15.75" customHeight="1">
      <c r="C273" s="224"/>
      <c r="D273" s="117"/>
      <c r="E273" s="213"/>
      <c r="F273" s="213"/>
      <c r="G273" s="117"/>
    </row>
    <row r="274" ht="15.75" customHeight="1">
      <c r="C274" s="224"/>
      <c r="D274" s="117"/>
      <c r="E274" s="213"/>
      <c r="F274" s="213"/>
      <c r="G274" s="117"/>
    </row>
    <row r="275" ht="15.75" customHeight="1">
      <c r="C275" s="224"/>
      <c r="D275" s="117"/>
      <c r="E275" s="213"/>
      <c r="F275" s="213"/>
      <c r="G275" s="117"/>
    </row>
    <row r="276" ht="15.75" customHeight="1">
      <c r="C276" s="224"/>
      <c r="D276" s="117"/>
      <c r="E276" s="213"/>
      <c r="F276" s="213"/>
      <c r="G276" s="117"/>
    </row>
    <row r="277" ht="15.75" customHeight="1">
      <c r="C277" s="224"/>
      <c r="D277" s="117"/>
      <c r="E277" s="213"/>
      <c r="F277" s="213"/>
      <c r="G277" s="117"/>
    </row>
    <row r="278" ht="15.75" customHeight="1">
      <c r="C278" s="224"/>
      <c r="D278" s="117"/>
      <c r="E278" s="213"/>
      <c r="F278" s="213"/>
      <c r="G278" s="117"/>
    </row>
    <row r="279" ht="15.75" customHeight="1">
      <c r="C279" s="224"/>
      <c r="D279" s="117"/>
      <c r="E279" s="213"/>
      <c r="F279" s="213"/>
      <c r="G279" s="117"/>
    </row>
    <row r="280" ht="15.75" customHeight="1">
      <c r="C280" s="224"/>
      <c r="D280" s="117"/>
      <c r="E280" s="213"/>
      <c r="F280" s="213"/>
      <c r="G280" s="117"/>
    </row>
    <row r="281" ht="15.75" customHeight="1">
      <c r="C281" s="224"/>
      <c r="D281" s="117"/>
      <c r="E281" s="213"/>
      <c r="F281" s="213"/>
      <c r="G281" s="117"/>
    </row>
    <row r="282" ht="15.75" customHeight="1">
      <c r="C282" s="224"/>
      <c r="D282" s="117"/>
      <c r="E282" s="213"/>
      <c r="F282" s="213"/>
      <c r="G282" s="117"/>
    </row>
    <row r="283" ht="15.75" customHeight="1">
      <c r="C283" s="224"/>
      <c r="D283" s="117"/>
      <c r="E283" s="213"/>
      <c r="F283" s="213"/>
      <c r="G283" s="117"/>
    </row>
    <row r="284" ht="15.75" customHeight="1">
      <c r="C284" s="224"/>
      <c r="D284" s="117"/>
      <c r="E284" s="213"/>
      <c r="F284" s="213"/>
      <c r="G284" s="117"/>
    </row>
    <row r="285" ht="15.75" customHeight="1">
      <c r="C285" s="224"/>
      <c r="D285" s="117"/>
      <c r="E285" s="213"/>
      <c r="F285" s="213"/>
      <c r="G285" s="117"/>
    </row>
    <row r="286" ht="15.75" customHeight="1">
      <c r="C286" s="224"/>
      <c r="D286" s="117"/>
      <c r="E286" s="213"/>
      <c r="F286" s="213"/>
      <c r="G286" s="117"/>
    </row>
    <row r="287" ht="15.75" customHeight="1">
      <c r="C287" s="224"/>
      <c r="D287" s="117"/>
      <c r="E287" s="213"/>
      <c r="F287" s="213"/>
      <c r="G287" s="117"/>
    </row>
    <row r="288" ht="15.75" customHeight="1">
      <c r="C288" s="224"/>
      <c r="D288" s="117"/>
      <c r="E288" s="213"/>
      <c r="F288" s="213"/>
      <c r="G288" s="117"/>
    </row>
    <row r="289" ht="15.75" customHeight="1">
      <c r="C289" s="224"/>
      <c r="D289" s="117"/>
      <c r="E289" s="213"/>
      <c r="F289" s="213"/>
      <c r="G289" s="117"/>
    </row>
    <row r="290" ht="15.75" customHeight="1">
      <c r="C290" s="224"/>
      <c r="D290" s="117"/>
      <c r="E290" s="213"/>
      <c r="F290" s="213"/>
      <c r="G290" s="117"/>
    </row>
    <row r="291" ht="15.75" customHeight="1">
      <c r="C291" s="224"/>
      <c r="D291" s="117"/>
      <c r="E291" s="213"/>
      <c r="F291" s="213"/>
      <c r="G291" s="117"/>
    </row>
    <row r="292" ht="15.75" customHeight="1">
      <c r="C292" s="224"/>
      <c r="D292" s="117"/>
      <c r="E292" s="213"/>
      <c r="F292" s="213"/>
      <c r="G292" s="117"/>
    </row>
    <row r="293" ht="15.75" customHeight="1">
      <c r="C293" s="224"/>
      <c r="D293" s="117"/>
      <c r="E293" s="213"/>
      <c r="F293" s="213"/>
      <c r="G293" s="117"/>
    </row>
    <row r="294" ht="15.75" customHeight="1">
      <c r="C294" s="224"/>
      <c r="D294" s="117"/>
      <c r="E294" s="213"/>
      <c r="F294" s="213"/>
      <c r="G294" s="117"/>
    </row>
    <row r="295" ht="15.75" customHeight="1">
      <c r="C295" s="224"/>
      <c r="D295" s="117"/>
      <c r="E295" s="213"/>
      <c r="F295" s="213"/>
      <c r="G295" s="117"/>
    </row>
    <row r="296" ht="15.75" customHeight="1">
      <c r="C296" s="224"/>
      <c r="D296" s="117"/>
      <c r="E296" s="213"/>
      <c r="F296" s="213"/>
      <c r="G296" s="117"/>
    </row>
    <row r="297" ht="15.75" customHeight="1">
      <c r="C297" s="224"/>
      <c r="D297" s="117"/>
      <c r="E297" s="213"/>
      <c r="F297" s="213"/>
      <c r="G297" s="117"/>
    </row>
    <row r="298" ht="15.75" customHeight="1">
      <c r="C298" s="224"/>
      <c r="D298" s="117"/>
      <c r="E298" s="213"/>
      <c r="F298" s="213"/>
      <c r="G298" s="117"/>
    </row>
    <row r="299" ht="15.75" customHeight="1">
      <c r="C299" s="224"/>
      <c r="D299" s="117"/>
      <c r="E299" s="213"/>
      <c r="F299" s="213"/>
      <c r="G299" s="117"/>
    </row>
    <row r="300" ht="15.75" customHeight="1">
      <c r="C300" s="224"/>
      <c r="D300" s="117"/>
      <c r="E300" s="213"/>
      <c r="F300" s="213"/>
      <c r="G300" s="117"/>
    </row>
    <row r="301" ht="15.75" customHeight="1">
      <c r="C301" s="224"/>
      <c r="D301" s="117"/>
      <c r="E301" s="213"/>
      <c r="F301" s="213"/>
      <c r="G301" s="117"/>
    </row>
    <row r="302" ht="15.75" customHeight="1">
      <c r="C302" s="224"/>
      <c r="D302" s="117"/>
      <c r="E302" s="213"/>
      <c r="F302" s="213"/>
      <c r="G302" s="117"/>
    </row>
    <row r="303" ht="15.75" customHeight="1">
      <c r="C303" s="224"/>
      <c r="D303" s="117"/>
      <c r="E303" s="213"/>
      <c r="F303" s="213"/>
      <c r="G303" s="117"/>
    </row>
    <row r="304" ht="15.75" customHeight="1">
      <c r="C304" s="224"/>
      <c r="D304" s="117"/>
      <c r="E304" s="213"/>
      <c r="F304" s="213"/>
      <c r="G304" s="117"/>
    </row>
    <row r="305" ht="15.75" customHeight="1">
      <c r="C305" s="224"/>
      <c r="D305" s="117"/>
      <c r="E305" s="213"/>
      <c r="F305" s="213"/>
      <c r="G305" s="117"/>
    </row>
    <row r="306" ht="15.75" customHeight="1">
      <c r="C306" s="224"/>
      <c r="D306" s="117"/>
      <c r="E306" s="213"/>
      <c r="F306" s="213"/>
      <c r="G306" s="117"/>
    </row>
    <row r="307" ht="15.75" customHeight="1">
      <c r="C307" s="224"/>
      <c r="D307" s="117"/>
      <c r="E307" s="213"/>
      <c r="F307" s="213"/>
      <c r="G307" s="117"/>
    </row>
    <row r="308" ht="15.75" customHeight="1">
      <c r="C308" s="224"/>
      <c r="D308" s="117"/>
      <c r="E308" s="213"/>
      <c r="F308" s="213"/>
      <c r="G308" s="117"/>
    </row>
    <row r="309" ht="15.75" customHeight="1">
      <c r="C309" s="224"/>
      <c r="D309" s="117"/>
      <c r="E309" s="213"/>
      <c r="F309" s="213"/>
      <c r="G309" s="117"/>
    </row>
    <row r="310" ht="15.75" customHeight="1">
      <c r="C310" s="224"/>
      <c r="D310" s="117"/>
      <c r="E310" s="213"/>
      <c r="F310" s="213"/>
      <c r="G310" s="117"/>
    </row>
    <row r="311" ht="15.75" customHeight="1">
      <c r="C311" s="224"/>
      <c r="D311" s="117"/>
      <c r="E311" s="213"/>
      <c r="F311" s="213"/>
      <c r="G311" s="117"/>
    </row>
    <row r="312" ht="15.75" customHeight="1">
      <c r="C312" s="224"/>
      <c r="D312" s="117"/>
      <c r="E312" s="213"/>
      <c r="F312" s="213"/>
      <c r="G312" s="117"/>
    </row>
    <row r="313" ht="15.75" customHeight="1">
      <c r="C313" s="224"/>
      <c r="D313" s="117"/>
      <c r="E313" s="213"/>
      <c r="F313" s="213"/>
      <c r="G313" s="117"/>
    </row>
    <row r="314" ht="15.75" customHeight="1">
      <c r="C314" s="224"/>
      <c r="D314" s="117"/>
      <c r="E314" s="213"/>
      <c r="F314" s="213"/>
      <c r="G314" s="117"/>
    </row>
    <row r="315" ht="15.75" customHeight="1">
      <c r="C315" s="224"/>
      <c r="D315" s="117"/>
      <c r="E315" s="213"/>
      <c r="F315" s="213"/>
      <c r="G315" s="117"/>
    </row>
    <row r="316" ht="15.75" customHeight="1">
      <c r="C316" s="224"/>
      <c r="D316" s="117"/>
      <c r="E316" s="213"/>
      <c r="F316" s="213"/>
      <c r="G316" s="117"/>
    </row>
    <row r="317" ht="15.75" customHeight="1">
      <c r="C317" s="224"/>
      <c r="D317" s="117"/>
      <c r="E317" s="213"/>
      <c r="F317" s="213"/>
      <c r="G317" s="117"/>
    </row>
    <row r="318" ht="15.75" customHeight="1">
      <c r="C318" s="224"/>
      <c r="D318" s="117"/>
      <c r="E318" s="213"/>
      <c r="F318" s="213"/>
      <c r="G318" s="117"/>
    </row>
    <row r="319" ht="15.75" customHeight="1">
      <c r="C319" s="224"/>
      <c r="D319" s="117"/>
      <c r="E319" s="213"/>
      <c r="F319" s="213"/>
      <c r="G319" s="117"/>
    </row>
    <row r="320" ht="15.75" customHeight="1">
      <c r="C320" s="224"/>
      <c r="D320" s="117"/>
      <c r="E320" s="213"/>
      <c r="F320" s="213"/>
      <c r="G320" s="117"/>
    </row>
    <row r="321" ht="15.75" customHeight="1">
      <c r="C321" s="224"/>
      <c r="D321" s="117"/>
      <c r="E321" s="213"/>
      <c r="F321" s="213"/>
      <c r="G321" s="117"/>
    </row>
    <row r="322" ht="15.75" customHeight="1">
      <c r="C322" s="224"/>
      <c r="D322" s="117"/>
      <c r="E322" s="213"/>
      <c r="F322" s="213"/>
      <c r="G322" s="117"/>
    </row>
    <row r="323" ht="15.75" customHeight="1">
      <c r="C323" s="224"/>
      <c r="D323" s="117"/>
      <c r="E323" s="213"/>
      <c r="F323" s="213"/>
      <c r="G323" s="117"/>
    </row>
    <row r="324" ht="15.75" customHeight="1">
      <c r="C324" s="224"/>
      <c r="D324" s="117"/>
      <c r="E324" s="213"/>
      <c r="F324" s="213"/>
      <c r="G324" s="117"/>
    </row>
    <row r="325" ht="15.75" customHeight="1">
      <c r="C325" s="224"/>
      <c r="D325" s="117"/>
      <c r="E325" s="213"/>
      <c r="F325" s="213"/>
      <c r="G325" s="117"/>
    </row>
    <row r="326" ht="15.75" customHeight="1">
      <c r="C326" s="224"/>
      <c r="D326" s="117"/>
      <c r="E326" s="213"/>
      <c r="F326" s="213"/>
      <c r="G326" s="117"/>
    </row>
    <row r="327" ht="15.75" customHeight="1">
      <c r="C327" s="224"/>
      <c r="D327" s="117"/>
      <c r="E327" s="213"/>
      <c r="F327" s="213"/>
      <c r="G327" s="117"/>
    </row>
    <row r="328" ht="15.75" customHeight="1">
      <c r="C328" s="224"/>
      <c r="D328" s="117"/>
      <c r="E328" s="213"/>
      <c r="F328" s="213"/>
      <c r="G328" s="117"/>
    </row>
    <row r="329" ht="15.75" customHeight="1">
      <c r="C329" s="224"/>
      <c r="D329" s="117"/>
      <c r="E329" s="213"/>
      <c r="F329" s="213"/>
      <c r="G329" s="117"/>
    </row>
    <row r="330" ht="15.75" customHeight="1">
      <c r="C330" s="224"/>
      <c r="D330" s="117"/>
      <c r="E330" s="213"/>
      <c r="F330" s="213"/>
      <c r="G330" s="117"/>
    </row>
    <row r="331" ht="15.75" customHeight="1">
      <c r="C331" s="224"/>
      <c r="D331" s="117"/>
      <c r="E331" s="213"/>
      <c r="F331" s="213"/>
      <c r="G331" s="117"/>
    </row>
    <row r="332" ht="15.75" customHeight="1">
      <c r="C332" s="224"/>
      <c r="D332" s="117"/>
      <c r="E332" s="213"/>
      <c r="F332" s="213"/>
      <c r="G332" s="117"/>
    </row>
    <row r="333" ht="15.75" customHeight="1">
      <c r="C333" s="224"/>
      <c r="D333" s="117"/>
      <c r="E333" s="213"/>
      <c r="F333" s="213"/>
      <c r="G333" s="117"/>
    </row>
    <row r="334" ht="15.75" customHeight="1">
      <c r="C334" s="224"/>
      <c r="D334" s="117"/>
      <c r="E334" s="213"/>
      <c r="F334" s="213"/>
      <c r="G334" s="117"/>
    </row>
    <row r="335" ht="15.75" customHeight="1">
      <c r="C335" s="224"/>
      <c r="D335" s="117"/>
      <c r="E335" s="213"/>
      <c r="F335" s="213"/>
      <c r="G335" s="117"/>
    </row>
    <row r="336" ht="15.75" customHeight="1">
      <c r="C336" s="224"/>
      <c r="D336" s="117"/>
      <c r="E336" s="213"/>
      <c r="F336" s="213"/>
      <c r="G336" s="117"/>
    </row>
    <row r="337" ht="15.75" customHeight="1">
      <c r="C337" s="224"/>
      <c r="D337" s="117"/>
      <c r="E337" s="213"/>
      <c r="F337" s="213"/>
      <c r="G337" s="117"/>
    </row>
    <row r="338" ht="15.75" customHeight="1">
      <c r="C338" s="224"/>
      <c r="D338" s="117"/>
      <c r="E338" s="213"/>
      <c r="F338" s="213"/>
      <c r="G338" s="117"/>
    </row>
    <row r="339" ht="15.75" customHeight="1">
      <c r="C339" s="224"/>
      <c r="D339" s="117"/>
      <c r="E339" s="213"/>
      <c r="F339" s="213"/>
      <c r="G339" s="117"/>
    </row>
    <row r="340" ht="15.75" customHeight="1">
      <c r="C340" s="224"/>
      <c r="D340" s="117"/>
      <c r="E340" s="213"/>
      <c r="F340" s="213"/>
      <c r="G340" s="117"/>
    </row>
    <row r="341" ht="15.75" customHeight="1">
      <c r="C341" s="224"/>
      <c r="D341" s="117"/>
      <c r="E341" s="213"/>
      <c r="F341" s="213"/>
      <c r="G341" s="117"/>
    </row>
    <row r="342" ht="15.75" customHeight="1">
      <c r="C342" s="224"/>
      <c r="D342" s="117"/>
      <c r="E342" s="213"/>
      <c r="F342" s="213"/>
      <c r="G342" s="117"/>
    </row>
    <row r="343" ht="15.75" customHeight="1">
      <c r="C343" s="224"/>
      <c r="D343" s="117"/>
      <c r="E343" s="213"/>
      <c r="F343" s="213"/>
      <c r="G343" s="117"/>
    </row>
    <row r="344" ht="15.75" customHeight="1">
      <c r="C344" s="224"/>
      <c r="D344" s="117"/>
      <c r="E344" s="213"/>
      <c r="F344" s="213"/>
      <c r="G344" s="117"/>
    </row>
    <row r="345" ht="15.75" customHeight="1">
      <c r="C345" s="224"/>
      <c r="D345" s="117"/>
      <c r="E345" s="213"/>
      <c r="F345" s="213"/>
      <c r="G345" s="117"/>
    </row>
    <row r="346" ht="15.75" customHeight="1">
      <c r="C346" s="224"/>
      <c r="D346" s="117"/>
      <c r="E346" s="213"/>
      <c r="F346" s="213"/>
      <c r="G346" s="117"/>
    </row>
    <row r="347" ht="15.75" customHeight="1">
      <c r="C347" s="224"/>
      <c r="D347" s="117"/>
      <c r="E347" s="213"/>
      <c r="F347" s="213"/>
      <c r="G347" s="117"/>
    </row>
    <row r="348" ht="15.75" customHeight="1">
      <c r="C348" s="224"/>
      <c r="D348" s="117"/>
      <c r="E348" s="213"/>
      <c r="F348" s="213"/>
      <c r="G348" s="117"/>
    </row>
    <row r="349" ht="15.75" customHeight="1">
      <c r="C349" s="224"/>
      <c r="D349" s="117"/>
      <c r="E349" s="213"/>
      <c r="F349" s="213"/>
      <c r="G349" s="117"/>
    </row>
    <row r="350" ht="15.75" customHeight="1">
      <c r="C350" s="224"/>
      <c r="D350" s="117"/>
      <c r="E350" s="213"/>
      <c r="F350" s="213"/>
      <c r="G350" s="117"/>
    </row>
    <row r="351" ht="15.75" customHeight="1">
      <c r="C351" s="224"/>
      <c r="D351" s="117"/>
      <c r="E351" s="213"/>
      <c r="F351" s="213"/>
      <c r="G351" s="117"/>
    </row>
    <row r="352" ht="15.75" customHeight="1">
      <c r="C352" s="224"/>
      <c r="D352" s="117"/>
      <c r="E352" s="213"/>
      <c r="F352" s="213"/>
      <c r="G352" s="117"/>
    </row>
    <row r="353" ht="15.75" customHeight="1">
      <c r="C353" s="224"/>
      <c r="D353" s="117"/>
      <c r="E353" s="213"/>
      <c r="F353" s="213"/>
      <c r="G353" s="117"/>
    </row>
    <row r="354" ht="15.75" customHeight="1">
      <c r="C354" s="224"/>
      <c r="D354" s="117"/>
      <c r="E354" s="213"/>
      <c r="F354" s="213"/>
      <c r="G354" s="117"/>
    </row>
    <row r="355" ht="15.75" customHeight="1">
      <c r="C355" s="224"/>
      <c r="D355" s="117"/>
      <c r="E355" s="213"/>
      <c r="F355" s="213"/>
      <c r="G355" s="117"/>
    </row>
    <row r="356" ht="15.75" customHeight="1">
      <c r="C356" s="224"/>
      <c r="D356" s="117"/>
      <c r="E356" s="213"/>
      <c r="F356" s="213"/>
      <c r="G356" s="117"/>
    </row>
    <row r="357" ht="15.75" customHeight="1">
      <c r="C357" s="224"/>
      <c r="D357" s="117"/>
      <c r="E357" s="213"/>
      <c r="F357" s="213"/>
      <c r="G357" s="117"/>
    </row>
    <row r="358" ht="15.75" customHeight="1">
      <c r="C358" s="224"/>
      <c r="D358" s="117"/>
      <c r="E358" s="213"/>
      <c r="F358" s="213"/>
      <c r="G358" s="117"/>
    </row>
    <row r="359" ht="15.75" customHeight="1">
      <c r="C359" s="224"/>
      <c r="D359" s="117"/>
      <c r="E359" s="213"/>
      <c r="F359" s="213"/>
      <c r="G359" s="117"/>
    </row>
    <row r="360" ht="15.75" customHeight="1">
      <c r="C360" s="224"/>
      <c r="D360" s="117"/>
      <c r="E360" s="213"/>
      <c r="F360" s="213"/>
      <c r="G360" s="117"/>
    </row>
    <row r="361" ht="15.75" customHeight="1">
      <c r="C361" s="224"/>
      <c r="D361" s="117"/>
      <c r="E361" s="213"/>
      <c r="F361" s="213"/>
      <c r="G361" s="117"/>
    </row>
    <row r="362" ht="15.75" customHeight="1">
      <c r="C362" s="224"/>
      <c r="D362" s="117"/>
      <c r="E362" s="213"/>
      <c r="F362" s="213"/>
      <c r="G362" s="117"/>
    </row>
    <row r="363" ht="15.75" customHeight="1">
      <c r="C363" s="224"/>
      <c r="D363" s="117"/>
      <c r="E363" s="213"/>
      <c r="F363" s="213"/>
      <c r="G363" s="117"/>
    </row>
    <row r="364" ht="15.75" customHeight="1">
      <c r="C364" s="224"/>
      <c r="D364" s="117"/>
      <c r="E364" s="213"/>
      <c r="F364" s="213"/>
      <c r="G364" s="117"/>
    </row>
    <row r="365" ht="15.75" customHeight="1">
      <c r="C365" s="224"/>
      <c r="D365" s="117"/>
      <c r="E365" s="213"/>
      <c r="F365" s="213"/>
      <c r="G365" s="117"/>
    </row>
    <row r="366" ht="15.75" customHeight="1">
      <c r="C366" s="224"/>
      <c r="D366" s="117"/>
      <c r="E366" s="213"/>
      <c r="F366" s="213"/>
      <c r="G366" s="117"/>
    </row>
    <row r="367" ht="15.75" customHeight="1">
      <c r="C367" s="224"/>
      <c r="D367" s="117"/>
      <c r="E367" s="213"/>
      <c r="F367" s="213"/>
      <c r="G367" s="117"/>
    </row>
    <row r="368" ht="15.75" customHeight="1">
      <c r="C368" s="224"/>
      <c r="D368" s="117"/>
      <c r="E368" s="213"/>
      <c r="F368" s="213"/>
      <c r="G368" s="117"/>
    </row>
    <row r="369" ht="15.75" customHeight="1">
      <c r="C369" s="224"/>
      <c r="D369" s="117"/>
      <c r="E369" s="213"/>
      <c r="F369" s="213"/>
      <c r="G369" s="117"/>
    </row>
    <row r="370" ht="15.75" customHeight="1">
      <c r="C370" s="224"/>
      <c r="D370" s="117"/>
      <c r="E370" s="213"/>
      <c r="F370" s="213"/>
      <c r="G370" s="117"/>
    </row>
    <row r="371" ht="15.75" customHeight="1">
      <c r="C371" s="224"/>
      <c r="D371" s="117"/>
      <c r="E371" s="213"/>
      <c r="F371" s="213"/>
      <c r="G371" s="117"/>
    </row>
    <row r="372" ht="15.75" customHeight="1">
      <c r="C372" s="224"/>
      <c r="D372" s="117"/>
      <c r="E372" s="213"/>
      <c r="F372" s="213"/>
      <c r="G372" s="117"/>
    </row>
    <row r="373" ht="15.75" customHeight="1">
      <c r="C373" s="224"/>
      <c r="D373" s="117"/>
      <c r="E373" s="213"/>
      <c r="F373" s="213"/>
      <c r="G373" s="117"/>
    </row>
    <row r="374" ht="15.75" customHeight="1">
      <c r="C374" s="224"/>
      <c r="D374" s="117"/>
      <c r="E374" s="213"/>
      <c r="F374" s="213"/>
      <c r="G374" s="117"/>
    </row>
    <row r="375" ht="15.75" customHeight="1">
      <c r="C375" s="224"/>
      <c r="D375" s="117"/>
      <c r="E375" s="213"/>
      <c r="F375" s="213"/>
      <c r="G375" s="117"/>
    </row>
    <row r="376" ht="15.75" customHeight="1">
      <c r="C376" s="224"/>
      <c r="D376" s="117"/>
      <c r="E376" s="213"/>
      <c r="F376" s="213"/>
      <c r="G376" s="117"/>
    </row>
    <row r="377" ht="15.75" customHeight="1">
      <c r="C377" s="224"/>
      <c r="D377" s="117"/>
      <c r="E377" s="213"/>
      <c r="F377" s="213"/>
      <c r="G377" s="117"/>
    </row>
    <row r="378" ht="15.75" customHeight="1">
      <c r="C378" s="224"/>
      <c r="D378" s="117"/>
      <c r="E378" s="213"/>
      <c r="F378" s="213"/>
      <c r="G378" s="117"/>
    </row>
    <row r="379" ht="15.75" customHeight="1">
      <c r="C379" s="224"/>
      <c r="D379" s="117"/>
      <c r="E379" s="213"/>
      <c r="F379" s="213"/>
      <c r="G379" s="117"/>
    </row>
    <row r="380" ht="15.75" customHeight="1">
      <c r="C380" s="224"/>
      <c r="D380" s="117"/>
      <c r="E380" s="213"/>
      <c r="F380" s="213"/>
      <c r="G380" s="117"/>
    </row>
    <row r="381" ht="15.75" customHeight="1">
      <c r="C381" s="224"/>
      <c r="D381" s="117"/>
      <c r="E381" s="213"/>
      <c r="F381" s="213"/>
      <c r="G381" s="117"/>
    </row>
    <row r="382" ht="15.75" customHeight="1">
      <c r="C382" s="224"/>
      <c r="D382" s="117"/>
      <c r="E382" s="213"/>
      <c r="F382" s="213"/>
      <c r="G382" s="117"/>
    </row>
    <row r="383" ht="15.75" customHeight="1">
      <c r="C383" s="224"/>
      <c r="D383" s="117"/>
      <c r="E383" s="213"/>
      <c r="F383" s="213"/>
      <c r="G383" s="117"/>
    </row>
    <row r="384" ht="15.75" customHeight="1">
      <c r="C384" s="224"/>
      <c r="D384" s="117"/>
      <c r="E384" s="213"/>
      <c r="F384" s="213"/>
      <c r="G384" s="117"/>
    </row>
    <row r="385" ht="15.75" customHeight="1">
      <c r="C385" s="224"/>
      <c r="D385" s="117"/>
      <c r="E385" s="213"/>
      <c r="F385" s="213"/>
      <c r="G385" s="117"/>
    </row>
    <row r="386" ht="15.75" customHeight="1">
      <c r="C386" s="224"/>
      <c r="D386" s="117"/>
      <c r="E386" s="213"/>
      <c r="F386" s="213"/>
      <c r="G386" s="117"/>
    </row>
    <row r="387" ht="15.75" customHeight="1">
      <c r="C387" s="224"/>
      <c r="D387" s="117"/>
      <c r="E387" s="213"/>
      <c r="F387" s="213"/>
      <c r="G387" s="117"/>
    </row>
    <row r="388" ht="15.75" customHeight="1">
      <c r="C388" s="224"/>
      <c r="D388" s="117"/>
      <c r="E388" s="213"/>
      <c r="F388" s="213"/>
      <c r="G388" s="117"/>
    </row>
    <row r="389" ht="15.75" customHeight="1">
      <c r="C389" s="224"/>
      <c r="D389" s="117"/>
      <c r="E389" s="213"/>
      <c r="F389" s="213"/>
      <c r="G389" s="117"/>
    </row>
    <row r="390" ht="15.75" customHeight="1">
      <c r="C390" s="224"/>
      <c r="D390" s="117"/>
      <c r="E390" s="213"/>
      <c r="F390" s="213"/>
      <c r="G390" s="117"/>
    </row>
    <row r="391" ht="15.75" customHeight="1">
      <c r="C391" s="224"/>
      <c r="D391" s="117"/>
      <c r="E391" s="213"/>
      <c r="F391" s="213"/>
      <c r="G391" s="117"/>
    </row>
    <row r="392" ht="15.75" customHeight="1">
      <c r="C392" s="224"/>
      <c r="D392" s="117"/>
      <c r="E392" s="213"/>
      <c r="F392" s="213"/>
      <c r="G392" s="117"/>
    </row>
    <row r="393" ht="15.75" customHeight="1">
      <c r="C393" s="224"/>
      <c r="D393" s="117"/>
      <c r="E393" s="213"/>
      <c r="F393" s="213"/>
      <c r="G393" s="117"/>
    </row>
    <row r="394" ht="15.75" customHeight="1">
      <c r="C394" s="224"/>
      <c r="D394" s="117"/>
      <c r="E394" s="213"/>
      <c r="F394" s="213"/>
      <c r="G394" s="117"/>
    </row>
    <row r="395" ht="15.75" customHeight="1">
      <c r="C395" s="224"/>
      <c r="D395" s="117"/>
      <c r="E395" s="213"/>
      <c r="F395" s="213"/>
      <c r="G395" s="117"/>
    </row>
    <row r="396" ht="15.75" customHeight="1">
      <c r="C396" s="224"/>
      <c r="D396" s="117"/>
      <c r="E396" s="213"/>
      <c r="F396" s="213"/>
      <c r="G396" s="117"/>
    </row>
    <row r="397" ht="15.75" customHeight="1">
      <c r="C397" s="224"/>
      <c r="D397" s="117"/>
      <c r="E397" s="213"/>
      <c r="F397" s="213"/>
      <c r="G397" s="117"/>
    </row>
    <row r="398" ht="15.75" customHeight="1">
      <c r="C398" s="224"/>
      <c r="D398" s="117"/>
      <c r="E398" s="213"/>
      <c r="F398" s="213"/>
      <c r="G398" s="117"/>
    </row>
    <row r="399" ht="15.75" customHeight="1">
      <c r="C399" s="224"/>
      <c r="D399" s="117"/>
      <c r="E399" s="213"/>
      <c r="F399" s="213"/>
      <c r="G399" s="117"/>
    </row>
    <row r="400" ht="15.75" customHeight="1">
      <c r="C400" s="224"/>
      <c r="D400" s="117"/>
      <c r="E400" s="213"/>
      <c r="F400" s="213"/>
      <c r="G400" s="117"/>
    </row>
    <row r="401" ht="15.75" customHeight="1">
      <c r="C401" s="224"/>
      <c r="D401" s="117"/>
      <c r="E401" s="213"/>
      <c r="F401" s="213"/>
      <c r="G401" s="117"/>
    </row>
    <row r="402" ht="15.75" customHeight="1">
      <c r="C402" s="224"/>
      <c r="D402" s="117"/>
      <c r="E402" s="213"/>
      <c r="F402" s="213"/>
      <c r="G402" s="117"/>
    </row>
    <row r="403" ht="15.75" customHeight="1">
      <c r="C403" s="224"/>
      <c r="D403" s="117"/>
      <c r="E403" s="213"/>
      <c r="F403" s="213"/>
      <c r="G403" s="117"/>
    </row>
    <row r="404" ht="15.75" customHeight="1">
      <c r="C404" s="224"/>
      <c r="D404" s="117"/>
      <c r="E404" s="213"/>
      <c r="F404" s="213"/>
      <c r="G404" s="117"/>
    </row>
    <row r="405" ht="15.75" customHeight="1">
      <c r="C405" s="224"/>
      <c r="D405" s="117"/>
      <c r="E405" s="213"/>
      <c r="F405" s="213"/>
      <c r="G405" s="117"/>
    </row>
    <row r="406" ht="15.75" customHeight="1">
      <c r="C406" s="224"/>
      <c r="D406" s="117"/>
      <c r="E406" s="213"/>
      <c r="F406" s="213"/>
      <c r="G406" s="117"/>
    </row>
    <row r="407" ht="15.75" customHeight="1">
      <c r="C407" s="224"/>
      <c r="D407" s="117"/>
      <c r="E407" s="213"/>
      <c r="F407" s="213"/>
      <c r="G407" s="117"/>
    </row>
    <row r="408" ht="15.75" customHeight="1">
      <c r="C408" s="224"/>
      <c r="D408" s="117"/>
      <c r="E408" s="213"/>
      <c r="F408" s="213"/>
      <c r="G408" s="117"/>
    </row>
    <row r="409" ht="15.75" customHeight="1">
      <c r="C409" s="224"/>
      <c r="D409" s="117"/>
      <c r="E409" s="213"/>
      <c r="F409" s="213"/>
      <c r="G409" s="117"/>
    </row>
    <row r="410" ht="15.75" customHeight="1">
      <c r="C410" s="224"/>
      <c r="D410" s="117"/>
      <c r="E410" s="213"/>
      <c r="F410" s="213"/>
      <c r="G410" s="117"/>
    </row>
    <row r="411" ht="15.75" customHeight="1">
      <c r="C411" s="224"/>
      <c r="D411" s="117"/>
      <c r="E411" s="213"/>
      <c r="F411" s="213"/>
      <c r="G411" s="117"/>
    </row>
    <row r="412" ht="15.75" customHeight="1">
      <c r="C412" s="224"/>
      <c r="D412" s="117"/>
      <c r="E412" s="213"/>
      <c r="F412" s="213"/>
      <c r="G412" s="117"/>
    </row>
    <row r="413" ht="15.75" customHeight="1">
      <c r="C413" s="224"/>
      <c r="D413" s="117"/>
      <c r="E413" s="213"/>
      <c r="F413" s="213"/>
      <c r="G413" s="117"/>
    </row>
    <row r="414" ht="15.75" customHeight="1">
      <c r="C414" s="224"/>
      <c r="D414" s="117"/>
      <c r="E414" s="213"/>
      <c r="F414" s="213"/>
      <c r="G414" s="117"/>
    </row>
    <row r="415" ht="15.75" customHeight="1">
      <c r="C415" s="224"/>
      <c r="D415" s="117"/>
      <c r="E415" s="213"/>
      <c r="F415" s="213"/>
      <c r="G415" s="117"/>
    </row>
    <row r="416" ht="15.75" customHeight="1">
      <c r="C416" s="224"/>
      <c r="D416" s="117"/>
      <c r="E416" s="213"/>
      <c r="F416" s="213"/>
      <c r="G416" s="117"/>
    </row>
    <row r="417" ht="15.75" customHeight="1">
      <c r="C417" s="224"/>
      <c r="D417" s="117"/>
      <c r="E417" s="213"/>
      <c r="F417" s="213"/>
      <c r="G417" s="117"/>
    </row>
    <row r="418" ht="15.75" customHeight="1">
      <c r="C418" s="224"/>
      <c r="D418" s="117"/>
      <c r="E418" s="213"/>
      <c r="F418" s="213"/>
      <c r="G418" s="117"/>
    </row>
    <row r="419" ht="15.75" customHeight="1">
      <c r="C419" s="224"/>
      <c r="D419" s="117"/>
      <c r="E419" s="213"/>
      <c r="F419" s="213"/>
      <c r="G419" s="117"/>
    </row>
    <row r="420" ht="15.75" customHeight="1">
      <c r="C420" s="224"/>
      <c r="D420" s="117"/>
      <c r="E420" s="213"/>
      <c r="F420" s="213"/>
      <c r="G420" s="117"/>
    </row>
    <row r="421" ht="15.75" customHeight="1">
      <c r="C421" s="224"/>
      <c r="D421" s="117"/>
      <c r="E421" s="213"/>
      <c r="F421" s="213"/>
      <c r="G421" s="117"/>
    </row>
    <row r="422" ht="15.75" customHeight="1">
      <c r="C422" s="224"/>
      <c r="D422" s="117"/>
      <c r="E422" s="213"/>
      <c r="F422" s="213"/>
      <c r="G422" s="117"/>
    </row>
    <row r="423" ht="15.75" customHeight="1">
      <c r="C423" s="224"/>
      <c r="D423" s="117"/>
      <c r="E423" s="213"/>
      <c r="F423" s="213"/>
      <c r="G423" s="117"/>
    </row>
    <row r="424" ht="15.75" customHeight="1">
      <c r="C424" s="224"/>
      <c r="D424" s="117"/>
      <c r="E424" s="213"/>
      <c r="F424" s="213"/>
      <c r="G424" s="117"/>
    </row>
    <row r="425" ht="15.75" customHeight="1">
      <c r="C425" s="224"/>
      <c r="D425" s="117"/>
      <c r="E425" s="213"/>
      <c r="F425" s="213"/>
      <c r="G425" s="117"/>
    </row>
    <row r="426" ht="15.75" customHeight="1">
      <c r="C426" s="224"/>
      <c r="D426" s="117"/>
      <c r="E426" s="213"/>
      <c r="F426" s="213"/>
      <c r="G426" s="117"/>
    </row>
    <row r="427" ht="15.75" customHeight="1">
      <c r="C427" s="224"/>
      <c r="D427" s="117"/>
      <c r="E427" s="213"/>
      <c r="F427" s="213"/>
      <c r="G427" s="117"/>
    </row>
    <row r="428" ht="15.75" customHeight="1">
      <c r="C428" s="224"/>
      <c r="D428" s="117"/>
      <c r="E428" s="213"/>
      <c r="F428" s="213"/>
      <c r="G428" s="117"/>
    </row>
    <row r="429" ht="15.75" customHeight="1">
      <c r="C429" s="224"/>
      <c r="D429" s="117"/>
      <c r="E429" s="213"/>
      <c r="F429" s="213"/>
      <c r="G429" s="117"/>
    </row>
    <row r="430" ht="15.75" customHeight="1">
      <c r="C430" s="224"/>
      <c r="D430" s="117"/>
      <c r="E430" s="213"/>
      <c r="F430" s="213"/>
      <c r="G430" s="117"/>
    </row>
    <row r="431" ht="15.75" customHeight="1">
      <c r="C431" s="224"/>
      <c r="D431" s="117"/>
      <c r="E431" s="213"/>
      <c r="F431" s="213"/>
      <c r="G431" s="117"/>
    </row>
    <row r="432" ht="15.75" customHeight="1">
      <c r="C432" s="224"/>
      <c r="D432" s="117"/>
      <c r="E432" s="213"/>
      <c r="F432" s="213"/>
      <c r="G432" s="117"/>
    </row>
    <row r="433" ht="15.75" customHeight="1">
      <c r="C433" s="224"/>
      <c r="D433" s="117"/>
      <c r="E433" s="213"/>
      <c r="F433" s="213"/>
      <c r="G433" s="117"/>
    </row>
    <row r="434" ht="15.75" customHeight="1">
      <c r="C434" s="224"/>
      <c r="D434" s="117"/>
      <c r="E434" s="213"/>
      <c r="F434" s="213"/>
      <c r="G434" s="117"/>
    </row>
    <row r="435" ht="15.75" customHeight="1">
      <c r="C435" s="224"/>
      <c r="D435" s="117"/>
      <c r="E435" s="213"/>
      <c r="F435" s="213"/>
      <c r="G435" s="117"/>
    </row>
    <row r="436" ht="15.75" customHeight="1">
      <c r="C436" s="224"/>
      <c r="D436" s="117"/>
      <c r="E436" s="213"/>
      <c r="F436" s="213"/>
      <c r="G436" s="117"/>
    </row>
    <row r="437" ht="15.75" customHeight="1">
      <c r="C437" s="224"/>
      <c r="D437" s="117"/>
      <c r="E437" s="213"/>
      <c r="F437" s="213"/>
      <c r="G437" s="117"/>
    </row>
    <row r="438" ht="15.75" customHeight="1">
      <c r="C438" s="224"/>
      <c r="D438" s="117"/>
      <c r="E438" s="213"/>
      <c r="F438" s="213"/>
      <c r="G438" s="117"/>
    </row>
    <row r="439" ht="15.75" customHeight="1">
      <c r="C439" s="224"/>
      <c r="D439" s="117"/>
      <c r="E439" s="213"/>
      <c r="F439" s="213"/>
      <c r="G439" s="117"/>
    </row>
    <row r="440" ht="15.75" customHeight="1">
      <c r="C440" s="224"/>
      <c r="D440" s="117"/>
      <c r="E440" s="213"/>
      <c r="F440" s="213"/>
      <c r="G440" s="117"/>
    </row>
    <row r="441" ht="15.75" customHeight="1">
      <c r="C441" s="224"/>
      <c r="D441" s="117"/>
      <c r="E441" s="213"/>
      <c r="F441" s="213"/>
      <c r="G441" s="117"/>
    </row>
    <row r="442" ht="15.75" customHeight="1">
      <c r="C442" s="224"/>
      <c r="D442" s="117"/>
      <c r="E442" s="213"/>
      <c r="F442" s="213"/>
      <c r="G442" s="117"/>
    </row>
    <row r="443" ht="15.75" customHeight="1">
      <c r="C443" s="224"/>
      <c r="D443" s="117"/>
      <c r="E443" s="213"/>
      <c r="F443" s="213"/>
      <c r="G443" s="117"/>
    </row>
    <row r="444" ht="15.75" customHeight="1">
      <c r="C444" s="224"/>
      <c r="D444" s="117"/>
      <c r="E444" s="213"/>
      <c r="F444" s="213"/>
      <c r="G444" s="117"/>
    </row>
    <row r="445" ht="15.75" customHeight="1">
      <c r="C445" s="224"/>
      <c r="D445" s="117"/>
      <c r="E445" s="213"/>
      <c r="F445" s="213"/>
      <c r="G445" s="117"/>
    </row>
    <row r="446" ht="15.75" customHeight="1">
      <c r="C446" s="224"/>
      <c r="D446" s="117"/>
      <c r="E446" s="213"/>
      <c r="F446" s="213"/>
      <c r="G446" s="117"/>
    </row>
    <row r="447" ht="15.75" customHeight="1">
      <c r="C447" s="224"/>
      <c r="D447" s="117"/>
      <c r="E447" s="213"/>
      <c r="F447" s="213"/>
      <c r="G447" s="117"/>
    </row>
    <row r="448" ht="15.75" customHeight="1">
      <c r="C448" s="224"/>
      <c r="D448" s="117"/>
      <c r="E448" s="213"/>
      <c r="F448" s="213"/>
      <c r="G448" s="117"/>
    </row>
    <row r="449" ht="15.75" customHeight="1">
      <c r="C449" s="224"/>
      <c r="D449" s="117"/>
      <c r="E449" s="213"/>
      <c r="F449" s="213"/>
      <c r="G449" s="117"/>
    </row>
    <row r="450" ht="15.75" customHeight="1">
      <c r="C450" s="224"/>
      <c r="D450" s="117"/>
      <c r="E450" s="213"/>
      <c r="F450" s="213"/>
      <c r="G450" s="117"/>
    </row>
    <row r="451" ht="15.75" customHeight="1">
      <c r="C451" s="224"/>
      <c r="D451" s="117"/>
      <c r="E451" s="213"/>
      <c r="F451" s="213"/>
      <c r="G451" s="117"/>
    </row>
    <row r="452" ht="15.75" customHeight="1">
      <c r="C452" s="224"/>
      <c r="D452" s="117"/>
      <c r="E452" s="213"/>
      <c r="F452" s="213"/>
      <c r="G452" s="117"/>
    </row>
    <row r="453" ht="15.75" customHeight="1">
      <c r="C453" s="224"/>
      <c r="D453" s="117"/>
      <c r="E453" s="213"/>
      <c r="F453" s="213"/>
      <c r="G453" s="117"/>
    </row>
    <row r="454" ht="15.75" customHeight="1">
      <c r="C454" s="224"/>
      <c r="D454" s="117"/>
      <c r="E454" s="213"/>
      <c r="F454" s="213"/>
      <c r="G454" s="117"/>
    </row>
    <row r="455" ht="15.75" customHeight="1">
      <c r="C455" s="224"/>
      <c r="D455" s="117"/>
      <c r="E455" s="213"/>
      <c r="F455" s="213"/>
      <c r="G455" s="117"/>
    </row>
    <row r="456" ht="15.75" customHeight="1">
      <c r="C456" s="224"/>
      <c r="D456" s="117"/>
      <c r="E456" s="213"/>
      <c r="F456" s="213"/>
      <c r="G456" s="117"/>
    </row>
    <row r="457" ht="15.75" customHeight="1">
      <c r="C457" s="224"/>
      <c r="D457" s="117"/>
      <c r="E457" s="213"/>
      <c r="F457" s="213"/>
      <c r="G457" s="117"/>
    </row>
    <row r="458" ht="15.75" customHeight="1">
      <c r="C458" s="224"/>
      <c r="D458" s="117"/>
      <c r="E458" s="213"/>
      <c r="F458" s="213"/>
      <c r="G458" s="117"/>
    </row>
    <row r="459" ht="15.75" customHeight="1">
      <c r="C459" s="224"/>
      <c r="D459" s="117"/>
      <c r="E459" s="213"/>
      <c r="F459" s="213"/>
      <c r="G459" s="117"/>
    </row>
    <row r="460" ht="15.75" customHeight="1">
      <c r="C460" s="224"/>
      <c r="D460" s="117"/>
      <c r="E460" s="213"/>
      <c r="F460" s="213"/>
      <c r="G460" s="117"/>
    </row>
    <row r="461" ht="15.75" customHeight="1">
      <c r="C461" s="224"/>
      <c r="D461" s="117"/>
      <c r="E461" s="213"/>
      <c r="F461" s="213"/>
      <c r="G461" s="117"/>
    </row>
    <row r="462" ht="15.75" customHeight="1">
      <c r="C462" s="224"/>
      <c r="D462" s="117"/>
      <c r="E462" s="213"/>
      <c r="F462" s="213"/>
      <c r="G462" s="117"/>
    </row>
    <row r="463" ht="15.75" customHeight="1">
      <c r="C463" s="224"/>
      <c r="D463" s="117"/>
      <c r="E463" s="213"/>
      <c r="F463" s="213"/>
      <c r="G463" s="117"/>
    </row>
    <row r="464" ht="15.75" customHeight="1">
      <c r="C464" s="224"/>
      <c r="D464" s="117"/>
      <c r="E464" s="213"/>
      <c r="F464" s="213"/>
      <c r="G464" s="117"/>
    </row>
    <row r="465" ht="15.75" customHeight="1">
      <c r="C465" s="224"/>
      <c r="D465" s="117"/>
      <c r="E465" s="213"/>
      <c r="F465" s="213"/>
      <c r="G465" s="117"/>
    </row>
    <row r="466" ht="15.75" customHeight="1">
      <c r="C466" s="224"/>
      <c r="D466" s="117"/>
      <c r="E466" s="213"/>
      <c r="F466" s="213"/>
      <c r="G466" s="117"/>
    </row>
    <row r="467" ht="15.75" customHeight="1">
      <c r="C467" s="224"/>
      <c r="D467" s="117"/>
      <c r="E467" s="213"/>
      <c r="F467" s="213"/>
      <c r="G467" s="117"/>
    </row>
    <row r="468" ht="15.75" customHeight="1">
      <c r="C468" s="224"/>
      <c r="D468" s="117"/>
      <c r="E468" s="213"/>
      <c r="F468" s="213"/>
      <c r="G468" s="117"/>
    </row>
    <row r="469" ht="15.75" customHeight="1">
      <c r="C469" s="224"/>
      <c r="D469" s="117"/>
      <c r="E469" s="213"/>
      <c r="F469" s="213"/>
      <c r="G469" s="117"/>
    </row>
    <row r="470" ht="15.75" customHeight="1">
      <c r="C470" s="224"/>
      <c r="D470" s="117"/>
      <c r="E470" s="213"/>
      <c r="F470" s="213"/>
      <c r="G470" s="117"/>
    </row>
    <row r="471" ht="15.75" customHeight="1">
      <c r="C471" s="224"/>
      <c r="D471" s="117"/>
      <c r="E471" s="213"/>
      <c r="F471" s="213"/>
      <c r="G471" s="117"/>
    </row>
    <row r="472" ht="15.75" customHeight="1">
      <c r="C472" s="224"/>
      <c r="D472" s="117"/>
      <c r="E472" s="213"/>
      <c r="F472" s="213"/>
      <c r="G472" s="117"/>
    </row>
    <row r="473" ht="15.75" customHeight="1">
      <c r="C473" s="224"/>
      <c r="D473" s="117"/>
      <c r="E473" s="213"/>
      <c r="F473" s="213"/>
      <c r="G473" s="117"/>
    </row>
    <row r="474" ht="15.75" customHeight="1">
      <c r="C474" s="224"/>
      <c r="D474" s="117"/>
      <c r="E474" s="213"/>
      <c r="F474" s="213"/>
      <c r="G474" s="117"/>
    </row>
    <row r="475" ht="15.75" customHeight="1">
      <c r="C475" s="224"/>
      <c r="D475" s="117"/>
      <c r="E475" s="213"/>
      <c r="F475" s="213"/>
      <c r="G475" s="117"/>
    </row>
    <row r="476" ht="15.75" customHeight="1">
      <c r="C476" s="224"/>
      <c r="D476" s="117"/>
      <c r="E476" s="213"/>
      <c r="F476" s="213"/>
      <c r="G476" s="117"/>
    </row>
    <row r="477" ht="15.75" customHeight="1">
      <c r="C477" s="224"/>
      <c r="D477" s="117"/>
      <c r="E477" s="213"/>
      <c r="F477" s="213"/>
      <c r="G477" s="117"/>
    </row>
    <row r="478" ht="15.75" customHeight="1">
      <c r="C478" s="224"/>
      <c r="D478" s="117"/>
      <c r="E478" s="213"/>
      <c r="F478" s="213"/>
      <c r="G478" s="117"/>
    </row>
    <row r="479" ht="15.75" customHeight="1">
      <c r="C479" s="224"/>
      <c r="D479" s="117"/>
      <c r="E479" s="213"/>
      <c r="F479" s="213"/>
      <c r="G479" s="117"/>
    </row>
    <row r="480" ht="15.75" customHeight="1">
      <c r="C480" s="224"/>
      <c r="D480" s="117"/>
      <c r="E480" s="213"/>
      <c r="F480" s="213"/>
      <c r="G480" s="117"/>
    </row>
    <row r="481" ht="15.75" customHeight="1">
      <c r="C481" s="224"/>
      <c r="D481" s="117"/>
      <c r="E481" s="213"/>
      <c r="F481" s="213"/>
      <c r="G481" s="117"/>
    </row>
    <row r="482" ht="15.75" customHeight="1">
      <c r="C482" s="224"/>
      <c r="D482" s="117"/>
      <c r="E482" s="213"/>
      <c r="F482" s="213"/>
      <c r="G482" s="117"/>
    </row>
    <row r="483" ht="15.75" customHeight="1">
      <c r="C483" s="224"/>
      <c r="D483" s="117"/>
      <c r="E483" s="213"/>
      <c r="F483" s="213"/>
      <c r="G483" s="117"/>
    </row>
    <row r="484" ht="15.75" customHeight="1">
      <c r="C484" s="224"/>
      <c r="D484" s="117"/>
      <c r="E484" s="213"/>
      <c r="F484" s="213"/>
      <c r="G484" s="117"/>
    </row>
    <row r="485" ht="15.75" customHeight="1">
      <c r="C485" s="224"/>
      <c r="D485" s="117"/>
      <c r="E485" s="213"/>
      <c r="F485" s="213"/>
      <c r="G485" s="117"/>
    </row>
    <row r="486" ht="15.75" customHeight="1">
      <c r="C486" s="224"/>
      <c r="D486" s="117"/>
      <c r="E486" s="213"/>
      <c r="F486" s="213"/>
      <c r="G486" s="117"/>
    </row>
    <row r="487" ht="15.75" customHeight="1">
      <c r="C487" s="224"/>
      <c r="D487" s="117"/>
      <c r="E487" s="213"/>
      <c r="F487" s="213"/>
      <c r="G487" s="117"/>
    </row>
    <row r="488" ht="15.75" customHeight="1">
      <c r="C488" s="224"/>
      <c r="D488" s="117"/>
      <c r="E488" s="213"/>
      <c r="F488" s="213"/>
      <c r="G488" s="117"/>
    </row>
    <row r="489" ht="15.75" customHeight="1">
      <c r="C489" s="224"/>
      <c r="D489" s="117"/>
      <c r="E489" s="213"/>
      <c r="F489" s="213"/>
      <c r="G489" s="117"/>
    </row>
    <row r="490" ht="15.75" customHeight="1">
      <c r="C490" s="224"/>
      <c r="D490" s="117"/>
      <c r="E490" s="213"/>
      <c r="F490" s="213"/>
      <c r="G490" s="117"/>
    </row>
    <row r="491" ht="15.75" customHeight="1">
      <c r="C491" s="224"/>
      <c r="D491" s="117"/>
      <c r="E491" s="213"/>
      <c r="F491" s="213"/>
      <c r="G491" s="117"/>
    </row>
    <row r="492" ht="15.75" customHeight="1">
      <c r="C492" s="224"/>
      <c r="D492" s="117"/>
      <c r="E492" s="213"/>
      <c r="F492" s="213"/>
      <c r="G492" s="117"/>
    </row>
    <row r="493" ht="15.75" customHeight="1">
      <c r="C493" s="224"/>
      <c r="D493" s="117"/>
      <c r="E493" s="213"/>
      <c r="F493" s="213"/>
      <c r="G493" s="117"/>
    </row>
    <row r="494" ht="15.75" customHeight="1">
      <c r="C494" s="224"/>
      <c r="D494" s="117"/>
      <c r="E494" s="213"/>
      <c r="F494" s="213"/>
      <c r="G494" s="117"/>
    </row>
    <row r="495" ht="15.75" customHeight="1">
      <c r="C495" s="224"/>
      <c r="D495" s="117"/>
      <c r="E495" s="213"/>
      <c r="F495" s="213"/>
      <c r="G495" s="117"/>
    </row>
    <row r="496" ht="15.75" customHeight="1">
      <c r="C496" s="224"/>
      <c r="D496" s="117"/>
      <c r="E496" s="213"/>
      <c r="F496" s="213"/>
      <c r="G496" s="117"/>
    </row>
    <row r="497" ht="15.75" customHeight="1">
      <c r="C497" s="224"/>
      <c r="D497" s="117"/>
      <c r="E497" s="213"/>
      <c r="F497" s="213"/>
      <c r="G497" s="117"/>
    </row>
    <row r="498" ht="15.75" customHeight="1">
      <c r="C498" s="224"/>
      <c r="D498" s="117"/>
      <c r="E498" s="213"/>
      <c r="F498" s="213"/>
      <c r="G498" s="117"/>
    </row>
    <row r="499" ht="15.75" customHeight="1">
      <c r="C499" s="224"/>
      <c r="D499" s="117"/>
      <c r="E499" s="213"/>
      <c r="F499" s="213"/>
      <c r="G499" s="117"/>
    </row>
    <row r="500" ht="15.75" customHeight="1">
      <c r="C500" s="224"/>
      <c r="D500" s="117"/>
      <c r="E500" s="213"/>
      <c r="F500" s="213"/>
      <c r="G500" s="117"/>
    </row>
    <row r="501" ht="15.75" customHeight="1">
      <c r="C501" s="224"/>
      <c r="D501" s="117"/>
      <c r="E501" s="213"/>
      <c r="F501" s="213"/>
      <c r="G501" s="117"/>
    </row>
    <row r="502" ht="15.75" customHeight="1">
      <c r="C502" s="224"/>
      <c r="D502" s="117"/>
      <c r="E502" s="213"/>
      <c r="F502" s="213"/>
      <c r="G502" s="117"/>
    </row>
    <row r="503" ht="15.75" customHeight="1">
      <c r="C503" s="224"/>
      <c r="D503" s="117"/>
      <c r="E503" s="213"/>
      <c r="F503" s="213"/>
      <c r="G503" s="117"/>
    </row>
    <row r="504" ht="15.75" customHeight="1">
      <c r="C504" s="224"/>
      <c r="D504" s="117"/>
      <c r="E504" s="213"/>
      <c r="F504" s="213"/>
      <c r="G504" s="117"/>
    </row>
    <row r="505" ht="15.75" customHeight="1">
      <c r="C505" s="224"/>
      <c r="D505" s="117"/>
      <c r="E505" s="213"/>
      <c r="F505" s="213"/>
      <c r="G505" s="117"/>
    </row>
    <row r="506" ht="15.75" customHeight="1">
      <c r="C506" s="224"/>
      <c r="D506" s="117"/>
      <c r="E506" s="213"/>
      <c r="F506" s="213"/>
      <c r="G506" s="117"/>
    </row>
    <row r="507" ht="15.75" customHeight="1">
      <c r="C507" s="224"/>
      <c r="D507" s="117"/>
      <c r="E507" s="213"/>
      <c r="F507" s="213"/>
      <c r="G507" s="117"/>
    </row>
    <row r="508" ht="15.75" customHeight="1">
      <c r="C508" s="224"/>
      <c r="D508" s="117"/>
      <c r="E508" s="213"/>
      <c r="F508" s="213"/>
      <c r="G508" s="117"/>
    </row>
    <row r="509" ht="15.75" customHeight="1">
      <c r="C509" s="224"/>
      <c r="D509" s="117"/>
      <c r="E509" s="213"/>
      <c r="F509" s="213"/>
      <c r="G509" s="117"/>
    </row>
    <row r="510" ht="15.75" customHeight="1">
      <c r="C510" s="224"/>
      <c r="D510" s="117"/>
      <c r="E510" s="213"/>
      <c r="F510" s="213"/>
      <c r="G510" s="117"/>
    </row>
    <row r="511" ht="15.75" customHeight="1">
      <c r="C511" s="224"/>
      <c r="D511" s="117"/>
      <c r="E511" s="213"/>
      <c r="F511" s="213"/>
      <c r="G511" s="117"/>
    </row>
    <row r="512" ht="15.75" customHeight="1">
      <c r="C512" s="224"/>
      <c r="D512" s="117"/>
      <c r="E512" s="213"/>
      <c r="F512" s="213"/>
      <c r="G512" s="117"/>
    </row>
    <row r="513" ht="15.75" customHeight="1">
      <c r="C513" s="224"/>
      <c r="D513" s="117"/>
      <c r="E513" s="213"/>
      <c r="F513" s="213"/>
      <c r="G513" s="117"/>
    </row>
    <row r="514" ht="15.75" customHeight="1">
      <c r="C514" s="224"/>
      <c r="D514" s="117"/>
      <c r="E514" s="213"/>
      <c r="F514" s="213"/>
      <c r="G514" s="117"/>
    </row>
    <row r="515" ht="15.75" customHeight="1">
      <c r="C515" s="224"/>
      <c r="D515" s="117"/>
      <c r="E515" s="213"/>
      <c r="F515" s="213"/>
      <c r="G515" s="117"/>
    </row>
    <row r="516" ht="15.75" customHeight="1">
      <c r="C516" s="224"/>
      <c r="D516" s="117"/>
      <c r="E516" s="213"/>
      <c r="F516" s="213"/>
      <c r="G516" s="117"/>
    </row>
    <row r="517" ht="15.75" customHeight="1">
      <c r="C517" s="224"/>
      <c r="D517" s="117"/>
      <c r="E517" s="213"/>
      <c r="F517" s="213"/>
      <c r="G517" s="117"/>
    </row>
    <row r="518" ht="15.75" customHeight="1">
      <c r="C518" s="224"/>
      <c r="D518" s="117"/>
      <c r="E518" s="213"/>
      <c r="F518" s="213"/>
      <c r="G518" s="117"/>
    </row>
    <row r="519" ht="15.75" customHeight="1">
      <c r="C519" s="224"/>
      <c r="D519" s="117"/>
      <c r="E519" s="213"/>
      <c r="F519" s="213"/>
      <c r="G519" s="117"/>
    </row>
    <row r="520" ht="15.75" customHeight="1">
      <c r="C520" s="224"/>
      <c r="D520" s="117"/>
      <c r="E520" s="213"/>
      <c r="F520" s="213"/>
      <c r="G520" s="117"/>
    </row>
    <row r="521" ht="15.75" customHeight="1">
      <c r="C521" s="224"/>
      <c r="D521" s="117"/>
      <c r="E521" s="213"/>
      <c r="F521" s="213"/>
      <c r="G521" s="117"/>
    </row>
    <row r="522" ht="15.75" customHeight="1">
      <c r="C522" s="224"/>
      <c r="D522" s="117"/>
      <c r="E522" s="213"/>
      <c r="F522" s="213"/>
      <c r="G522" s="117"/>
    </row>
    <row r="523" ht="15.75" customHeight="1">
      <c r="C523" s="224"/>
      <c r="D523" s="117"/>
      <c r="E523" s="213"/>
      <c r="F523" s="213"/>
      <c r="G523" s="117"/>
    </row>
    <row r="524" ht="15.75" customHeight="1">
      <c r="C524" s="224"/>
      <c r="D524" s="117"/>
      <c r="E524" s="213"/>
      <c r="F524" s="213"/>
      <c r="G524" s="117"/>
    </row>
    <row r="525" ht="15.75" customHeight="1">
      <c r="C525" s="224"/>
      <c r="D525" s="117"/>
      <c r="E525" s="213"/>
      <c r="F525" s="213"/>
      <c r="G525" s="117"/>
    </row>
    <row r="526" ht="15.75" customHeight="1">
      <c r="C526" s="224"/>
      <c r="D526" s="117"/>
      <c r="E526" s="213"/>
      <c r="F526" s="213"/>
      <c r="G526" s="117"/>
    </row>
    <row r="527" ht="15.75" customHeight="1">
      <c r="C527" s="224"/>
      <c r="D527" s="117"/>
      <c r="E527" s="213"/>
      <c r="F527" s="213"/>
      <c r="G527" s="117"/>
    </row>
    <row r="528" ht="15.75" customHeight="1">
      <c r="C528" s="224"/>
      <c r="D528" s="117"/>
      <c r="E528" s="213"/>
      <c r="F528" s="213"/>
      <c r="G528" s="117"/>
    </row>
    <row r="529" ht="15.75" customHeight="1">
      <c r="C529" s="224"/>
      <c r="D529" s="117"/>
      <c r="E529" s="213"/>
      <c r="F529" s="213"/>
      <c r="G529" s="117"/>
    </row>
    <row r="530" ht="15.75" customHeight="1">
      <c r="C530" s="224"/>
      <c r="D530" s="117"/>
      <c r="E530" s="213"/>
      <c r="F530" s="213"/>
      <c r="G530" s="117"/>
    </row>
    <row r="531" ht="15.75" customHeight="1">
      <c r="C531" s="224"/>
      <c r="D531" s="117"/>
      <c r="E531" s="213"/>
      <c r="F531" s="213"/>
      <c r="G531" s="117"/>
    </row>
    <row r="532" ht="15.75" customHeight="1">
      <c r="C532" s="224"/>
      <c r="D532" s="117"/>
      <c r="E532" s="213"/>
      <c r="F532" s="213"/>
      <c r="G532" s="117"/>
    </row>
    <row r="533" ht="15.75" customHeight="1">
      <c r="C533" s="224"/>
      <c r="D533" s="117"/>
      <c r="E533" s="213"/>
      <c r="F533" s="213"/>
      <c r="G533" s="117"/>
    </row>
    <row r="534" ht="15.75" customHeight="1">
      <c r="C534" s="224"/>
      <c r="D534" s="117"/>
      <c r="E534" s="213"/>
      <c r="F534" s="213"/>
      <c r="G534" s="117"/>
    </row>
    <row r="535" ht="15.75" customHeight="1">
      <c r="C535" s="224"/>
      <c r="D535" s="117"/>
      <c r="E535" s="213"/>
      <c r="F535" s="213"/>
      <c r="G535" s="117"/>
    </row>
    <row r="536" ht="15.75" customHeight="1">
      <c r="C536" s="224"/>
      <c r="D536" s="117"/>
      <c r="E536" s="213"/>
      <c r="F536" s="213"/>
      <c r="G536" s="117"/>
    </row>
    <row r="537" ht="15.75" customHeight="1">
      <c r="C537" s="224"/>
      <c r="D537" s="117"/>
      <c r="E537" s="213"/>
      <c r="F537" s="213"/>
      <c r="G537" s="117"/>
    </row>
    <row r="538" ht="15.75" customHeight="1">
      <c r="C538" s="224"/>
      <c r="D538" s="117"/>
      <c r="E538" s="213"/>
      <c r="F538" s="213"/>
      <c r="G538" s="117"/>
    </row>
    <row r="539" ht="15.75" customHeight="1">
      <c r="C539" s="224"/>
      <c r="D539" s="117"/>
      <c r="E539" s="213"/>
      <c r="F539" s="213"/>
      <c r="G539" s="117"/>
    </row>
    <row r="540" ht="15.75" customHeight="1">
      <c r="C540" s="224"/>
      <c r="D540" s="117"/>
      <c r="E540" s="213"/>
      <c r="F540" s="213"/>
      <c r="G540" s="117"/>
    </row>
    <row r="541" ht="15.75" customHeight="1">
      <c r="C541" s="224"/>
      <c r="D541" s="117"/>
      <c r="E541" s="213"/>
      <c r="F541" s="213"/>
      <c r="G541" s="117"/>
    </row>
    <row r="542" ht="15.75" customHeight="1">
      <c r="C542" s="224"/>
      <c r="D542" s="117"/>
      <c r="E542" s="213"/>
      <c r="F542" s="213"/>
      <c r="G542" s="117"/>
    </row>
    <row r="543" ht="15.75" customHeight="1">
      <c r="C543" s="224"/>
      <c r="D543" s="117"/>
      <c r="E543" s="213"/>
      <c r="F543" s="213"/>
      <c r="G543" s="117"/>
    </row>
    <row r="544" ht="15.75" customHeight="1">
      <c r="C544" s="224"/>
      <c r="D544" s="117"/>
      <c r="E544" s="213"/>
      <c r="F544" s="213"/>
      <c r="G544" s="117"/>
    </row>
    <row r="545" ht="15.75" customHeight="1">
      <c r="C545" s="224"/>
      <c r="D545" s="117"/>
      <c r="E545" s="213"/>
      <c r="F545" s="213"/>
      <c r="G545" s="117"/>
    </row>
    <row r="546" ht="15.75" customHeight="1">
      <c r="C546" s="224"/>
      <c r="D546" s="117"/>
      <c r="E546" s="213"/>
      <c r="F546" s="213"/>
      <c r="G546" s="117"/>
    </row>
    <row r="547" ht="15.75" customHeight="1">
      <c r="C547" s="224"/>
      <c r="D547" s="117"/>
      <c r="E547" s="213"/>
      <c r="F547" s="213"/>
      <c r="G547" s="117"/>
    </row>
    <row r="548" ht="15.75" customHeight="1">
      <c r="C548" s="224"/>
      <c r="D548" s="117"/>
      <c r="E548" s="213"/>
      <c r="F548" s="213"/>
      <c r="G548" s="117"/>
    </row>
    <row r="549" ht="15.75" customHeight="1">
      <c r="C549" s="224"/>
      <c r="D549" s="117"/>
      <c r="E549" s="213"/>
      <c r="F549" s="213"/>
      <c r="G549" s="117"/>
    </row>
    <row r="550" ht="15.75" customHeight="1">
      <c r="C550" s="224"/>
      <c r="D550" s="117"/>
      <c r="E550" s="213"/>
      <c r="F550" s="213"/>
      <c r="G550" s="117"/>
    </row>
    <row r="551" ht="15.75" customHeight="1">
      <c r="C551" s="224"/>
      <c r="D551" s="117"/>
      <c r="E551" s="213"/>
      <c r="F551" s="213"/>
      <c r="G551" s="117"/>
    </row>
    <row r="552" ht="15.75" customHeight="1">
      <c r="C552" s="224"/>
      <c r="D552" s="117"/>
      <c r="E552" s="213"/>
      <c r="F552" s="213"/>
      <c r="G552" s="117"/>
    </row>
    <row r="553" ht="15.75" customHeight="1">
      <c r="C553" s="224"/>
      <c r="D553" s="117"/>
      <c r="E553" s="213"/>
      <c r="F553" s="213"/>
      <c r="G553" s="117"/>
    </row>
    <row r="554" ht="15.75" customHeight="1">
      <c r="C554" s="224"/>
      <c r="D554" s="117"/>
      <c r="E554" s="213"/>
      <c r="F554" s="213"/>
      <c r="G554" s="117"/>
    </row>
    <row r="555" ht="15.75" customHeight="1">
      <c r="C555" s="224"/>
      <c r="D555" s="117"/>
      <c r="E555" s="213"/>
      <c r="F555" s="213"/>
      <c r="G555" s="117"/>
    </row>
    <row r="556" ht="15.75" customHeight="1">
      <c r="C556" s="224"/>
      <c r="D556" s="117"/>
      <c r="E556" s="213"/>
      <c r="F556" s="213"/>
      <c r="G556" s="117"/>
    </row>
    <row r="557" ht="15.75" customHeight="1">
      <c r="C557" s="224"/>
      <c r="D557" s="117"/>
      <c r="E557" s="213"/>
      <c r="F557" s="213"/>
      <c r="G557" s="117"/>
    </row>
    <row r="558" ht="15.75" customHeight="1">
      <c r="C558" s="224"/>
      <c r="D558" s="117"/>
      <c r="E558" s="213"/>
      <c r="F558" s="213"/>
      <c r="G558" s="117"/>
    </row>
    <row r="559" ht="15.75" customHeight="1">
      <c r="C559" s="224"/>
      <c r="D559" s="117"/>
      <c r="E559" s="213"/>
      <c r="F559" s="213"/>
      <c r="G559" s="117"/>
    </row>
    <row r="560" ht="15.75" customHeight="1">
      <c r="C560" s="224"/>
      <c r="D560" s="117"/>
      <c r="E560" s="213"/>
      <c r="F560" s="213"/>
      <c r="G560" s="117"/>
    </row>
    <row r="561" ht="15.75" customHeight="1">
      <c r="C561" s="224"/>
      <c r="D561" s="117"/>
      <c r="E561" s="213"/>
      <c r="F561" s="213"/>
      <c r="G561" s="117"/>
    </row>
    <row r="562" ht="15.75" customHeight="1">
      <c r="C562" s="224"/>
      <c r="D562" s="117"/>
      <c r="E562" s="213"/>
      <c r="F562" s="213"/>
      <c r="G562" s="117"/>
    </row>
    <row r="563" ht="15.75" customHeight="1">
      <c r="C563" s="224"/>
      <c r="D563" s="117"/>
      <c r="E563" s="213"/>
      <c r="F563" s="213"/>
      <c r="G563" s="117"/>
    </row>
    <row r="564" ht="15.75" customHeight="1">
      <c r="C564" s="224"/>
      <c r="D564" s="117"/>
      <c r="E564" s="213"/>
      <c r="F564" s="213"/>
      <c r="G564" s="117"/>
    </row>
    <row r="565" ht="15.75" customHeight="1">
      <c r="C565" s="224"/>
      <c r="D565" s="117"/>
      <c r="E565" s="213"/>
      <c r="F565" s="213"/>
      <c r="G565" s="117"/>
    </row>
    <row r="566" ht="15.75" customHeight="1">
      <c r="C566" s="224"/>
      <c r="D566" s="117"/>
      <c r="E566" s="213"/>
      <c r="F566" s="213"/>
      <c r="G566" s="117"/>
    </row>
    <row r="567" ht="15.75" customHeight="1">
      <c r="C567" s="224"/>
      <c r="D567" s="117"/>
      <c r="E567" s="213"/>
      <c r="F567" s="213"/>
      <c r="G567" s="117"/>
    </row>
    <row r="568" ht="15.75" customHeight="1">
      <c r="C568" s="224"/>
      <c r="D568" s="117"/>
      <c r="E568" s="213"/>
      <c r="F568" s="213"/>
      <c r="G568" s="117"/>
    </row>
    <row r="569" ht="15.75" customHeight="1">
      <c r="C569" s="224"/>
      <c r="D569" s="117"/>
      <c r="E569" s="213"/>
      <c r="F569" s="213"/>
      <c r="G569" s="117"/>
    </row>
    <row r="570" ht="15.75" customHeight="1">
      <c r="C570" s="224"/>
      <c r="D570" s="117"/>
      <c r="E570" s="213"/>
      <c r="F570" s="213"/>
      <c r="G570" s="117"/>
    </row>
    <row r="571" ht="15.75" customHeight="1">
      <c r="C571" s="224"/>
      <c r="D571" s="117"/>
      <c r="E571" s="213"/>
      <c r="F571" s="213"/>
      <c r="G571" s="117"/>
    </row>
    <row r="572" ht="15.75" customHeight="1">
      <c r="C572" s="224"/>
      <c r="D572" s="117"/>
      <c r="E572" s="213"/>
      <c r="F572" s="213"/>
      <c r="G572" s="117"/>
    </row>
    <row r="573" ht="15.75" customHeight="1">
      <c r="C573" s="224"/>
      <c r="D573" s="117"/>
      <c r="E573" s="213"/>
      <c r="F573" s="213"/>
      <c r="G573" s="117"/>
    </row>
    <row r="574" ht="15.75" customHeight="1">
      <c r="C574" s="224"/>
      <c r="D574" s="117"/>
      <c r="E574" s="213"/>
      <c r="F574" s="213"/>
      <c r="G574" s="117"/>
    </row>
    <row r="575" ht="15.75" customHeight="1">
      <c r="C575" s="224"/>
      <c r="D575" s="117"/>
      <c r="E575" s="213"/>
      <c r="F575" s="213"/>
      <c r="G575" s="117"/>
    </row>
    <row r="576" ht="15.75" customHeight="1">
      <c r="C576" s="224"/>
      <c r="D576" s="117"/>
      <c r="E576" s="213"/>
      <c r="F576" s="213"/>
      <c r="G576" s="117"/>
    </row>
    <row r="577" ht="15.75" customHeight="1">
      <c r="C577" s="224"/>
      <c r="D577" s="117"/>
      <c r="E577" s="213"/>
      <c r="F577" s="213"/>
      <c r="G577" s="117"/>
    </row>
    <row r="578" ht="15.75" customHeight="1">
      <c r="C578" s="224"/>
      <c r="D578" s="117"/>
      <c r="E578" s="213"/>
      <c r="F578" s="213"/>
      <c r="G578" s="117"/>
    </row>
    <row r="579" ht="15.75" customHeight="1">
      <c r="C579" s="224"/>
      <c r="D579" s="117"/>
      <c r="E579" s="213"/>
      <c r="F579" s="213"/>
      <c r="G579" s="117"/>
    </row>
    <row r="580" ht="15.75" customHeight="1">
      <c r="C580" s="224"/>
      <c r="D580" s="117"/>
      <c r="E580" s="213"/>
      <c r="F580" s="213"/>
      <c r="G580" s="117"/>
    </row>
    <row r="581" ht="15.75" customHeight="1">
      <c r="C581" s="224"/>
      <c r="D581" s="117"/>
      <c r="E581" s="213"/>
      <c r="F581" s="213"/>
      <c r="G581" s="117"/>
    </row>
    <row r="582" ht="15.75" customHeight="1">
      <c r="C582" s="224"/>
      <c r="D582" s="117"/>
      <c r="E582" s="213"/>
      <c r="F582" s="213"/>
      <c r="G582" s="117"/>
    </row>
    <row r="583" ht="15.75" customHeight="1">
      <c r="C583" s="224"/>
      <c r="D583" s="117"/>
      <c r="E583" s="213"/>
      <c r="F583" s="213"/>
      <c r="G583" s="117"/>
    </row>
    <row r="584" ht="15.75" customHeight="1">
      <c r="C584" s="224"/>
      <c r="D584" s="117"/>
      <c r="E584" s="213"/>
      <c r="F584" s="213"/>
      <c r="G584" s="117"/>
    </row>
    <row r="585" ht="15.75" customHeight="1">
      <c r="C585" s="224"/>
      <c r="D585" s="117"/>
      <c r="E585" s="213"/>
      <c r="F585" s="213"/>
      <c r="G585" s="117"/>
    </row>
    <row r="586" ht="15.75" customHeight="1">
      <c r="C586" s="224"/>
      <c r="D586" s="117"/>
      <c r="E586" s="213"/>
      <c r="F586" s="213"/>
      <c r="G586" s="117"/>
    </row>
    <row r="587" ht="15.75" customHeight="1">
      <c r="C587" s="224"/>
      <c r="D587" s="117"/>
      <c r="E587" s="213"/>
      <c r="F587" s="213"/>
      <c r="G587" s="117"/>
    </row>
    <row r="588" ht="15.75" customHeight="1">
      <c r="C588" s="224"/>
      <c r="D588" s="117"/>
      <c r="E588" s="213"/>
      <c r="F588" s="213"/>
      <c r="G588" s="117"/>
    </row>
    <row r="589" ht="15.75" customHeight="1">
      <c r="C589" s="224"/>
      <c r="D589" s="117"/>
      <c r="E589" s="213"/>
      <c r="F589" s="213"/>
      <c r="G589" s="117"/>
    </row>
    <row r="590" ht="15.75" customHeight="1">
      <c r="C590" s="224"/>
      <c r="D590" s="117"/>
      <c r="E590" s="213"/>
      <c r="F590" s="213"/>
      <c r="G590" s="117"/>
    </row>
    <row r="591" ht="15.75" customHeight="1">
      <c r="C591" s="224"/>
      <c r="D591" s="117"/>
      <c r="E591" s="213"/>
      <c r="F591" s="213"/>
      <c r="G591" s="117"/>
    </row>
    <row r="592" ht="15.75" customHeight="1">
      <c r="C592" s="224"/>
      <c r="D592" s="117"/>
      <c r="E592" s="213"/>
      <c r="F592" s="213"/>
      <c r="G592" s="117"/>
    </row>
    <row r="593" ht="15.75" customHeight="1">
      <c r="C593" s="224"/>
      <c r="D593" s="117"/>
      <c r="E593" s="213"/>
      <c r="F593" s="213"/>
      <c r="G593" s="117"/>
    </row>
    <row r="594" ht="15.75" customHeight="1">
      <c r="C594" s="224"/>
      <c r="D594" s="117"/>
      <c r="E594" s="213"/>
      <c r="F594" s="213"/>
      <c r="G594" s="117"/>
    </row>
    <row r="595" ht="15.75" customHeight="1">
      <c r="C595" s="224"/>
      <c r="D595" s="117"/>
      <c r="E595" s="213"/>
      <c r="F595" s="213"/>
      <c r="G595" s="117"/>
    </row>
    <row r="596" ht="15.75" customHeight="1">
      <c r="C596" s="224"/>
      <c r="D596" s="117"/>
      <c r="E596" s="213"/>
      <c r="F596" s="213"/>
      <c r="G596" s="117"/>
    </row>
    <row r="597" ht="15.75" customHeight="1">
      <c r="C597" s="224"/>
      <c r="D597" s="117"/>
      <c r="E597" s="213"/>
      <c r="F597" s="213"/>
      <c r="G597" s="117"/>
    </row>
    <row r="598" ht="15.75" customHeight="1">
      <c r="C598" s="224"/>
      <c r="D598" s="117"/>
      <c r="E598" s="213"/>
      <c r="F598" s="213"/>
      <c r="G598" s="117"/>
    </row>
    <row r="599" ht="15.75" customHeight="1">
      <c r="C599" s="224"/>
      <c r="D599" s="117"/>
      <c r="E599" s="213"/>
      <c r="F599" s="213"/>
      <c r="G599" s="117"/>
    </row>
    <row r="600" ht="15.75" customHeight="1">
      <c r="C600" s="224"/>
      <c r="D600" s="117"/>
      <c r="E600" s="213"/>
      <c r="F600" s="213"/>
      <c r="G600" s="117"/>
    </row>
    <row r="601" ht="15.75" customHeight="1">
      <c r="C601" s="224"/>
      <c r="D601" s="117"/>
      <c r="E601" s="213"/>
      <c r="F601" s="213"/>
      <c r="G601" s="117"/>
    </row>
    <row r="602" ht="15.75" customHeight="1">
      <c r="C602" s="224"/>
      <c r="D602" s="117"/>
      <c r="E602" s="213"/>
      <c r="F602" s="213"/>
      <c r="G602" s="117"/>
    </row>
    <row r="603" ht="15.75" customHeight="1">
      <c r="C603" s="224"/>
      <c r="D603" s="117"/>
      <c r="E603" s="213"/>
      <c r="F603" s="213"/>
      <c r="G603" s="117"/>
    </row>
    <row r="604" ht="15.75" customHeight="1">
      <c r="C604" s="224"/>
      <c r="D604" s="117"/>
      <c r="E604" s="213"/>
      <c r="F604" s="213"/>
      <c r="G604" s="117"/>
    </row>
    <row r="605" ht="15.75" customHeight="1">
      <c r="C605" s="224"/>
      <c r="D605" s="117"/>
      <c r="E605" s="213"/>
      <c r="F605" s="213"/>
      <c r="G605" s="117"/>
    </row>
    <row r="606" ht="15.75" customHeight="1">
      <c r="C606" s="224"/>
      <c r="D606" s="117"/>
      <c r="E606" s="213"/>
      <c r="F606" s="213"/>
      <c r="G606" s="117"/>
    </row>
    <row r="607" ht="15.75" customHeight="1">
      <c r="C607" s="224"/>
      <c r="D607" s="117"/>
      <c r="E607" s="213"/>
      <c r="F607" s="213"/>
      <c r="G607" s="117"/>
    </row>
    <row r="608" ht="15.75" customHeight="1">
      <c r="C608" s="224"/>
      <c r="D608" s="117"/>
      <c r="E608" s="213"/>
      <c r="F608" s="213"/>
      <c r="G608" s="117"/>
    </row>
    <row r="609" ht="15.75" customHeight="1">
      <c r="C609" s="224"/>
      <c r="D609" s="117"/>
      <c r="E609" s="213"/>
      <c r="F609" s="213"/>
      <c r="G609" s="117"/>
    </row>
    <row r="610" ht="15.75" customHeight="1">
      <c r="C610" s="224"/>
      <c r="D610" s="117"/>
      <c r="E610" s="213"/>
      <c r="F610" s="213"/>
      <c r="G610" s="117"/>
    </row>
    <row r="611" ht="15.75" customHeight="1">
      <c r="C611" s="224"/>
      <c r="D611" s="117"/>
      <c r="E611" s="213"/>
      <c r="F611" s="213"/>
      <c r="G611" s="117"/>
    </row>
    <row r="612" ht="15.75" customHeight="1">
      <c r="C612" s="224"/>
      <c r="D612" s="117"/>
      <c r="E612" s="213"/>
      <c r="F612" s="213"/>
      <c r="G612" s="117"/>
    </row>
    <row r="613" ht="15.75" customHeight="1">
      <c r="C613" s="224"/>
      <c r="D613" s="117"/>
      <c r="E613" s="213"/>
      <c r="F613" s="213"/>
      <c r="G613" s="117"/>
    </row>
    <row r="614" ht="15.75" customHeight="1">
      <c r="C614" s="224"/>
      <c r="D614" s="117"/>
      <c r="E614" s="213"/>
      <c r="F614" s="213"/>
      <c r="G614" s="117"/>
    </row>
    <row r="615" ht="15.75" customHeight="1">
      <c r="C615" s="224"/>
      <c r="D615" s="117"/>
      <c r="E615" s="213"/>
      <c r="F615" s="213"/>
      <c r="G615" s="117"/>
    </row>
    <row r="616" ht="15.75" customHeight="1">
      <c r="C616" s="224"/>
      <c r="D616" s="117"/>
      <c r="E616" s="213"/>
      <c r="F616" s="213"/>
      <c r="G616" s="117"/>
    </row>
    <row r="617" ht="15.75" customHeight="1">
      <c r="C617" s="224"/>
      <c r="D617" s="117"/>
      <c r="E617" s="213"/>
      <c r="F617" s="213"/>
      <c r="G617" s="117"/>
    </row>
    <row r="618" ht="15.75" customHeight="1">
      <c r="C618" s="224"/>
      <c r="D618" s="117"/>
      <c r="E618" s="213"/>
      <c r="F618" s="213"/>
      <c r="G618" s="117"/>
    </row>
    <row r="619" ht="15.75" customHeight="1">
      <c r="C619" s="224"/>
      <c r="D619" s="117"/>
      <c r="E619" s="213"/>
      <c r="F619" s="213"/>
      <c r="G619" s="117"/>
    </row>
    <row r="620" ht="15.75" customHeight="1">
      <c r="C620" s="224"/>
      <c r="D620" s="117"/>
      <c r="E620" s="213"/>
      <c r="F620" s="213"/>
      <c r="G620" s="117"/>
    </row>
    <row r="621" ht="15.75" customHeight="1">
      <c r="C621" s="224"/>
      <c r="D621" s="117"/>
      <c r="E621" s="213"/>
      <c r="F621" s="213"/>
      <c r="G621" s="117"/>
    </row>
    <row r="622" ht="15.75" customHeight="1">
      <c r="C622" s="224"/>
      <c r="D622" s="117"/>
      <c r="E622" s="213"/>
      <c r="F622" s="213"/>
      <c r="G622" s="117"/>
    </row>
    <row r="623" ht="15.75" customHeight="1">
      <c r="C623" s="224"/>
      <c r="D623" s="117"/>
      <c r="E623" s="213"/>
      <c r="F623" s="213"/>
      <c r="G623" s="117"/>
    </row>
    <row r="624" ht="15.75" customHeight="1">
      <c r="C624" s="224"/>
      <c r="D624" s="117"/>
      <c r="E624" s="213"/>
      <c r="F624" s="213"/>
      <c r="G624" s="117"/>
    </row>
    <row r="625" ht="15.75" customHeight="1">
      <c r="C625" s="224"/>
      <c r="D625" s="117"/>
      <c r="E625" s="213"/>
      <c r="F625" s="213"/>
      <c r="G625" s="117"/>
    </row>
    <row r="626" ht="15.75" customHeight="1">
      <c r="C626" s="224"/>
      <c r="D626" s="117"/>
      <c r="E626" s="213"/>
      <c r="F626" s="213"/>
      <c r="G626" s="117"/>
    </row>
    <row r="627" ht="15.75" customHeight="1">
      <c r="C627" s="224"/>
      <c r="D627" s="117"/>
      <c r="E627" s="213"/>
      <c r="F627" s="213"/>
      <c r="G627" s="117"/>
    </row>
    <row r="628" ht="15.75" customHeight="1">
      <c r="C628" s="224"/>
      <c r="D628" s="117"/>
      <c r="E628" s="213"/>
      <c r="F628" s="213"/>
      <c r="G628" s="117"/>
    </row>
    <row r="629" ht="15.75" customHeight="1">
      <c r="C629" s="224"/>
      <c r="D629" s="117"/>
      <c r="E629" s="213"/>
      <c r="F629" s="213"/>
      <c r="G629" s="117"/>
    </row>
    <row r="630" ht="15.75" customHeight="1">
      <c r="C630" s="224"/>
      <c r="D630" s="117"/>
      <c r="E630" s="213"/>
      <c r="F630" s="213"/>
      <c r="G630" s="117"/>
    </row>
    <row r="631" ht="15.75" customHeight="1">
      <c r="C631" s="224"/>
      <c r="D631" s="117"/>
      <c r="E631" s="213"/>
      <c r="F631" s="213"/>
      <c r="G631" s="117"/>
    </row>
    <row r="632" ht="15.75" customHeight="1">
      <c r="C632" s="224"/>
      <c r="D632" s="117"/>
      <c r="E632" s="213"/>
      <c r="F632" s="213"/>
      <c r="G632" s="117"/>
    </row>
    <row r="633" ht="15.75" customHeight="1">
      <c r="C633" s="224"/>
      <c r="D633" s="117"/>
      <c r="E633" s="213"/>
      <c r="F633" s="213"/>
      <c r="G633" s="117"/>
    </row>
    <row r="634" ht="15.75" customHeight="1">
      <c r="C634" s="224"/>
      <c r="D634" s="117"/>
      <c r="E634" s="213"/>
      <c r="F634" s="213"/>
      <c r="G634" s="117"/>
    </row>
    <row r="635" ht="15.75" customHeight="1">
      <c r="C635" s="224"/>
      <c r="D635" s="117"/>
      <c r="E635" s="213"/>
      <c r="F635" s="213"/>
      <c r="G635" s="117"/>
    </row>
    <row r="636" ht="15.75" customHeight="1">
      <c r="C636" s="224"/>
      <c r="D636" s="117"/>
      <c r="E636" s="213"/>
      <c r="F636" s="213"/>
      <c r="G636" s="117"/>
    </row>
    <row r="637" ht="15.75" customHeight="1">
      <c r="C637" s="224"/>
      <c r="D637" s="117"/>
      <c r="E637" s="213"/>
      <c r="F637" s="213"/>
      <c r="G637" s="117"/>
    </row>
    <row r="638" ht="15.75" customHeight="1">
      <c r="C638" s="224"/>
      <c r="D638" s="117"/>
      <c r="E638" s="213"/>
      <c r="F638" s="213"/>
      <c r="G638" s="117"/>
    </row>
    <row r="639" ht="15.75" customHeight="1">
      <c r="C639" s="224"/>
      <c r="D639" s="117"/>
      <c r="E639" s="213"/>
      <c r="F639" s="213"/>
      <c r="G639" s="117"/>
    </row>
    <row r="640" ht="15.75" customHeight="1">
      <c r="C640" s="224"/>
      <c r="D640" s="117"/>
      <c r="E640" s="213"/>
      <c r="F640" s="213"/>
      <c r="G640" s="117"/>
    </row>
    <row r="641" ht="15.75" customHeight="1">
      <c r="C641" s="224"/>
      <c r="D641" s="117"/>
      <c r="E641" s="213"/>
      <c r="F641" s="213"/>
      <c r="G641" s="117"/>
    </row>
    <row r="642" ht="15.75" customHeight="1">
      <c r="C642" s="224"/>
      <c r="D642" s="117"/>
      <c r="E642" s="213"/>
      <c r="F642" s="213"/>
      <c r="G642" s="117"/>
    </row>
    <row r="643" ht="15.75" customHeight="1">
      <c r="C643" s="224"/>
      <c r="D643" s="117"/>
      <c r="E643" s="213"/>
      <c r="F643" s="213"/>
      <c r="G643" s="117"/>
    </row>
    <row r="644" ht="15.75" customHeight="1">
      <c r="C644" s="224"/>
      <c r="D644" s="117"/>
      <c r="E644" s="213"/>
      <c r="F644" s="213"/>
      <c r="G644" s="117"/>
    </row>
    <row r="645" ht="15.75" customHeight="1">
      <c r="C645" s="224"/>
      <c r="D645" s="117"/>
      <c r="E645" s="213"/>
      <c r="F645" s="213"/>
      <c r="G645" s="117"/>
    </row>
    <row r="646" ht="15.75" customHeight="1">
      <c r="C646" s="224"/>
      <c r="D646" s="117"/>
      <c r="E646" s="213"/>
      <c r="F646" s="213"/>
      <c r="G646" s="117"/>
    </row>
    <row r="647" ht="15.75" customHeight="1">
      <c r="C647" s="224"/>
      <c r="D647" s="117"/>
      <c r="E647" s="213"/>
      <c r="F647" s="213"/>
      <c r="G647" s="117"/>
    </row>
    <row r="648" ht="15.75" customHeight="1">
      <c r="C648" s="224"/>
      <c r="D648" s="117"/>
      <c r="E648" s="213"/>
      <c r="F648" s="213"/>
      <c r="G648" s="117"/>
    </row>
    <row r="649" ht="15.75" customHeight="1">
      <c r="C649" s="224"/>
      <c r="D649" s="117"/>
      <c r="E649" s="213"/>
      <c r="F649" s="213"/>
      <c r="G649" s="117"/>
    </row>
    <row r="650" ht="15.75" customHeight="1">
      <c r="C650" s="224"/>
      <c r="D650" s="117"/>
      <c r="E650" s="213"/>
      <c r="F650" s="213"/>
      <c r="G650" s="117"/>
    </row>
    <row r="651" ht="15.75" customHeight="1">
      <c r="C651" s="224"/>
      <c r="D651" s="117"/>
      <c r="E651" s="213"/>
      <c r="F651" s="213"/>
      <c r="G651" s="117"/>
    </row>
    <row r="652" ht="15.75" customHeight="1">
      <c r="C652" s="224"/>
      <c r="D652" s="117"/>
      <c r="E652" s="213"/>
      <c r="F652" s="213"/>
      <c r="G652" s="117"/>
    </row>
    <row r="653" ht="15.75" customHeight="1">
      <c r="C653" s="224"/>
      <c r="D653" s="117"/>
      <c r="E653" s="213"/>
      <c r="F653" s="213"/>
      <c r="G653" s="117"/>
    </row>
    <row r="654" ht="15.75" customHeight="1">
      <c r="C654" s="224"/>
      <c r="D654" s="117"/>
      <c r="E654" s="213"/>
      <c r="F654" s="213"/>
      <c r="G654" s="117"/>
    </row>
    <row r="655" ht="15.75" customHeight="1">
      <c r="C655" s="224"/>
      <c r="D655" s="117"/>
      <c r="E655" s="213"/>
      <c r="F655" s="213"/>
      <c r="G655" s="117"/>
    </row>
    <row r="656" ht="15.75" customHeight="1">
      <c r="C656" s="224"/>
      <c r="D656" s="117"/>
      <c r="E656" s="213"/>
      <c r="F656" s="213"/>
      <c r="G656" s="117"/>
    </row>
    <row r="657" ht="15.75" customHeight="1">
      <c r="C657" s="224"/>
      <c r="D657" s="117"/>
      <c r="E657" s="213"/>
      <c r="F657" s="213"/>
      <c r="G657" s="117"/>
    </row>
    <row r="658" ht="15.75" customHeight="1">
      <c r="C658" s="224"/>
      <c r="D658" s="117"/>
      <c r="E658" s="213"/>
      <c r="F658" s="213"/>
      <c r="G658" s="117"/>
    </row>
    <row r="659" ht="15.75" customHeight="1">
      <c r="C659" s="224"/>
      <c r="D659" s="117"/>
      <c r="E659" s="213"/>
      <c r="F659" s="213"/>
      <c r="G659" s="117"/>
    </row>
    <row r="660" ht="15.75" customHeight="1">
      <c r="C660" s="224"/>
      <c r="D660" s="117"/>
      <c r="E660" s="213"/>
      <c r="F660" s="213"/>
      <c r="G660" s="117"/>
    </row>
    <row r="661" ht="15.75" customHeight="1">
      <c r="C661" s="224"/>
      <c r="D661" s="117"/>
      <c r="E661" s="213"/>
      <c r="F661" s="213"/>
      <c r="G661" s="117"/>
    </row>
    <row r="662" ht="15.75" customHeight="1">
      <c r="C662" s="224"/>
      <c r="D662" s="117"/>
      <c r="E662" s="213"/>
      <c r="F662" s="213"/>
      <c r="G662" s="117"/>
    </row>
    <row r="663" ht="15.75" customHeight="1">
      <c r="C663" s="224"/>
      <c r="D663" s="117"/>
      <c r="E663" s="213"/>
      <c r="F663" s="213"/>
      <c r="G663" s="117"/>
    </row>
    <row r="664" ht="15.75" customHeight="1">
      <c r="C664" s="224"/>
      <c r="D664" s="117"/>
      <c r="E664" s="213"/>
      <c r="F664" s="213"/>
      <c r="G664" s="117"/>
    </row>
    <row r="665" ht="15.75" customHeight="1">
      <c r="C665" s="224"/>
      <c r="D665" s="117"/>
      <c r="E665" s="213"/>
      <c r="F665" s="213"/>
      <c r="G665" s="117"/>
    </row>
    <row r="666" ht="15.75" customHeight="1">
      <c r="C666" s="224"/>
      <c r="D666" s="117"/>
      <c r="E666" s="213"/>
      <c r="F666" s="213"/>
      <c r="G666" s="117"/>
    </row>
    <row r="667" ht="15.75" customHeight="1">
      <c r="C667" s="224"/>
      <c r="D667" s="117"/>
      <c r="E667" s="213"/>
      <c r="F667" s="213"/>
      <c r="G667" s="117"/>
    </row>
    <row r="668" ht="15.75" customHeight="1">
      <c r="C668" s="224"/>
      <c r="D668" s="117"/>
      <c r="E668" s="213"/>
      <c r="F668" s="213"/>
      <c r="G668" s="117"/>
    </row>
    <row r="669" ht="15.75" customHeight="1">
      <c r="C669" s="224"/>
      <c r="D669" s="117"/>
      <c r="E669" s="213"/>
      <c r="F669" s="213"/>
      <c r="G669" s="117"/>
    </row>
    <row r="670" ht="15.75" customHeight="1">
      <c r="C670" s="224"/>
      <c r="D670" s="117"/>
      <c r="E670" s="213"/>
      <c r="F670" s="213"/>
      <c r="G670" s="117"/>
    </row>
    <row r="671" ht="15.75" customHeight="1">
      <c r="C671" s="224"/>
      <c r="D671" s="117"/>
      <c r="E671" s="213"/>
      <c r="F671" s="213"/>
      <c r="G671" s="117"/>
    </row>
    <row r="672" ht="15.75" customHeight="1">
      <c r="C672" s="224"/>
      <c r="D672" s="117"/>
      <c r="E672" s="213"/>
      <c r="F672" s="213"/>
      <c r="G672" s="117"/>
    </row>
    <row r="673" ht="15.75" customHeight="1">
      <c r="C673" s="224"/>
      <c r="D673" s="117"/>
      <c r="E673" s="213"/>
      <c r="F673" s="213"/>
      <c r="G673" s="117"/>
    </row>
    <row r="674" ht="15.75" customHeight="1">
      <c r="C674" s="224"/>
      <c r="D674" s="117"/>
      <c r="E674" s="213"/>
      <c r="F674" s="213"/>
      <c r="G674" s="117"/>
    </row>
    <row r="675" ht="15.75" customHeight="1">
      <c r="C675" s="224"/>
      <c r="D675" s="117"/>
      <c r="E675" s="213"/>
      <c r="F675" s="213"/>
      <c r="G675" s="117"/>
    </row>
    <row r="676" ht="15.75" customHeight="1">
      <c r="C676" s="224"/>
      <c r="D676" s="117"/>
      <c r="E676" s="213"/>
      <c r="F676" s="213"/>
      <c r="G676" s="117"/>
    </row>
    <row r="677" ht="15.75" customHeight="1">
      <c r="C677" s="224"/>
      <c r="D677" s="117"/>
      <c r="E677" s="213"/>
      <c r="F677" s="213"/>
      <c r="G677" s="117"/>
    </row>
    <row r="678" ht="15.75" customHeight="1">
      <c r="C678" s="224"/>
      <c r="D678" s="117"/>
      <c r="E678" s="213"/>
      <c r="F678" s="213"/>
      <c r="G678" s="117"/>
    </row>
    <row r="679" ht="15.75" customHeight="1">
      <c r="C679" s="224"/>
      <c r="D679" s="117"/>
      <c r="E679" s="213"/>
      <c r="F679" s="213"/>
      <c r="G679" s="117"/>
    </row>
    <row r="680" ht="15.75" customHeight="1">
      <c r="C680" s="224"/>
      <c r="D680" s="117"/>
      <c r="E680" s="213"/>
      <c r="F680" s="213"/>
      <c r="G680" s="117"/>
    </row>
    <row r="681" ht="15.75" customHeight="1">
      <c r="C681" s="224"/>
      <c r="D681" s="117"/>
      <c r="E681" s="213"/>
      <c r="F681" s="213"/>
      <c r="G681" s="117"/>
    </row>
    <row r="682" ht="15.75" customHeight="1">
      <c r="C682" s="224"/>
      <c r="D682" s="117"/>
      <c r="E682" s="213"/>
      <c r="F682" s="213"/>
      <c r="G682" s="117"/>
    </row>
    <row r="683" ht="15.75" customHeight="1">
      <c r="C683" s="224"/>
      <c r="D683" s="117"/>
      <c r="E683" s="213"/>
      <c r="F683" s="213"/>
      <c r="G683" s="117"/>
    </row>
    <row r="684" ht="15.75" customHeight="1">
      <c r="C684" s="224"/>
      <c r="D684" s="117"/>
      <c r="E684" s="213"/>
      <c r="F684" s="213"/>
      <c r="G684" s="117"/>
    </row>
    <row r="685" ht="15.75" customHeight="1">
      <c r="C685" s="224"/>
      <c r="D685" s="117"/>
      <c r="E685" s="213"/>
      <c r="F685" s="213"/>
      <c r="G685" s="117"/>
    </row>
    <row r="686" ht="15.75" customHeight="1">
      <c r="C686" s="224"/>
      <c r="D686" s="117"/>
      <c r="E686" s="213"/>
      <c r="F686" s="213"/>
      <c r="G686" s="117"/>
    </row>
    <row r="687" ht="15.75" customHeight="1">
      <c r="C687" s="224"/>
      <c r="D687" s="117"/>
      <c r="E687" s="213"/>
      <c r="F687" s="213"/>
      <c r="G687" s="117"/>
    </row>
    <row r="688" ht="15.75" customHeight="1">
      <c r="C688" s="224"/>
      <c r="D688" s="117"/>
      <c r="E688" s="213"/>
      <c r="F688" s="213"/>
      <c r="G688" s="117"/>
    </row>
    <row r="689" ht="15.75" customHeight="1">
      <c r="C689" s="224"/>
      <c r="D689" s="117"/>
      <c r="E689" s="213"/>
      <c r="F689" s="213"/>
      <c r="G689" s="117"/>
    </row>
    <row r="690" ht="15.75" customHeight="1">
      <c r="C690" s="224"/>
      <c r="D690" s="117"/>
      <c r="E690" s="213"/>
      <c r="F690" s="213"/>
      <c r="G690" s="117"/>
    </row>
    <row r="691" ht="15.75" customHeight="1">
      <c r="C691" s="224"/>
      <c r="D691" s="117"/>
      <c r="E691" s="213"/>
      <c r="F691" s="213"/>
      <c r="G691" s="117"/>
    </row>
    <row r="692" ht="15.75" customHeight="1">
      <c r="C692" s="224"/>
      <c r="D692" s="117"/>
      <c r="E692" s="213"/>
      <c r="F692" s="213"/>
      <c r="G692" s="117"/>
    </row>
    <row r="693" ht="15.75" customHeight="1">
      <c r="C693" s="224"/>
      <c r="D693" s="117"/>
      <c r="E693" s="213"/>
      <c r="F693" s="213"/>
      <c r="G693" s="117"/>
    </row>
    <row r="694" ht="15.75" customHeight="1">
      <c r="C694" s="224"/>
      <c r="D694" s="117"/>
      <c r="E694" s="213"/>
      <c r="F694" s="213"/>
      <c r="G694" s="117"/>
    </row>
    <row r="695" ht="15.75" customHeight="1">
      <c r="C695" s="224"/>
      <c r="D695" s="117"/>
      <c r="E695" s="213"/>
      <c r="F695" s="213"/>
      <c r="G695" s="117"/>
    </row>
    <row r="696" ht="15.75" customHeight="1">
      <c r="C696" s="224"/>
      <c r="D696" s="117"/>
      <c r="E696" s="213"/>
      <c r="F696" s="213"/>
      <c r="G696" s="117"/>
    </row>
    <row r="697" ht="15.75" customHeight="1">
      <c r="C697" s="224"/>
      <c r="D697" s="117"/>
      <c r="E697" s="213"/>
      <c r="F697" s="213"/>
      <c r="G697" s="117"/>
    </row>
    <row r="698" ht="15.75" customHeight="1">
      <c r="C698" s="224"/>
      <c r="D698" s="117"/>
      <c r="E698" s="213"/>
      <c r="F698" s="213"/>
      <c r="G698" s="117"/>
    </row>
    <row r="699" ht="15.75" customHeight="1">
      <c r="C699" s="224"/>
      <c r="D699" s="117"/>
      <c r="E699" s="213"/>
      <c r="F699" s="213"/>
      <c r="G699" s="117"/>
    </row>
    <row r="700" ht="15.75" customHeight="1">
      <c r="C700" s="224"/>
      <c r="D700" s="117"/>
      <c r="E700" s="213"/>
      <c r="F700" s="213"/>
      <c r="G700" s="117"/>
    </row>
    <row r="701" ht="15.75" customHeight="1">
      <c r="C701" s="224"/>
      <c r="D701" s="117"/>
      <c r="E701" s="213"/>
      <c r="F701" s="213"/>
      <c r="G701" s="117"/>
    </row>
    <row r="702" ht="15.75" customHeight="1">
      <c r="C702" s="224"/>
      <c r="D702" s="117"/>
      <c r="E702" s="213"/>
      <c r="F702" s="213"/>
      <c r="G702" s="117"/>
    </row>
    <row r="703" ht="15.75" customHeight="1">
      <c r="C703" s="224"/>
      <c r="D703" s="117"/>
      <c r="E703" s="213"/>
      <c r="F703" s="213"/>
      <c r="G703" s="117"/>
    </row>
    <row r="704" ht="15.75" customHeight="1">
      <c r="C704" s="224"/>
      <c r="D704" s="117"/>
      <c r="E704" s="213"/>
      <c r="F704" s="213"/>
      <c r="G704" s="117"/>
    </row>
    <row r="705" ht="15.75" customHeight="1">
      <c r="C705" s="224"/>
      <c r="D705" s="117"/>
      <c r="E705" s="213"/>
      <c r="F705" s="213"/>
      <c r="G705" s="117"/>
    </row>
    <row r="706" ht="15.75" customHeight="1">
      <c r="C706" s="224"/>
      <c r="D706" s="117"/>
      <c r="E706" s="213"/>
      <c r="F706" s="213"/>
      <c r="G706" s="117"/>
    </row>
    <row r="707" ht="15.75" customHeight="1">
      <c r="C707" s="224"/>
      <c r="D707" s="117"/>
      <c r="E707" s="213"/>
      <c r="F707" s="213"/>
      <c r="G707" s="117"/>
    </row>
    <row r="708" ht="15.75" customHeight="1">
      <c r="C708" s="224"/>
      <c r="D708" s="117"/>
      <c r="E708" s="213"/>
      <c r="F708" s="213"/>
      <c r="G708" s="117"/>
    </row>
    <row r="709" ht="15.75" customHeight="1">
      <c r="C709" s="224"/>
      <c r="D709" s="117"/>
      <c r="E709" s="213"/>
      <c r="F709" s="213"/>
      <c r="G709" s="117"/>
    </row>
    <row r="710" ht="15.75" customHeight="1">
      <c r="C710" s="224"/>
      <c r="D710" s="117"/>
      <c r="E710" s="213"/>
      <c r="F710" s="213"/>
      <c r="G710" s="117"/>
    </row>
    <row r="711" ht="15.75" customHeight="1">
      <c r="C711" s="224"/>
      <c r="D711" s="117"/>
      <c r="E711" s="213"/>
      <c r="F711" s="213"/>
      <c r="G711" s="117"/>
    </row>
    <row r="712" ht="15.75" customHeight="1">
      <c r="C712" s="224"/>
      <c r="D712" s="117"/>
      <c r="E712" s="213"/>
      <c r="F712" s="213"/>
      <c r="G712" s="117"/>
    </row>
    <row r="713" ht="15.75" customHeight="1">
      <c r="C713" s="224"/>
      <c r="D713" s="117"/>
      <c r="E713" s="213"/>
      <c r="F713" s="213"/>
      <c r="G713" s="117"/>
    </row>
    <row r="714" ht="15.75" customHeight="1">
      <c r="C714" s="224"/>
      <c r="D714" s="117"/>
      <c r="E714" s="213"/>
      <c r="F714" s="213"/>
      <c r="G714" s="117"/>
    </row>
    <row r="715" ht="15.75" customHeight="1">
      <c r="C715" s="224"/>
      <c r="D715" s="117"/>
      <c r="E715" s="213"/>
      <c r="F715" s="213"/>
      <c r="G715" s="117"/>
    </row>
    <row r="716" ht="15.75" customHeight="1">
      <c r="C716" s="224"/>
      <c r="D716" s="117"/>
      <c r="E716" s="213"/>
      <c r="F716" s="213"/>
      <c r="G716" s="117"/>
    </row>
    <row r="717" ht="15.75" customHeight="1">
      <c r="C717" s="224"/>
      <c r="D717" s="117"/>
      <c r="E717" s="213"/>
      <c r="F717" s="213"/>
      <c r="G717" s="117"/>
    </row>
    <row r="718" ht="15.75" customHeight="1">
      <c r="C718" s="224"/>
      <c r="D718" s="117"/>
      <c r="E718" s="213"/>
      <c r="F718" s="213"/>
      <c r="G718" s="117"/>
    </row>
    <row r="719" ht="15.75" customHeight="1">
      <c r="C719" s="224"/>
      <c r="D719" s="117"/>
      <c r="E719" s="213"/>
      <c r="F719" s="213"/>
      <c r="G719" s="117"/>
    </row>
    <row r="720" ht="15.75" customHeight="1">
      <c r="C720" s="224"/>
      <c r="D720" s="117"/>
      <c r="E720" s="213"/>
      <c r="F720" s="213"/>
      <c r="G720" s="117"/>
    </row>
    <row r="721" ht="15.75" customHeight="1">
      <c r="C721" s="224"/>
      <c r="D721" s="117"/>
      <c r="E721" s="213"/>
      <c r="F721" s="213"/>
      <c r="G721" s="117"/>
    </row>
    <row r="722" ht="15.75" customHeight="1">
      <c r="C722" s="224"/>
      <c r="D722" s="117"/>
      <c r="E722" s="213"/>
      <c r="F722" s="213"/>
      <c r="G722" s="117"/>
    </row>
    <row r="723" ht="15.75" customHeight="1">
      <c r="C723" s="224"/>
      <c r="D723" s="117"/>
      <c r="E723" s="213"/>
      <c r="F723" s="213"/>
      <c r="G723" s="117"/>
    </row>
    <row r="724" ht="15.75" customHeight="1">
      <c r="C724" s="224"/>
      <c r="D724" s="117"/>
      <c r="E724" s="213"/>
      <c r="F724" s="213"/>
      <c r="G724" s="117"/>
    </row>
    <row r="725" ht="15.75" customHeight="1">
      <c r="C725" s="224"/>
      <c r="D725" s="117"/>
      <c r="E725" s="213"/>
      <c r="F725" s="213"/>
      <c r="G725" s="117"/>
    </row>
    <row r="726" ht="15.75" customHeight="1">
      <c r="C726" s="224"/>
      <c r="D726" s="117"/>
      <c r="E726" s="213"/>
      <c r="F726" s="213"/>
      <c r="G726" s="117"/>
    </row>
    <row r="727" ht="15.75" customHeight="1">
      <c r="C727" s="224"/>
      <c r="D727" s="117"/>
      <c r="E727" s="213"/>
      <c r="F727" s="213"/>
      <c r="G727" s="117"/>
    </row>
    <row r="728" ht="15.75" customHeight="1">
      <c r="C728" s="224"/>
      <c r="D728" s="117"/>
      <c r="E728" s="213"/>
      <c r="F728" s="213"/>
      <c r="G728" s="117"/>
    </row>
    <row r="729" ht="15.75" customHeight="1">
      <c r="C729" s="224"/>
      <c r="D729" s="117"/>
      <c r="E729" s="213"/>
      <c r="F729" s="213"/>
      <c r="G729" s="117"/>
    </row>
    <row r="730" ht="15.75" customHeight="1">
      <c r="C730" s="224"/>
      <c r="D730" s="117"/>
      <c r="E730" s="213"/>
      <c r="F730" s="213"/>
      <c r="G730" s="117"/>
    </row>
    <row r="731" ht="15.75" customHeight="1">
      <c r="C731" s="224"/>
      <c r="D731" s="117"/>
      <c r="E731" s="213"/>
      <c r="F731" s="213"/>
      <c r="G731" s="117"/>
    </row>
    <row r="732" ht="15.75" customHeight="1">
      <c r="C732" s="224"/>
      <c r="D732" s="117"/>
      <c r="E732" s="213"/>
      <c r="F732" s="213"/>
      <c r="G732" s="117"/>
    </row>
    <row r="733" ht="15.75" customHeight="1">
      <c r="C733" s="224"/>
      <c r="D733" s="117"/>
      <c r="E733" s="213"/>
      <c r="F733" s="213"/>
      <c r="G733" s="117"/>
    </row>
    <row r="734" ht="15.75" customHeight="1">
      <c r="C734" s="224"/>
      <c r="D734" s="117"/>
      <c r="E734" s="213"/>
      <c r="F734" s="213"/>
      <c r="G734" s="117"/>
    </row>
    <row r="735" ht="15.75" customHeight="1">
      <c r="C735" s="224"/>
      <c r="D735" s="117"/>
      <c r="E735" s="213"/>
      <c r="F735" s="213"/>
      <c r="G735" s="117"/>
    </row>
    <row r="736" ht="15.75" customHeight="1">
      <c r="C736" s="224"/>
      <c r="D736" s="117"/>
      <c r="E736" s="213"/>
      <c r="F736" s="213"/>
      <c r="G736" s="117"/>
    </row>
    <row r="737" ht="15.75" customHeight="1">
      <c r="C737" s="224"/>
      <c r="D737" s="117"/>
      <c r="E737" s="213"/>
      <c r="F737" s="213"/>
      <c r="G737" s="117"/>
    </row>
    <row r="738" ht="15.75" customHeight="1">
      <c r="C738" s="224"/>
      <c r="D738" s="117"/>
      <c r="E738" s="213"/>
      <c r="F738" s="213"/>
      <c r="G738" s="117"/>
    </row>
    <row r="739" ht="15.75" customHeight="1">
      <c r="C739" s="224"/>
      <c r="D739" s="117"/>
      <c r="E739" s="213"/>
      <c r="F739" s="213"/>
      <c r="G739" s="117"/>
    </row>
    <row r="740" ht="15.75" customHeight="1">
      <c r="C740" s="224"/>
      <c r="D740" s="117"/>
      <c r="E740" s="213"/>
      <c r="F740" s="213"/>
      <c r="G740" s="117"/>
    </row>
    <row r="741" ht="15.75" customHeight="1">
      <c r="C741" s="224"/>
      <c r="D741" s="117"/>
      <c r="E741" s="213"/>
      <c r="F741" s="213"/>
      <c r="G741" s="117"/>
    </row>
    <row r="742" ht="15.75" customHeight="1">
      <c r="C742" s="224"/>
      <c r="D742" s="117"/>
      <c r="E742" s="213"/>
      <c r="F742" s="213"/>
      <c r="G742" s="117"/>
    </row>
    <row r="743" ht="15.75" customHeight="1">
      <c r="C743" s="224"/>
      <c r="D743" s="117"/>
      <c r="E743" s="213"/>
      <c r="F743" s="213"/>
      <c r="G743" s="117"/>
    </row>
    <row r="744" ht="15.75" customHeight="1">
      <c r="C744" s="224"/>
      <c r="D744" s="117"/>
      <c r="E744" s="213"/>
      <c r="F744" s="213"/>
      <c r="G744" s="117"/>
    </row>
    <row r="745" ht="15.75" customHeight="1">
      <c r="C745" s="224"/>
      <c r="D745" s="117"/>
      <c r="E745" s="213"/>
      <c r="F745" s="213"/>
      <c r="G745" s="117"/>
    </row>
    <row r="746" ht="15.75" customHeight="1">
      <c r="C746" s="224"/>
      <c r="D746" s="117"/>
      <c r="E746" s="213"/>
      <c r="F746" s="213"/>
      <c r="G746" s="117"/>
    </row>
    <row r="747" ht="15.75" customHeight="1">
      <c r="C747" s="224"/>
      <c r="D747" s="117"/>
      <c r="E747" s="213"/>
      <c r="F747" s="213"/>
      <c r="G747" s="117"/>
    </row>
    <row r="748" ht="15.75" customHeight="1">
      <c r="C748" s="224"/>
      <c r="D748" s="117"/>
      <c r="E748" s="213"/>
      <c r="F748" s="213"/>
      <c r="G748" s="117"/>
    </row>
    <row r="749" ht="15.75" customHeight="1">
      <c r="C749" s="224"/>
      <c r="D749" s="117"/>
      <c r="E749" s="213"/>
      <c r="F749" s="213"/>
      <c r="G749" s="117"/>
    </row>
    <row r="750" ht="15.75" customHeight="1">
      <c r="C750" s="224"/>
      <c r="D750" s="117"/>
      <c r="E750" s="213"/>
      <c r="F750" s="213"/>
      <c r="G750" s="117"/>
    </row>
    <row r="751" ht="15.75" customHeight="1">
      <c r="C751" s="224"/>
      <c r="D751" s="117"/>
      <c r="E751" s="213"/>
      <c r="F751" s="213"/>
      <c r="G751" s="117"/>
    </row>
    <row r="752" ht="15.75" customHeight="1">
      <c r="C752" s="224"/>
      <c r="D752" s="117"/>
      <c r="E752" s="213"/>
      <c r="F752" s="213"/>
      <c r="G752" s="117"/>
    </row>
    <row r="753" ht="15.75" customHeight="1">
      <c r="C753" s="224"/>
      <c r="D753" s="117"/>
      <c r="E753" s="213"/>
      <c r="F753" s="213"/>
      <c r="G753" s="117"/>
    </row>
    <row r="754" ht="15.75" customHeight="1">
      <c r="C754" s="224"/>
      <c r="D754" s="117"/>
      <c r="E754" s="213"/>
      <c r="F754" s="213"/>
      <c r="G754" s="117"/>
    </row>
    <row r="755" ht="15.75" customHeight="1">
      <c r="C755" s="224"/>
      <c r="D755" s="117"/>
      <c r="E755" s="213"/>
      <c r="F755" s="213"/>
      <c r="G755" s="117"/>
    </row>
    <row r="756" ht="15.75" customHeight="1">
      <c r="C756" s="224"/>
      <c r="D756" s="117"/>
      <c r="E756" s="213"/>
      <c r="F756" s="213"/>
      <c r="G756" s="117"/>
    </row>
    <row r="757" ht="15.75" customHeight="1">
      <c r="C757" s="224"/>
      <c r="D757" s="117"/>
      <c r="E757" s="213"/>
      <c r="F757" s="213"/>
      <c r="G757" s="117"/>
    </row>
    <row r="758" ht="15.75" customHeight="1">
      <c r="C758" s="224"/>
      <c r="D758" s="117"/>
      <c r="E758" s="213"/>
      <c r="F758" s="213"/>
      <c r="G758" s="117"/>
    </row>
    <row r="759" ht="15.75" customHeight="1">
      <c r="C759" s="224"/>
      <c r="D759" s="117"/>
      <c r="E759" s="213"/>
      <c r="F759" s="213"/>
      <c r="G759" s="117"/>
    </row>
    <row r="760" ht="15.75" customHeight="1">
      <c r="C760" s="224"/>
      <c r="D760" s="117"/>
      <c r="E760" s="213"/>
      <c r="F760" s="213"/>
      <c r="G760" s="117"/>
    </row>
    <row r="761" ht="15.75" customHeight="1">
      <c r="C761" s="224"/>
      <c r="D761" s="117"/>
      <c r="E761" s="213"/>
      <c r="F761" s="213"/>
      <c r="G761" s="117"/>
    </row>
    <row r="762" ht="15.75" customHeight="1">
      <c r="C762" s="224"/>
      <c r="D762" s="117"/>
      <c r="E762" s="213"/>
      <c r="F762" s="213"/>
      <c r="G762" s="117"/>
    </row>
    <row r="763" ht="15.75" customHeight="1">
      <c r="C763" s="224"/>
      <c r="D763" s="117"/>
      <c r="E763" s="213"/>
      <c r="F763" s="213"/>
      <c r="G763" s="117"/>
    </row>
    <row r="764" ht="15.75" customHeight="1">
      <c r="C764" s="224"/>
      <c r="D764" s="117"/>
      <c r="E764" s="213"/>
      <c r="F764" s="213"/>
      <c r="G764" s="117"/>
    </row>
    <row r="765" ht="15.75" customHeight="1">
      <c r="C765" s="224"/>
      <c r="D765" s="117"/>
      <c r="E765" s="213"/>
      <c r="F765" s="213"/>
      <c r="G765" s="117"/>
    </row>
    <row r="766" ht="15.75" customHeight="1">
      <c r="C766" s="224"/>
      <c r="D766" s="117"/>
      <c r="E766" s="213"/>
      <c r="F766" s="213"/>
      <c r="G766" s="117"/>
    </row>
    <row r="767" ht="15.75" customHeight="1">
      <c r="C767" s="224"/>
      <c r="D767" s="117"/>
      <c r="E767" s="213"/>
      <c r="F767" s="213"/>
      <c r="G767" s="117"/>
    </row>
    <row r="768" ht="15.75" customHeight="1">
      <c r="C768" s="224"/>
      <c r="D768" s="117"/>
      <c r="E768" s="213"/>
      <c r="F768" s="213"/>
      <c r="G768" s="117"/>
    </row>
    <row r="769" ht="15.75" customHeight="1">
      <c r="C769" s="224"/>
      <c r="D769" s="117"/>
      <c r="E769" s="213"/>
      <c r="F769" s="213"/>
      <c r="G769" s="117"/>
    </row>
    <row r="770" ht="15.75" customHeight="1">
      <c r="C770" s="224"/>
      <c r="D770" s="117"/>
      <c r="E770" s="213"/>
      <c r="F770" s="213"/>
      <c r="G770" s="117"/>
    </row>
    <row r="771" ht="15.75" customHeight="1">
      <c r="C771" s="224"/>
      <c r="D771" s="117"/>
      <c r="E771" s="213"/>
      <c r="F771" s="213"/>
      <c r="G771" s="117"/>
    </row>
    <row r="772" ht="15.75" customHeight="1">
      <c r="C772" s="224"/>
      <c r="D772" s="117"/>
      <c r="E772" s="213"/>
      <c r="F772" s="213"/>
      <c r="G772" s="117"/>
    </row>
    <row r="773" ht="15.75" customHeight="1">
      <c r="C773" s="224"/>
      <c r="D773" s="117"/>
      <c r="E773" s="213"/>
      <c r="F773" s="213"/>
      <c r="G773" s="117"/>
    </row>
    <row r="774" ht="15.75" customHeight="1">
      <c r="C774" s="224"/>
      <c r="D774" s="117"/>
      <c r="E774" s="213"/>
      <c r="F774" s="213"/>
      <c r="G774" s="117"/>
    </row>
    <row r="775" ht="15.75" customHeight="1">
      <c r="C775" s="224"/>
      <c r="D775" s="117"/>
      <c r="E775" s="213"/>
      <c r="F775" s="213"/>
      <c r="G775" s="117"/>
    </row>
    <row r="776" ht="15.75" customHeight="1">
      <c r="C776" s="224"/>
      <c r="D776" s="117"/>
      <c r="E776" s="213"/>
      <c r="F776" s="213"/>
      <c r="G776" s="117"/>
    </row>
    <row r="777" ht="15.75" customHeight="1">
      <c r="C777" s="224"/>
      <c r="D777" s="117"/>
      <c r="E777" s="213"/>
      <c r="F777" s="213"/>
      <c r="G777" s="117"/>
    </row>
    <row r="778" ht="15.75" customHeight="1">
      <c r="C778" s="224"/>
      <c r="D778" s="117"/>
      <c r="E778" s="213"/>
      <c r="F778" s="213"/>
      <c r="G778" s="117"/>
    </row>
    <row r="779" ht="15.75" customHeight="1">
      <c r="C779" s="224"/>
      <c r="D779" s="117"/>
      <c r="E779" s="213"/>
      <c r="F779" s="213"/>
      <c r="G779" s="117"/>
    </row>
    <row r="780" ht="15.75" customHeight="1">
      <c r="C780" s="224"/>
      <c r="D780" s="117"/>
      <c r="E780" s="213"/>
      <c r="F780" s="213"/>
      <c r="G780" s="117"/>
    </row>
    <row r="781" ht="15.75" customHeight="1">
      <c r="C781" s="224"/>
      <c r="D781" s="117"/>
      <c r="E781" s="213"/>
      <c r="F781" s="213"/>
      <c r="G781" s="117"/>
    </row>
    <row r="782" ht="15.75" customHeight="1">
      <c r="C782" s="224"/>
      <c r="D782" s="117"/>
      <c r="E782" s="213"/>
      <c r="F782" s="213"/>
      <c r="G782" s="117"/>
    </row>
    <row r="783" ht="15.75" customHeight="1">
      <c r="C783" s="224"/>
      <c r="D783" s="117"/>
      <c r="E783" s="213"/>
      <c r="F783" s="213"/>
      <c r="G783" s="117"/>
    </row>
    <row r="784" ht="15.75" customHeight="1">
      <c r="C784" s="224"/>
      <c r="D784" s="117"/>
      <c r="E784" s="213"/>
      <c r="F784" s="213"/>
      <c r="G784" s="117"/>
    </row>
    <row r="785" ht="15.75" customHeight="1">
      <c r="C785" s="224"/>
      <c r="D785" s="117"/>
      <c r="E785" s="213"/>
      <c r="F785" s="213"/>
      <c r="G785" s="117"/>
    </row>
    <row r="786" ht="15.75" customHeight="1">
      <c r="C786" s="224"/>
      <c r="D786" s="117"/>
      <c r="E786" s="213"/>
      <c r="F786" s="213"/>
      <c r="G786" s="117"/>
    </row>
    <row r="787" ht="15.75" customHeight="1">
      <c r="C787" s="224"/>
      <c r="D787" s="117"/>
      <c r="E787" s="213"/>
      <c r="F787" s="213"/>
      <c r="G787" s="117"/>
    </row>
    <row r="788" ht="15.75" customHeight="1">
      <c r="C788" s="224"/>
      <c r="D788" s="117"/>
      <c r="E788" s="213"/>
      <c r="F788" s="213"/>
      <c r="G788" s="117"/>
    </row>
    <row r="789" ht="15.75" customHeight="1">
      <c r="C789" s="224"/>
      <c r="D789" s="117"/>
      <c r="E789" s="213"/>
      <c r="F789" s="213"/>
      <c r="G789" s="117"/>
    </row>
    <row r="790" ht="15.75" customHeight="1">
      <c r="C790" s="224"/>
      <c r="D790" s="117"/>
      <c r="E790" s="213"/>
      <c r="F790" s="213"/>
      <c r="G790" s="117"/>
    </row>
    <row r="791" ht="15.75" customHeight="1">
      <c r="C791" s="224"/>
      <c r="D791" s="117"/>
      <c r="E791" s="213"/>
      <c r="F791" s="213"/>
      <c r="G791" s="117"/>
    </row>
    <row r="792" ht="15.75" customHeight="1">
      <c r="C792" s="224"/>
      <c r="D792" s="117"/>
      <c r="E792" s="213"/>
      <c r="F792" s="213"/>
      <c r="G792" s="117"/>
    </row>
    <row r="793" ht="15.75" customHeight="1">
      <c r="C793" s="224"/>
      <c r="D793" s="117"/>
      <c r="E793" s="213"/>
      <c r="F793" s="213"/>
      <c r="G793" s="117"/>
    </row>
    <row r="794" ht="15.75" customHeight="1">
      <c r="C794" s="224"/>
      <c r="D794" s="117"/>
      <c r="E794" s="213"/>
      <c r="F794" s="213"/>
      <c r="G794" s="117"/>
    </row>
    <row r="795" ht="15.75" customHeight="1">
      <c r="C795" s="224"/>
      <c r="D795" s="117"/>
      <c r="E795" s="213"/>
      <c r="F795" s="213"/>
      <c r="G795" s="117"/>
    </row>
    <row r="796" ht="15.75" customHeight="1">
      <c r="C796" s="224"/>
      <c r="D796" s="117"/>
      <c r="E796" s="213"/>
      <c r="F796" s="213"/>
      <c r="G796" s="117"/>
    </row>
    <row r="797" ht="15.75" customHeight="1">
      <c r="C797" s="224"/>
      <c r="D797" s="117"/>
      <c r="E797" s="213"/>
      <c r="F797" s="213"/>
      <c r="G797" s="117"/>
    </row>
    <row r="798" ht="15.75" customHeight="1">
      <c r="C798" s="224"/>
      <c r="D798" s="117"/>
      <c r="E798" s="213"/>
      <c r="F798" s="213"/>
      <c r="G798" s="117"/>
    </row>
    <row r="799" ht="15.75" customHeight="1">
      <c r="C799" s="224"/>
      <c r="D799" s="117"/>
      <c r="E799" s="213"/>
      <c r="F799" s="213"/>
      <c r="G799" s="117"/>
    </row>
    <row r="800" ht="15.75" customHeight="1">
      <c r="C800" s="224"/>
      <c r="D800" s="117"/>
      <c r="E800" s="213"/>
      <c r="F800" s="213"/>
      <c r="G800" s="117"/>
    </row>
    <row r="801" ht="15.75" customHeight="1">
      <c r="C801" s="224"/>
      <c r="D801" s="117"/>
      <c r="E801" s="213"/>
      <c r="F801" s="213"/>
      <c r="G801" s="117"/>
    </row>
    <row r="802" ht="15.75" customHeight="1">
      <c r="C802" s="224"/>
      <c r="D802" s="117"/>
      <c r="E802" s="213"/>
      <c r="F802" s="213"/>
      <c r="G802" s="117"/>
    </row>
    <row r="803" ht="15.75" customHeight="1">
      <c r="C803" s="224"/>
      <c r="D803" s="117"/>
      <c r="E803" s="213"/>
      <c r="F803" s="213"/>
      <c r="G803" s="117"/>
    </row>
    <row r="804" ht="15.75" customHeight="1">
      <c r="C804" s="224"/>
      <c r="D804" s="117"/>
      <c r="E804" s="213"/>
      <c r="F804" s="213"/>
      <c r="G804" s="117"/>
    </row>
    <row r="805" ht="15.75" customHeight="1">
      <c r="C805" s="224"/>
      <c r="D805" s="117"/>
      <c r="E805" s="213"/>
      <c r="F805" s="213"/>
      <c r="G805" s="117"/>
    </row>
    <row r="806" ht="15.75" customHeight="1">
      <c r="C806" s="224"/>
      <c r="D806" s="117"/>
      <c r="E806" s="213"/>
      <c r="F806" s="213"/>
      <c r="G806" s="117"/>
    </row>
    <row r="807" ht="15.75" customHeight="1">
      <c r="C807" s="224"/>
      <c r="D807" s="117"/>
      <c r="E807" s="213"/>
      <c r="F807" s="213"/>
      <c r="G807" s="117"/>
    </row>
    <row r="808" ht="15.75" customHeight="1">
      <c r="C808" s="224"/>
      <c r="D808" s="117"/>
      <c r="E808" s="213"/>
      <c r="F808" s="213"/>
      <c r="G808" s="117"/>
    </row>
    <row r="809" ht="15.75" customHeight="1">
      <c r="C809" s="224"/>
      <c r="D809" s="117"/>
      <c r="E809" s="213"/>
      <c r="F809" s="213"/>
      <c r="G809" s="117"/>
    </row>
    <row r="810" ht="15.75" customHeight="1">
      <c r="C810" s="224"/>
      <c r="D810" s="117"/>
      <c r="E810" s="213"/>
      <c r="F810" s="213"/>
      <c r="G810" s="117"/>
    </row>
    <row r="811" ht="15.75" customHeight="1">
      <c r="C811" s="224"/>
      <c r="D811" s="117"/>
      <c r="E811" s="213"/>
      <c r="F811" s="213"/>
      <c r="G811" s="117"/>
    </row>
    <row r="812" ht="15.75" customHeight="1">
      <c r="C812" s="224"/>
      <c r="D812" s="117"/>
      <c r="E812" s="213"/>
      <c r="F812" s="213"/>
      <c r="G812" s="117"/>
    </row>
    <row r="813" ht="15.75" customHeight="1">
      <c r="C813" s="224"/>
      <c r="D813" s="117"/>
      <c r="E813" s="213"/>
      <c r="F813" s="213"/>
      <c r="G813" s="117"/>
    </row>
    <row r="814" ht="15.75" customHeight="1">
      <c r="C814" s="224"/>
      <c r="D814" s="117"/>
      <c r="E814" s="213"/>
      <c r="F814" s="213"/>
      <c r="G814" s="117"/>
    </row>
    <row r="815" ht="15.75" customHeight="1">
      <c r="C815" s="224"/>
      <c r="D815" s="117"/>
      <c r="E815" s="213"/>
      <c r="F815" s="213"/>
      <c r="G815" s="117"/>
    </row>
    <row r="816" ht="15.75" customHeight="1">
      <c r="C816" s="224"/>
      <c r="D816" s="117"/>
      <c r="E816" s="213"/>
      <c r="F816" s="213"/>
      <c r="G816" s="117"/>
    </row>
    <row r="817" ht="15.75" customHeight="1">
      <c r="C817" s="224"/>
      <c r="D817" s="117"/>
      <c r="E817" s="213"/>
      <c r="F817" s="213"/>
      <c r="G817" s="117"/>
    </row>
    <row r="818" ht="15.75" customHeight="1">
      <c r="C818" s="224"/>
      <c r="D818" s="117"/>
      <c r="E818" s="213"/>
      <c r="F818" s="213"/>
      <c r="G818" s="117"/>
    </row>
    <row r="819" ht="15.75" customHeight="1">
      <c r="C819" s="224"/>
      <c r="D819" s="117"/>
      <c r="E819" s="213"/>
      <c r="F819" s="213"/>
      <c r="G819" s="117"/>
    </row>
    <row r="820" ht="15.75" customHeight="1">
      <c r="C820" s="224"/>
      <c r="D820" s="117"/>
      <c r="E820" s="213"/>
      <c r="F820" s="213"/>
      <c r="G820" s="117"/>
    </row>
    <row r="821" ht="15.75" customHeight="1">
      <c r="C821" s="224"/>
      <c r="D821" s="117"/>
      <c r="E821" s="213"/>
      <c r="F821" s="213"/>
      <c r="G821" s="117"/>
    </row>
    <row r="822" ht="15.75" customHeight="1">
      <c r="C822" s="224"/>
      <c r="D822" s="117"/>
      <c r="E822" s="213"/>
      <c r="F822" s="213"/>
      <c r="G822" s="117"/>
    </row>
    <row r="823" ht="15.75" customHeight="1">
      <c r="C823" s="224"/>
      <c r="D823" s="117"/>
      <c r="E823" s="213"/>
      <c r="F823" s="213"/>
      <c r="G823" s="117"/>
    </row>
    <row r="824" ht="15.75" customHeight="1">
      <c r="C824" s="224"/>
      <c r="D824" s="117"/>
      <c r="E824" s="213"/>
      <c r="F824" s="213"/>
      <c r="G824" s="117"/>
    </row>
    <row r="825" ht="15.75" customHeight="1">
      <c r="C825" s="224"/>
      <c r="D825" s="117"/>
      <c r="E825" s="213"/>
      <c r="F825" s="213"/>
      <c r="G825" s="117"/>
    </row>
    <row r="826" ht="15.75" customHeight="1">
      <c r="C826" s="224"/>
      <c r="D826" s="117"/>
      <c r="E826" s="213"/>
      <c r="F826" s="213"/>
      <c r="G826" s="117"/>
    </row>
    <row r="827" ht="15.75" customHeight="1">
      <c r="C827" s="224"/>
      <c r="D827" s="117"/>
      <c r="E827" s="213"/>
      <c r="F827" s="213"/>
      <c r="G827" s="117"/>
    </row>
    <row r="828" ht="15.75" customHeight="1">
      <c r="C828" s="224"/>
      <c r="D828" s="117"/>
      <c r="E828" s="213"/>
      <c r="F828" s="213"/>
      <c r="G828" s="117"/>
    </row>
    <row r="829" ht="15.75" customHeight="1">
      <c r="C829" s="224"/>
      <c r="D829" s="117"/>
      <c r="E829" s="213"/>
      <c r="F829" s="213"/>
      <c r="G829" s="117"/>
    </row>
    <row r="830" ht="15.75" customHeight="1">
      <c r="C830" s="224"/>
      <c r="D830" s="117"/>
      <c r="E830" s="213"/>
      <c r="F830" s="213"/>
      <c r="G830" s="117"/>
    </row>
    <row r="831" ht="15.75" customHeight="1">
      <c r="C831" s="224"/>
      <c r="D831" s="117"/>
      <c r="E831" s="213"/>
      <c r="F831" s="213"/>
      <c r="G831" s="117"/>
    </row>
    <row r="832" ht="15.75" customHeight="1">
      <c r="C832" s="224"/>
      <c r="D832" s="117"/>
      <c r="E832" s="213"/>
      <c r="F832" s="213"/>
      <c r="G832" s="117"/>
    </row>
    <row r="833" ht="15.75" customHeight="1">
      <c r="C833" s="224"/>
      <c r="D833" s="117"/>
      <c r="E833" s="213"/>
      <c r="F833" s="213"/>
      <c r="G833" s="117"/>
    </row>
    <row r="834" ht="15.75" customHeight="1">
      <c r="C834" s="224"/>
      <c r="D834" s="117"/>
      <c r="E834" s="213"/>
      <c r="F834" s="213"/>
      <c r="G834" s="117"/>
    </row>
    <row r="835" ht="15.75" customHeight="1">
      <c r="C835" s="224"/>
      <c r="D835" s="117"/>
      <c r="E835" s="213"/>
      <c r="F835" s="213"/>
      <c r="G835" s="117"/>
    </row>
    <row r="836" ht="15.75" customHeight="1">
      <c r="C836" s="224"/>
      <c r="D836" s="117"/>
      <c r="E836" s="213"/>
      <c r="F836" s="213"/>
      <c r="G836" s="117"/>
    </row>
    <row r="837" ht="15.75" customHeight="1">
      <c r="C837" s="224"/>
      <c r="D837" s="117"/>
      <c r="E837" s="213"/>
      <c r="F837" s="213"/>
      <c r="G837" s="117"/>
    </row>
    <row r="838" ht="15.75" customHeight="1">
      <c r="C838" s="224"/>
      <c r="D838" s="117"/>
      <c r="E838" s="213"/>
      <c r="F838" s="213"/>
      <c r="G838" s="117"/>
    </row>
    <row r="839" ht="15.75" customHeight="1">
      <c r="C839" s="224"/>
      <c r="D839" s="117"/>
      <c r="E839" s="213"/>
      <c r="F839" s="213"/>
      <c r="G839" s="117"/>
    </row>
    <row r="840" ht="15.75" customHeight="1">
      <c r="C840" s="224"/>
      <c r="D840" s="117"/>
      <c r="E840" s="213"/>
      <c r="F840" s="213"/>
      <c r="G840" s="117"/>
    </row>
    <row r="841" ht="15.75" customHeight="1">
      <c r="C841" s="224"/>
      <c r="D841" s="117"/>
      <c r="E841" s="213"/>
      <c r="F841" s="213"/>
      <c r="G841" s="117"/>
    </row>
    <row r="842" ht="15.75" customHeight="1">
      <c r="C842" s="224"/>
      <c r="D842" s="117"/>
      <c r="E842" s="213"/>
      <c r="F842" s="213"/>
      <c r="G842" s="117"/>
    </row>
    <row r="843" ht="15.75" customHeight="1">
      <c r="C843" s="224"/>
      <c r="D843" s="117"/>
      <c r="E843" s="213"/>
      <c r="F843" s="213"/>
      <c r="G843" s="117"/>
    </row>
    <row r="844" ht="15.75" customHeight="1">
      <c r="C844" s="224"/>
      <c r="D844" s="117"/>
      <c r="E844" s="213"/>
      <c r="F844" s="213"/>
      <c r="G844" s="117"/>
    </row>
    <row r="845" ht="15.75" customHeight="1">
      <c r="C845" s="224"/>
      <c r="D845" s="117"/>
      <c r="E845" s="213"/>
      <c r="F845" s="213"/>
      <c r="G845" s="117"/>
    </row>
    <row r="846" ht="15.75" customHeight="1">
      <c r="C846" s="224"/>
      <c r="D846" s="117"/>
      <c r="E846" s="213"/>
      <c r="F846" s="213"/>
      <c r="G846" s="117"/>
    </row>
    <row r="847" ht="15.75" customHeight="1">
      <c r="C847" s="224"/>
      <c r="D847" s="117"/>
      <c r="E847" s="213"/>
      <c r="F847" s="213"/>
      <c r="G847" s="117"/>
    </row>
    <row r="848" ht="15.75" customHeight="1">
      <c r="C848" s="224"/>
      <c r="D848" s="117"/>
      <c r="E848" s="213"/>
      <c r="F848" s="213"/>
      <c r="G848" s="117"/>
    </row>
    <row r="849" ht="15.75" customHeight="1">
      <c r="C849" s="224"/>
      <c r="D849" s="117"/>
      <c r="E849" s="213"/>
      <c r="F849" s="213"/>
      <c r="G849" s="117"/>
    </row>
    <row r="850" ht="15.75" customHeight="1">
      <c r="C850" s="224"/>
      <c r="D850" s="117"/>
      <c r="E850" s="213"/>
      <c r="F850" s="213"/>
      <c r="G850" s="117"/>
    </row>
    <row r="851" ht="15.75" customHeight="1">
      <c r="C851" s="224"/>
      <c r="D851" s="117"/>
      <c r="E851" s="213"/>
      <c r="F851" s="213"/>
      <c r="G851" s="117"/>
    </row>
    <row r="852" ht="15.75" customHeight="1">
      <c r="C852" s="224"/>
      <c r="D852" s="117"/>
      <c r="E852" s="213"/>
      <c r="F852" s="213"/>
      <c r="G852" s="117"/>
    </row>
    <row r="853" ht="15.75" customHeight="1">
      <c r="C853" s="224"/>
      <c r="D853" s="117"/>
      <c r="E853" s="213"/>
      <c r="F853" s="213"/>
      <c r="G853" s="117"/>
    </row>
    <row r="854" ht="15.75" customHeight="1">
      <c r="C854" s="224"/>
      <c r="D854" s="117"/>
      <c r="E854" s="213"/>
      <c r="F854" s="213"/>
      <c r="G854" s="117"/>
    </row>
    <row r="855" ht="15.75" customHeight="1">
      <c r="C855" s="224"/>
      <c r="D855" s="117"/>
      <c r="E855" s="213"/>
      <c r="F855" s="213"/>
      <c r="G855" s="117"/>
    </row>
    <row r="856" ht="15.75" customHeight="1">
      <c r="C856" s="224"/>
      <c r="D856" s="117"/>
      <c r="E856" s="213"/>
      <c r="F856" s="213"/>
      <c r="G856" s="117"/>
    </row>
    <row r="857" ht="15.75" customHeight="1">
      <c r="C857" s="224"/>
      <c r="D857" s="117"/>
      <c r="E857" s="213"/>
      <c r="F857" s="213"/>
      <c r="G857" s="117"/>
    </row>
    <row r="858" ht="15.75" customHeight="1">
      <c r="C858" s="224"/>
      <c r="D858" s="117"/>
      <c r="E858" s="213"/>
      <c r="F858" s="213"/>
      <c r="G858" s="117"/>
    </row>
    <row r="859" ht="15.75" customHeight="1">
      <c r="C859" s="224"/>
      <c r="D859" s="117"/>
      <c r="E859" s="213"/>
      <c r="F859" s="213"/>
      <c r="G859" s="117"/>
    </row>
    <row r="860" ht="15.75" customHeight="1">
      <c r="C860" s="224"/>
      <c r="D860" s="117"/>
      <c r="E860" s="213"/>
      <c r="F860" s="213"/>
      <c r="G860" s="117"/>
    </row>
    <row r="861" ht="15.75" customHeight="1">
      <c r="C861" s="224"/>
      <c r="D861" s="117"/>
      <c r="E861" s="213"/>
      <c r="F861" s="213"/>
      <c r="G861" s="117"/>
    </row>
    <row r="862" ht="15.75" customHeight="1">
      <c r="C862" s="224"/>
      <c r="D862" s="117"/>
      <c r="E862" s="213"/>
      <c r="F862" s="213"/>
      <c r="G862" s="117"/>
    </row>
    <row r="863" ht="15.75" customHeight="1">
      <c r="C863" s="224"/>
      <c r="D863" s="117"/>
      <c r="E863" s="213"/>
      <c r="F863" s="213"/>
      <c r="G863" s="117"/>
    </row>
    <row r="864" ht="15.75" customHeight="1">
      <c r="C864" s="224"/>
      <c r="D864" s="117"/>
      <c r="E864" s="213"/>
      <c r="F864" s="213"/>
      <c r="G864" s="117"/>
    </row>
    <row r="865" ht="15.75" customHeight="1">
      <c r="C865" s="224"/>
      <c r="D865" s="117"/>
      <c r="E865" s="213"/>
      <c r="F865" s="213"/>
      <c r="G865" s="117"/>
    </row>
    <row r="866" ht="15.75" customHeight="1">
      <c r="C866" s="224"/>
      <c r="D866" s="117"/>
      <c r="E866" s="213"/>
      <c r="F866" s="213"/>
      <c r="G866" s="117"/>
    </row>
    <row r="867" ht="15.75" customHeight="1">
      <c r="C867" s="224"/>
      <c r="D867" s="117"/>
      <c r="E867" s="213"/>
      <c r="F867" s="213"/>
      <c r="G867" s="117"/>
    </row>
    <row r="868" ht="15.75" customHeight="1">
      <c r="C868" s="224"/>
      <c r="D868" s="117"/>
      <c r="E868" s="213"/>
      <c r="F868" s="213"/>
      <c r="G868" s="117"/>
    </row>
    <row r="869" ht="15.75" customHeight="1">
      <c r="C869" s="224"/>
      <c r="D869" s="117"/>
      <c r="E869" s="213"/>
      <c r="F869" s="213"/>
      <c r="G869" s="117"/>
    </row>
    <row r="870" ht="15.75" customHeight="1">
      <c r="C870" s="224"/>
      <c r="D870" s="117"/>
      <c r="E870" s="213"/>
      <c r="F870" s="213"/>
      <c r="G870" s="117"/>
    </row>
    <row r="871" ht="15.75" customHeight="1">
      <c r="C871" s="224"/>
      <c r="D871" s="117"/>
      <c r="E871" s="213"/>
      <c r="F871" s="213"/>
      <c r="G871" s="117"/>
    </row>
    <row r="872" ht="15.75" customHeight="1">
      <c r="C872" s="224"/>
      <c r="D872" s="117"/>
      <c r="E872" s="213"/>
      <c r="F872" s="213"/>
      <c r="G872" s="117"/>
    </row>
    <row r="873" ht="15.75" customHeight="1">
      <c r="C873" s="224"/>
      <c r="D873" s="117"/>
      <c r="E873" s="213"/>
      <c r="F873" s="213"/>
      <c r="G873" s="117"/>
    </row>
    <row r="874" ht="15.75" customHeight="1">
      <c r="C874" s="224"/>
      <c r="D874" s="117"/>
      <c r="E874" s="213"/>
      <c r="F874" s="213"/>
      <c r="G874" s="117"/>
    </row>
    <row r="875" ht="15.75" customHeight="1">
      <c r="C875" s="224"/>
      <c r="D875" s="117"/>
      <c r="E875" s="213"/>
      <c r="F875" s="213"/>
      <c r="G875" s="117"/>
    </row>
    <row r="876" ht="15.75" customHeight="1">
      <c r="C876" s="224"/>
      <c r="D876" s="117"/>
      <c r="E876" s="213"/>
      <c r="F876" s="213"/>
      <c r="G876" s="117"/>
    </row>
    <row r="877" ht="15.75" customHeight="1">
      <c r="C877" s="224"/>
      <c r="D877" s="117"/>
      <c r="E877" s="213"/>
      <c r="F877" s="213"/>
      <c r="G877" s="117"/>
    </row>
    <row r="878" ht="15.75" customHeight="1">
      <c r="C878" s="224"/>
      <c r="D878" s="117"/>
      <c r="E878" s="213"/>
      <c r="F878" s="213"/>
      <c r="G878" s="117"/>
    </row>
    <row r="879" ht="15.75" customHeight="1">
      <c r="C879" s="224"/>
      <c r="D879" s="117"/>
      <c r="E879" s="213"/>
      <c r="F879" s="213"/>
      <c r="G879" s="117"/>
    </row>
    <row r="880" ht="15.75" customHeight="1">
      <c r="C880" s="224"/>
      <c r="D880" s="117"/>
      <c r="E880" s="213"/>
      <c r="F880" s="213"/>
      <c r="G880" s="117"/>
    </row>
    <row r="881" ht="15.75" customHeight="1">
      <c r="C881" s="224"/>
      <c r="D881" s="117"/>
      <c r="E881" s="213"/>
      <c r="F881" s="213"/>
      <c r="G881" s="117"/>
    </row>
    <row r="882" ht="15.75" customHeight="1">
      <c r="C882" s="224"/>
      <c r="D882" s="117"/>
      <c r="E882" s="213"/>
      <c r="F882" s="213"/>
      <c r="G882" s="117"/>
    </row>
    <row r="883" ht="15.75" customHeight="1">
      <c r="C883" s="224"/>
      <c r="D883" s="117"/>
      <c r="E883" s="213"/>
      <c r="F883" s="213"/>
      <c r="G883" s="117"/>
    </row>
    <row r="884" ht="15.75" customHeight="1">
      <c r="C884" s="224"/>
      <c r="D884" s="117"/>
      <c r="E884" s="213"/>
      <c r="F884" s="213"/>
      <c r="G884" s="117"/>
    </row>
    <row r="885" ht="15.75" customHeight="1">
      <c r="C885" s="224"/>
      <c r="D885" s="117"/>
      <c r="E885" s="213"/>
      <c r="F885" s="213"/>
      <c r="G885" s="117"/>
    </row>
    <row r="886" ht="15.75" customHeight="1">
      <c r="C886" s="224"/>
      <c r="D886" s="117"/>
      <c r="E886" s="213"/>
      <c r="F886" s="213"/>
      <c r="G886" s="117"/>
    </row>
    <row r="887" ht="15.75" customHeight="1">
      <c r="C887" s="224"/>
      <c r="D887" s="117"/>
      <c r="E887" s="213"/>
      <c r="F887" s="213"/>
      <c r="G887" s="117"/>
    </row>
    <row r="888" ht="15.75" customHeight="1">
      <c r="C888" s="224"/>
      <c r="D888" s="117"/>
      <c r="E888" s="213"/>
      <c r="F888" s="213"/>
      <c r="G888" s="117"/>
    </row>
    <row r="889" ht="15.75" customHeight="1">
      <c r="C889" s="224"/>
      <c r="D889" s="117"/>
      <c r="E889" s="213"/>
      <c r="F889" s="213"/>
      <c r="G889" s="117"/>
    </row>
    <row r="890" ht="15.75" customHeight="1">
      <c r="C890" s="224"/>
      <c r="D890" s="117"/>
      <c r="E890" s="213"/>
      <c r="F890" s="213"/>
      <c r="G890" s="117"/>
    </row>
    <row r="891" ht="15.75" customHeight="1">
      <c r="C891" s="224"/>
      <c r="D891" s="117"/>
      <c r="E891" s="213"/>
      <c r="F891" s="213"/>
      <c r="G891" s="117"/>
    </row>
    <row r="892" ht="15.75" customHeight="1">
      <c r="C892" s="224"/>
      <c r="D892" s="117"/>
      <c r="E892" s="213"/>
      <c r="F892" s="213"/>
      <c r="G892" s="117"/>
    </row>
    <row r="893" ht="15.75" customHeight="1">
      <c r="C893" s="224"/>
      <c r="D893" s="117"/>
      <c r="E893" s="213"/>
      <c r="F893" s="213"/>
      <c r="G893" s="117"/>
    </row>
    <row r="894" ht="15.75" customHeight="1">
      <c r="C894" s="224"/>
      <c r="D894" s="117"/>
      <c r="E894" s="213"/>
      <c r="F894" s="213"/>
      <c r="G894" s="117"/>
    </row>
    <row r="895" ht="15.75" customHeight="1">
      <c r="C895" s="224"/>
      <c r="D895" s="117"/>
      <c r="E895" s="213"/>
      <c r="F895" s="213"/>
      <c r="G895" s="117"/>
    </row>
    <row r="896" ht="15.75" customHeight="1">
      <c r="C896" s="224"/>
      <c r="D896" s="117"/>
      <c r="E896" s="213"/>
      <c r="F896" s="213"/>
      <c r="G896" s="117"/>
    </row>
    <row r="897" ht="15.75" customHeight="1">
      <c r="C897" s="224"/>
      <c r="D897" s="117"/>
      <c r="E897" s="213"/>
      <c r="F897" s="213"/>
      <c r="G897" s="117"/>
    </row>
    <row r="898" ht="15.75" customHeight="1">
      <c r="C898" s="224"/>
      <c r="D898" s="117"/>
      <c r="E898" s="213"/>
      <c r="F898" s="213"/>
      <c r="G898" s="117"/>
    </row>
    <row r="899" ht="15.75" customHeight="1">
      <c r="C899" s="224"/>
      <c r="D899" s="117"/>
      <c r="E899" s="213"/>
      <c r="F899" s="213"/>
      <c r="G899" s="117"/>
    </row>
    <row r="900" ht="15.75" customHeight="1">
      <c r="C900" s="224"/>
      <c r="D900" s="117"/>
      <c r="E900" s="213"/>
      <c r="F900" s="213"/>
      <c r="G900" s="117"/>
    </row>
    <row r="901" ht="15.75" customHeight="1">
      <c r="C901" s="224"/>
      <c r="D901" s="117"/>
      <c r="E901" s="213"/>
      <c r="F901" s="213"/>
      <c r="G901" s="117"/>
    </row>
    <row r="902" ht="15.75" customHeight="1">
      <c r="C902" s="224"/>
      <c r="D902" s="117"/>
      <c r="E902" s="213"/>
      <c r="F902" s="213"/>
      <c r="G902" s="117"/>
    </row>
    <row r="903" ht="15.75" customHeight="1">
      <c r="C903" s="224"/>
      <c r="D903" s="117"/>
      <c r="E903" s="213"/>
      <c r="F903" s="213"/>
      <c r="G903" s="117"/>
    </row>
    <row r="904" ht="15.75" customHeight="1">
      <c r="C904" s="224"/>
      <c r="D904" s="117"/>
      <c r="E904" s="213"/>
      <c r="F904" s="213"/>
      <c r="G904" s="117"/>
    </row>
    <row r="905" ht="15.75" customHeight="1">
      <c r="C905" s="224"/>
      <c r="D905" s="117"/>
      <c r="E905" s="213"/>
      <c r="F905" s="213"/>
      <c r="G905" s="117"/>
    </row>
    <row r="906" ht="15.75" customHeight="1">
      <c r="C906" s="224"/>
      <c r="D906" s="117"/>
      <c r="E906" s="213"/>
      <c r="F906" s="213"/>
      <c r="G906" s="117"/>
    </row>
    <row r="907" ht="15.75" customHeight="1">
      <c r="C907" s="224"/>
      <c r="D907" s="117"/>
      <c r="E907" s="213"/>
      <c r="F907" s="213"/>
      <c r="G907" s="117"/>
    </row>
    <row r="908" ht="15.75" customHeight="1">
      <c r="C908" s="224"/>
      <c r="D908" s="117"/>
      <c r="E908" s="213"/>
      <c r="F908" s="213"/>
      <c r="G908" s="117"/>
    </row>
    <row r="909" ht="15.75" customHeight="1">
      <c r="C909" s="224"/>
      <c r="D909" s="117"/>
      <c r="E909" s="213"/>
      <c r="F909" s="213"/>
      <c r="G909" s="117"/>
    </row>
    <row r="910" ht="15.75" customHeight="1">
      <c r="C910" s="224"/>
      <c r="D910" s="117"/>
      <c r="E910" s="213"/>
      <c r="F910" s="213"/>
      <c r="G910" s="117"/>
    </row>
    <row r="911" ht="15.75" customHeight="1">
      <c r="C911" s="224"/>
      <c r="D911" s="117"/>
      <c r="E911" s="213"/>
      <c r="F911" s="213"/>
      <c r="G911" s="117"/>
    </row>
    <row r="912" ht="15.75" customHeight="1">
      <c r="C912" s="224"/>
      <c r="D912" s="117"/>
      <c r="E912" s="213"/>
      <c r="F912" s="213"/>
      <c r="G912" s="117"/>
    </row>
    <row r="913" ht="15.75" customHeight="1">
      <c r="C913" s="224"/>
      <c r="D913" s="117"/>
      <c r="E913" s="213"/>
      <c r="F913" s="213"/>
      <c r="G913" s="117"/>
    </row>
    <row r="914" ht="15.75" customHeight="1">
      <c r="C914" s="224"/>
      <c r="D914" s="117"/>
      <c r="E914" s="213"/>
      <c r="F914" s="213"/>
      <c r="G914" s="117"/>
    </row>
    <row r="915" ht="15.75" customHeight="1">
      <c r="C915" s="224"/>
      <c r="D915" s="117"/>
      <c r="E915" s="213"/>
      <c r="F915" s="213"/>
      <c r="G915" s="117"/>
    </row>
    <row r="916" ht="15.75" customHeight="1">
      <c r="C916" s="224"/>
      <c r="D916" s="117"/>
      <c r="E916" s="213"/>
      <c r="F916" s="213"/>
      <c r="G916" s="117"/>
    </row>
    <row r="917" ht="15.75" customHeight="1">
      <c r="C917" s="224"/>
      <c r="D917" s="117"/>
      <c r="E917" s="213"/>
      <c r="F917" s="213"/>
      <c r="G917" s="117"/>
    </row>
    <row r="918" ht="15.75" customHeight="1">
      <c r="C918" s="224"/>
      <c r="D918" s="117"/>
      <c r="E918" s="213"/>
      <c r="F918" s="213"/>
      <c r="G918" s="117"/>
    </row>
    <row r="919" ht="15.75" customHeight="1">
      <c r="C919" s="224"/>
      <c r="D919" s="117"/>
      <c r="E919" s="213"/>
      <c r="F919" s="213"/>
      <c r="G919" s="117"/>
    </row>
    <row r="920" ht="15.75" customHeight="1">
      <c r="C920" s="224"/>
      <c r="D920" s="117"/>
      <c r="E920" s="213"/>
      <c r="F920" s="213"/>
      <c r="G920" s="117"/>
    </row>
    <row r="921" ht="15.75" customHeight="1">
      <c r="C921" s="224"/>
      <c r="D921" s="117"/>
      <c r="E921" s="213"/>
      <c r="F921" s="213"/>
      <c r="G921" s="117"/>
    </row>
    <row r="922" ht="15.75" customHeight="1">
      <c r="C922" s="224"/>
      <c r="D922" s="117"/>
      <c r="E922" s="213"/>
      <c r="F922" s="213"/>
      <c r="G922" s="117"/>
    </row>
    <row r="923" ht="15.75" customHeight="1">
      <c r="C923" s="224"/>
      <c r="D923" s="117"/>
      <c r="E923" s="213"/>
      <c r="F923" s="213"/>
      <c r="G923" s="117"/>
    </row>
    <row r="924" ht="15.75" customHeight="1">
      <c r="C924" s="224"/>
      <c r="D924" s="117"/>
      <c r="E924" s="213"/>
      <c r="F924" s="213"/>
      <c r="G924" s="117"/>
    </row>
    <row r="925" ht="15.75" customHeight="1">
      <c r="C925" s="224"/>
      <c r="D925" s="117"/>
      <c r="E925" s="213"/>
      <c r="F925" s="213"/>
      <c r="G925" s="117"/>
    </row>
    <row r="926" ht="15.75" customHeight="1">
      <c r="C926" s="224"/>
      <c r="D926" s="117"/>
      <c r="E926" s="213"/>
      <c r="F926" s="213"/>
      <c r="G926" s="117"/>
    </row>
    <row r="927" ht="15.75" customHeight="1">
      <c r="C927" s="224"/>
      <c r="D927" s="117"/>
      <c r="E927" s="213"/>
      <c r="F927" s="213"/>
      <c r="G927" s="117"/>
    </row>
    <row r="928" ht="15.75" customHeight="1">
      <c r="C928" s="224"/>
      <c r="D928" s="117"/>
      <c r="E928" s="213"/>
      <c r="F928" s="213"/>
      <c r="G928" s="117"/>
    </row>
    <row r="929" ht="15.75" customHeight="1">
      <c r="C929" s="224"/>
      <c r="D929" s="117"/>
      <c r="E929" s="213"/>
      <c r="F929" s="213"/>
      <c r="G929" s="117"/>
    </row>
    <row r="930" ht="15.75" customHeight="1">
      <c r="C930" s="224"/>
      <c r="D930" s="117"/>
      <c r="E930" s="213"/>
      <c r="F930" s="213"/>
      <c r="G930" s="117"/>
    </row>
    <row r="931" ht="15.75" customHeight="1">
      <c r="C931" s="224"/>
      <c r="D931" s="117"/>
      <c r="E931" s="213"/>
      <c r="F931" s="213"/>
      <c r="G931" s="117"/>
    </row>
    <row r="932" ht="15.75" customHeight="1">
      <c r="C932" s="224"/>
      <c r="D932" s="117"/>
      <c r="E932" s="213"/>
      <c r="F932" s="213"/>
      <c r="G932" s="117"/>
    </row>
    <row r="933" ht="15.75" customHeight="1">
      <c r="C933" s="224"/>
      <c r="D933" s="117"/>
      <c r="E933" s="213"/>
      <c r="F933" s="213"/>
      <c r="G933" s="117"/>
    </row>
    <row r="934" ht="15.75" customHeight="1">
      <c r="C934" s="224"/>
      <c r="D934" s="117"/>
      <c r="E934" s="213"/>
      <c r="F934" s="213"/>
      <c r="G934" s="117"/>
    </row>
    <row r="935" ht="15.75" customHeight="1">
      <c r="C935" s="224"/>
      <c r="D935" s="117"/>
      <c r="E935" s="213"/>
      <c r="F935" s="213"/>
      <c r="G935" s="117"/>
    </row>
    <row r="936" ht="15.75" customHeight="1">
      <c r="C936" s="224"/>
      <c r="D936" s="117"/>
      <c r="E936" s="213"/>
      <c r="F936" s="213"/>
      <c r="G936" s="117"/>
    </row>
    <row r="937" ht="15.75" customHeight="1">
      <c r="C937" s="224"/>
      <c r="D937" s="117"/>
      <c r="E937" s="213"/>
      <c r="F937" s="213"/>
      <c r="G937" s="117"/>
    </row>
    <row r="938" ht="15.75" customHeight="1">
      <c r="C938" s="224"/>
      <c r="D938" s="117"/>
      <c r="E938" s="213"/>
      <c r="F938" s="213"/>
      <c r="G938" s="117"/>
    </row>
    <row r="939" ht="15.75" customHeight="1">
      <c r="C939" s="224"/>
      <c r="D939" s="117"/>
      <c r="E939" s="213"/>
      <c r="F939" s="213"/>
      <c r="G939" s="117"/>
    </row>
    <row r="940" ht="15.75" customHeight="1">
      <c r="C940" s="224"/>
      <c r="D940" s="117"/>
      <c r="E940" s="213"/>
      <c r="F940" s="213"/>
      <c r="G940" s="117"/>
    </row>
    <row r="941" ht="15.75" customHeight="1">
      <c r="C941" s="224"/>
      <c r="D941" s="117"/>
      <c r="E941" s="213"/>
      <c r="F941" s="213"/>
      <c r="G941" s="117"/>
    </row>
    <row r="942" ht="15.75" customHeight="1">
      <c r="C942" s="224"/>
      <c r="D942" s="117"/>
      <c r="E942" s="213"/>
      <c r="F942" s="213"/>
      <c r="G942" s="117"/>
    </row>
    <row r="943" ht="15.75" customHeight="1">
      <c r="C943" s="224"/>
      <c r="D943" s="117"/>
      <c r="E943" s="213"/>
      <c r="F943" s="213"/>
      <c r="G943" s="117"/>
    </row>
    <row r="944" ht="15.75" customHeight="1">
      <c r="C944" s="224"/>
      <c r="D944" s="117"/>
      <c r="E944" s="213"/>
      <c r="F944" s="213"/>
      <c r="G944" s="117"/>
    </row>
    <row r="945" ht="15.75" customHeight="1">
      <c r="C945" s="224"/>
      <c r="D945" s="117"/>
      <c r="E945" s="213"/>
      <c r="F945" s="213"/>
      <c r="G945" s="117"/>
    </row>
    <row r="946" ht="15.75" customHeight="1">
      <c r="C946" s="224"/>
      <c r="D946" s="117"/>
      <c r="E946" s="213"/>
      <c r="F946" s="213"/>
      <c r="G946" s="117"/>
    </row>
    <row r="947" ht="15.75" customHeight="1">
      <c r="C947" s="224"/>
      <c r="D947" s="117"/>
      <c r="E947" s="213"/>
      <c r="F947" s="213"/>
      <c r="G947" s="117"/>
    </row>
    <row r="948" ht="15.75" customHeight="1">
      <c r="C948" s="224"/>
      <c r="D948" s="117"/>
      <c r="E948" s="213"/>
      <c r="F948" s="213"/>
      <c r="G948" s="117"/>
    </row>
    <row r="949" ht="15.75" customHeight="1">
      <c r="C949" s="224"/>
      <c r="D949" s="117"/>
      <c r="E949" s="213"/>
      <c r="F949" s="213"/>
      <c r="G949" s="117"/>
    </row>
    <row r="950" ht="15.75" customHeight="1">
      <c r="C950" s="224"/>
      <c r="D950" s="117"/>
      <c r="E950" s="213"/>
      <c r="F950" s="213"/>
      <c r="G950" s="117"/>
    </row>
    <row r="951" ht="15.75" customHeight="1">
      <c r="C951" s="224"/>
      <c r="D951" s="117"/>
      <c r="E951" s="213"/>
      <c r="F951" s="213"/>
      <c r="G951" s="117"/>
    </row>
    <row r="952" ht="15.75" customHeight="1">
      <c r="C952" s="224"/>
      <c r="D952" s="117"/>
      <c r="E952" s="213"/>
      <c r="F952" s="213"/>
      <c r="G952" s="117"/>
    </row>
    <row r="953" ht="15.75" customHeight="1">
      <c r="C953" s="224"/>
      <c r="D953" s="117"/>
      <c r="E953" s="213"/>
      <c r="F953" s="213"/>
      <c r="G953" s="117"/>
    </row>
    <row r="954" ht="15.75" customHeight="1">
      <c r="C954" s="224"/>
      <c r="D954" s="117"/>
      <c r="E954" s="213"/>
      <c r="F954" s="213"/>
      <c r="G954" s="117"/>
    </row>
    <row r="955" ht="15.75" customHeight="1">
      <c r="C955" s="224"/>
      <c r="D955" s="117"/>
      <c r="E955" s="213"/>
      <c r="F955" s="213"/>
      <c r="G955" s="117"/>
    </row>
    <row r="956" ht="15.75" customHeight="1">
      <c r="C956" s="224"/>
      <c r="D956" s="117"/>
      <c r="E956" s="213"/>
      <c r="F956" s="213"/>
      <c r="G956" s="117"/>
    </row>
    <row r="957" ht="15.75" customHeight="1">
      <c r="C957" s="224"/>
      <c r="D957" s="117"/>
      <c r="E957" s="213"/>
      <c r="F957" s="213"/>
      <c r="G957" s="117"/>
    </row>
    <row r="958" ht="15.75" customHeight="1">
      <c r="C958" s="224"/>
      <c r="D958" s="117"/>
      <c r="E958" s="213"/>
      <c r="F958" s="213"/>
      <c r="G958" s="117"/>
    </row>
    <row r="959" ht="15.75" customHeight="1">
      <c r="C959" s="224"/>
      <c r="D959" s="117"/>
      <c r="E959" s="213"/>
      <c r="F959" s="213"/>
      <c r="G959" s="117"/>
    </row>
    <row r="960" ht="15.75" customHeight="1">
      <c r="C960" s="224"/>
      <c r="D960" s="117"/>
      <c r="E960" s="213"/>
      <c r="F960" s="213"/>
      <c r="G960" s="117"/>
    </row>
    <row r="961" ht="15.75" customHeight="1">
      <c r="C961" s="224"/>
      <c r="D961" s="117"/>
      <c r="E961" s="213"/>
      <c r="F961" s="213"/>
      <c r="G961" s="117"/>
    </row>
    <row r="962" ht="15.75" customHeight="1">
      <c r="C962" s="224"/>
      <c r="D962" s="117"/>
      <c r="E962" s="213"/>
      <c r="F962" s="213"/>
      <c r="G962" s="117"/>
    </row>
    <row r="963" ht="15.75" customHeight="1">
      <c r="C963" s="224"/>
      <c r="D963" s="117"/>
      <c r="E963" s="213"/>
      <c r="F963" s="213"/>
      <c r="G963" s="117"/>
    </row>
    <row r="964" ht="15.75" customHeight="1">
      <c r="C964" s="224"/>
      <c r="D964" s="117"/>
      <c r="E964" s="213"/>
      <c r="F964" s="213"/>
      <c r="G964" s="117"/>
    </row>
    <row r="965" ht="15.75" customHeight="1">
      <c r="C965" s="224"/>
      <c r="D965" s="117"/>
      <c r="E965" s="213"/>
      <c r="F965" s="213"/>
      <c r="G965" s="117"/>
    </row>
    <row r="966" ht="15.75" customHeight="1">
      <c r="C966" s="224"/>
      <c r="D966" s="117"/>
      <c r="E966" s="213"/>
      <c r="F966" s="213"/>
      <c r="G966" s="117"/>
    </row>
    <row r="967" ht="15.75" customHeight="1">
      <c r="C967" s="224"/>
      <c r="D967" s="117"/>
      <c r="E967" s="213"/>
      <c r="F967" s="213"/>
      <c r="G967" s="117"/>
    </row>
    <row r="968" ht="15.75" customHeight="1">
      <c r="C968" s="224"/>
      <c r="D968" s="117"/>
      <c r="E968" s="213"/>
      <c r="F968" s="213"/>
      <c r="G968" s="117"/>
    </row>
    <row r="969" ht="15.75" customHeight="1">
      <c r="C969" s="224"/>
      <c r="D969" s="117"/>
      <c r="E969" s="213"/>
      <c r="F969" s="213"/>
      <c r="G969" s="117"/>
    </row>
    <row r="970" ht="15.75" customHeight="1">
      <c r="C970" s="224"/>
      <c r="D970" s="117"/>
      <c r="E970" s="213"/>
      <c r="F970" s="213"/>
      <c r="G970" s="117"/>
    </row>
    <row r="971" ht="15.75" customHeight="1">
      <c r="C971" s="224"/>
      <c r="D971" s="117"/>
      <c r="E971" s="213"/>
      <c r="F971" s="213"/>
      <c r="G971" s="117"/>
    </row>
    <row r="972" ht="15.75" customHeight="1">
      <c r="C972" s="224"/>
      <c r="D972" s="117"/>
      <c r="E972" s="213"/>
      <c r="F972" s="213"/>
      <c r="G972" s="117"/>
    </row>
    <row r="973" ht="15.75" customHeight="1">
      <c r="C973" s="224"/>
      <c r="D973" s="117"/>
      <c r="E973" s="213"/>
      <c r="F973" s="213"/>
      <c r="G973" s="117"/>
    </row>
    <row r="974" ht="15.75" customHeight="1">
      <c r="C974" s="224"/>
      <c r="D974" s="117"/>
      <c r="E974" s="213"/>
      <c r="F974" s="213"/>
      <c r="G974" s="117"/>
    </row>
    <row r="975" ht="15.75" customHeight="1">
      <c r="C975" s="224"/>
      <c r="D975" s="117"/>
      <c r="E975" s="213"/>
      <c r="F975" s="213"/>
      <c r="G975" s="117"/>
    </row>
    <row r="976" ht="15.75" customHeight="1">
      <c r="C976" s="224"/>
      <c r="D976" s="117"/>
      <c r="E976" s="213"/>
      <c r="F976" s="213"/>
      <c r="G976" s="117"/>
    </row>
    <row r="977" ht="15.75" customHeight="1">
      <c r="C977" s="224"/>
      <c r="D977" s="117"/>
      <c r="E977" s="213"/>
      <c r="F977" s="213"/>
      <c r="G977" s="117"/>
    </row>
    <row r="978" ht="15.75" customHeight="1">
      <c r="C978" s="224"/>
      <c r="D978" s="117"/>
      <c r="E978" s="213"/>
      <c r="F978" s="213"/>
      <c r="G978" s="117"/>
    </row>
    <row r="979" ht="15.75" customHeight="1">
      <c r="C979" s="224"/>
      <c r="D979" s="117"/>
      <c r="E979" s="213"/>
      <c r="F979" s="213"/>
      <c r="G979" s="117"/>
    </row>
    <row r="980" ht="15.75" customHeight="1">
      <c r="C980" s="224"/>
      <c r="D980" s="117"/>
      <c r="E980" s="213"/>
      <c r="F980" s="213"/>
      <c r="G980" s="117"/>
    </row>
    <row r="981" ht="15.75" customHeight="1">
      <c r="C981" s="224"/>
      <c r="D981" s="117"/>
      <c r="E981" s="213"/>
      <c r="F981" s="213"/>
      <c r="G981" s="117"/>
    </row>
    <row r="982" ht="15.75" customHeight="1">
      <c r="C982" s="224"/>
      <c r="D982" s="117"/>
      <c r="E982" s="213"/>
      <c r="F982" s="213"/>
      <c r="G982" s="117"/>
    </row>
    <row r="983" ht="15.75" customHeight="1">
      <c r="C983" s="224"/>
      <c r="D983" s="117"/>
      <c r="E983" s="213"/>
      <c r="F983" s="213"/>
      <c r="G983" s="117"/>
    </row>
    <row r="984" ht="15.75" customHeight="1">
      <c r="C984" s="224"/>
      <c r="D984" s="117"/>
      <c r="E984" s="213"/>
      <c r="F984" s="213"/>
      <c r="G984" s="117"/>
    </row>
    <row r="985" ht="15.75" customHeight="1">
      <c r="C985" s="224"/>
      <c r="D985" s="117"/>
      <c r="E985" s="213"/>
      <c r="F985" s="213"/>
      <c r="G985" s="117"/>
    </row>
    <row r="986" ht="15.75" customHeight="1">
      <c r="C986" s="224"/>
      <c r="D986" s="117"/>
      <c r="E986" s="213"/>
      <c r="F986" s="213"/>
      <c r="G986" s="117"/>
    </row>
    <row r="987" ht="15.75" customHeight="1">
      <c r="C987" s="224"/>
      <c r="D987" s="117"/>
      <c r="E987" s="213"/>
      <c r="F987" s="213"/>
      <c r="G987" s="117"/>
    </row>
    <row r="988" ht="15.75" customHeight="1">
      <c r="C988" s="224"/>
      <c r="D988" s="117"/>
      <c r="E988" s="213"/>
      <c r="F988" s="213"/>
      <c r="G988" s="117"/>
    </row>
    <row r="989" ht="15.75" customHeight="1">
      <c r="C989" s="224"/>
      <c r="D989" s="117"/>
      <c r="E989" s="213"/>
      <c r="F989" s="213"/>
      <c r="G989" s="117"/>
    </row>
    <row r="990" ht="15.75" customHeight="1">
      <c r="C990" s="224"/>
      <c r="D990" s="117"/>
      <c r="E990" s="213"/>
      <c r="F990" s="213"/>
      <c r="G990" s="117"/>
    </row>
    <row r="991" ht="15.75" customHeight="1">
      <c r="C991" s="224"/>
      <c r="D991" s="117"/>
      <c r="E991" s="213"/>
      <c r="F991" s="213"/>
      <c r="G991" s="117"/>
    </row>
    <row r="992" ht="15.75" customHeight="1">
      <c r="C992" s="224"/>
      <c r="D992" s="117"/>
      <c r="E992" s="213"/>
      <c r="F992" s="213"/>
      <c r="G992" s="117"/>
    </row>
    <row r="993" ht="15.75" customHeight="1">
      <c r="C993" s="224"/>
      <c r="D993" s="117"/>
      <c r="E993" s="213"/>
      <c r="F993" s="213"/>
      <c r="G993" s="117"/>
    </row>
    <row r="994" ht="15.75" customHeight="1">
      <c r="C994" s="224"/>
      <c r="D994" s="117"/>
      <c r="E994" s="213"/>
      <c r="F994" s="213"/>
      <c r="G994" s="117"/>
    </row>
    <row r="995" ht="15.75" customHeight="1">
      <c r="C995" s="224"/>
      <c r="D995" s="117"/>
      <c r="E995" s="213"/>
      <c r="F995" s="213"/>
      <c r="G995" s="117"/>
    </row>
    <row r="996" ht="15.75" customHeight="1">
      <c r="C996" s="224"/>
      <c r="D996" s="117"/>
      <c r="E996" s="213"/>
      <c r="F996" s="213"/>
      <c r="G996" s="117"/>
    </row>
    <row r="997" ht="15.75" customHeight="1">
      <c r="C997" s="224"/>
      <c r="D997" s="117"/>
      <c r="E997" s="213"/>
      <c r="F997" s="213"/>
      <c r="G997" s="117"/>
    </row>
    <row r="998" ht="15.75" customHeight="1">
      <c r="C998" s="224"/>
      <c r="D998" s="117"/>
      <c r="E998" s="213"/>
      <c r="F998" s="213"/>
      <c r="G998" s="117"/>
    </row>
    <row r="999" ht="15.75" customHeight="1">
      <c r="C999" s="224"/>
      <c r="D999" s="117"/>
      <c r="E999" s="213"/>
      <c r="F999" s="213"/>
      <c r="G999" s="117"/>
    </row>
    <row r="1000" ht="15.75" customHeight="1">
      <c r="C1000" s="224"/>
      <c r="D1000" s="117"/>
      <c r="E1000" s="213"/>
      <c r="F1000" s="213"/>
      <c r="G1000" s="117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10.13"/>
    <col customWidth="1" min="2" max="2" width="43.25"/>
    <col customWidth="1" min="3" max="3" width="83.88"/>
    <col customWidth="1" min="4" max="27" width="8.63"/>
  </cols>
  <sheetData>
    <row r="1">
      <c r="A1" s="226" t="s">
        <v>1274</v>
      </c>
      <c r="B1" s="226" t="s">
        <v>1275</v>
      </c>
      <c r="C1" s="226" t="s">
        <v>1276</v>
      </c>
    </row>
    <row r="2" ht="30.75" customHeight="1">
      <c r="A2" s="227">
        <v>1.0</v>
      </c>
      <c r="B2" s="227" t="s">
        <v>1277</v>
      </c>
      <c r="C2" s="228" t="s">
        <v>1278</v>
      </c>
      <c r="H2" s="117"/>
    </row>
    <row r="3" ht="30.75" customHeight="1">
      <c r="A3" s="227">
        <v>2.0</v>
      </c>
      <c r="B3" s="227" t="s">
        <v>1279</v>
      </c>
      <c r="C3" s="228" t="s">
        <v>1280</v>
      </c>
    </row>
    <row r="4" ht="30.75" customHeight="1">
      <c r="A4" s="227">
        <v>3.0</v>
      </c>
      <c r="B4" s="229"/>
      <c r="C4" s="229"/>
    </row>
    <row r="5" ht="30.75" customHeight="1">
      <c r="A5" s="230"/>
      <c r="B5" s="229"/>
      <c r="C5" s="229"/>
    </row>
    <row r="6" ht="30.75" customHeight="1">
      <c r="A6" s="230"/>
      <c r="B6" s="229"/>
      <c r="C6" s="229"/>
    </row>
    <row r="7" ht="30.75" customHeight="1">
      <c r="A7" s="230"/>
      <c r="B7" s="229"/>
      <c r="C7" s="229"/>
    </row>
    <row r="8" ht="30.75" customHeight="1">
      <c r="A8" s="230"/>
      <c r="B8" s="229"/>
      <c r="C8" s="229"/>
    </row>
    <row r="9" ht="30.75" customHeight="1">
      <c r="A9" s="230"/>
      <c r="B9" s="229"/>
      <c r="C9" s="229"/>
    </row>
    <row r="10" ht="30.75" customHeight="1">
      <c r="A10" s="230"/>
      <c r="B10" s="229"/>
      <c r="C10" s="229"/>
    </row>
    <row r="11" ht="30.75" customHeight="1">
      <c r="A11" s="230"/>
      <c r="B11" s="229"/>
      <c r="C11" s="229"/>
    </row>
    <row r="12" ht="30.75" customHeight="1">
      <c r="A12" s="230"/>
      <c r="B12" s="229"/>
      <c r="C12" s="229"/>
    </row>
    <row r="13" ht="30.75" customHeight="1">
      <c r="A13" s="230"/>
      <c r="B13" s="229"/>
      <c r="C13" s="229"/>
    </row>
    <row r="14" ht="30.75" customHeight="1">
      <c r="A14" s="230"/>
      <c r="B14" s="229"/>
      <c r="C14" s="2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2:H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2025-04-11T06:38:47Z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0x01010083BC914D918F7545976EF27A41BDD3AE</vt:lpwstr>
  </property>
  <property fmtid="{D5CDD505-2E9C-101B-9397-08002B2CF9AE}" pid="3" name="MediaServiceImageTags">
    <vt:lpwstr/>
  </property>
</Properties>
</file>